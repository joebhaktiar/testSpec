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C:\Users\aldo.a.garza\Sites\tax-withholding-estimator\cypress\fixtures\"/>
    </mc:Choice>
  </mc:AlternateContent>
  <xr:revisionPtr revIDLastSave="0" documentId="13_ncr:1_{2AFF0910-564A-4C11-859C-6B3C417B719D}" xr6:coauthVersionLast="47" xr6:coauthVersionMax="47" xr10:uidLastSave="{00000000-0000-0000-0000-000000000000}"/>
  <bookViews>
    <workbookView xWindow="23880" yWindow="1790" windowWidth="25580" windowHeight="16190" tabRatio="903" xr2:uid="{00000000-000D-0000-FFFF-FFFF00000000}"/>
  </bookViews>
  <sheets>
    <sheet name="Inputs-Outputs" sheetId="21" r:id="rId1"/>
    <sheet name="Parameters" sheetId="20" r:id="rId2"/>
    <sheet name="Input &amp; Results" sheetId="2" r:id="rId3"/>
    <sheet name="Wages" sheetId="18" r:id="rId4"/>
    <sheet name="Deductions" sheetId="3" r:id="rId5"/>
    <sheet name="Calculations" sheetId="1" r:id="rId6"/>
    <sheet name="Est'd Pymts" sheetId="19" r:id="rId7"/>
    <sheet name="CTC" sheetId="12" r:id="rId8"/>
    <sheet name="FICA" sheetId="14" r:id="rId9"/>
    <sheet name="Ed'n Credits" sheetId="13" r:id="rId10"/>
    <sheet name="EITC" sheetId="4" r:id="rId11"/>
    <sheet name="S.S. Benefits Approx" sheetId="6" r:id="rId12"/>
    <sheet name="QBI" sheetId="11" r:id="rId13"/>
    <sheet name="S.E. Tax" sheetId="7" r:id="rId14"/>
    <sheet name="Kiddie Tax" sheetId="9" r:id="rId15"/>
    <sheet name="Pay Periods" sheetId="10" r:id="rId16"/>
    <sheet name="Qual. Dividends - Cap Gains" sheetId="8" r:id="rId17"/>
  </sheets>
  <definedNames>
    <definedName name="_ED1">'Input &amp; Results'!$E$16</definedName>
    <definedName name="_ED2">'Input &amp; Results'!$E$17</definedName>
    <definedName name="_ED3">'Input &amp; Results'!$E$26</definedName>
    <definedName name="_ED4">'Input &amp; Results'!$E$27</definedName>
    <definedName name="_PPE1">'Input &amp; Results'!$F$48</definedName>
    <definedName name="_PPE2">'Input &amp; Results'!$G$48</definedName>
    <definedName name="_PPE3">'Input &amp; Results'!$O$48</definedName>
    <definedName name="_PPE4">'Input &amp; Results'!$P$48</definedName>
    <definedName name="_SD1">'Input &amp; Results'!$C$16</definedName>
    <definedName name="_SD2">'Input &amp; Results'!$C$17</definedName>
    <definedName name="_SD3">'Input &amp; Results'!$C$26</definedName>
    <definedName name="_SD4">'Input &amp; Results'!$C$27</definedName>
    <definedName name="_TC1">Calculations!$CF$9:$CF$10</definedName>
    <definedName name="_TC10">Calculations!$BW$9:$BW$19</definedName>
    <definedName name="_TC2">Calculations!$CE$9:$CE$11</definedName>
    <definedName name="_TC3">Calculations!$CD$9:$CD$12</definedName>
    <definedName name="_TC4">Calculations!$CC$9:$CC$13</definedName>
    <definedName name="_TC5">Calculations!$CB$9:$CB$14</definedName>
    <definedName name="_TC6">Calculations!$CA$9:$CA$15</definedName>
    <definedName name="_TC7">Calculations!$BZ$9:$BZ$16</definedName>
    <definedName name="_TC8">Calculations!$BY$9:$BY$17</definedName>
    <definedName name="_TC9">Calculations!$BX$9:$BX$18</definedName>
    <definedName name="_Test">'Input &amp; Results'!$C$16</definedName>
    <definedName name="Aged">IF(Calculations!$Q$5=2,MJ,S)</definedName>
    <definedName name="CTC">CHOOSE(Calculations!$AF$7,TC0,_TC1,_TC2,_TC3,_TC4,_TC5,_TC6,_TC7,_TC8,_TC9,_TC10)</definedName>
    <definedName name="EOY">Calculations!$AI$78</definedName>
    <definedName name="Married_W">Calculations!$C$36:$F$43</definedName>
    <definedName name="MJ">Calculations!$Q$9:$Q$11</definedName>
    <definedName name="N">Calculations!$AF$7</definedName>
    <definedName name="NumberCTC">INDIRECT(VLOOKUP(Calculations!XFB1048562,Calculations!XFB1048563:A1048573,4))</definedName>
    <definedName name="S">Calculations!$Q$9:$Q$10</definedName>
    <definedName name="SDHH">Calculations!$D$8</definedName>
    <definedName name="SDMJ" localSheetId="1">Parameters!$D$6</definedName>
    <definedName name="SDMJ">Calculations!$D$6</definedName>
    <definedName name="Single">Calculations!$B$24:$J$28</definedName>
    <definedName name="Single_W">Calculations!$B$36:$F$43</definedName>
    <definedName name="TC0">Calculations!$CG$9</definedName>
    <definedName name="TODAY">'Input &amp; Results'!$R$22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5" i="21" l="1"/>
  <c r="AM88" i="1" s="1"/>
  <c r="G50" i="2" s="1"/>
  <c r="B24" i="21"/>
  <c r="AM87" i="1" s="1"/>
  <c r="F49" i="2" s="1"/>
  <c r="B5" i="21" a="1"/>
  <c r="B5" i="21" s="1"/>
  <c r="AM90" i="1"/>
  <c r="P50" i="2" s="1"/>
  <c r="AM89" i="1"/>
  <c r="O49" i="2" s="1"/>
  <c r="F30" i="2"/>
  <c r="H44" i="6" s="1"/>
  <c r="G38" i="6" s="1"/>
  <c r="F20" i="2"/>
  <c r="H45" i="6" s="1"/>
  <c r="C16" i="2"/>
  <c r="H6" i="14"/>
  <c r="H7" i="14"/>
  <c r="I6" i="3"/>
  <c r="G6" i="3"/>
  <c r="H10" i="1"/>
  <c r="H9" i="1"/>
  <c r="H8" i="1"/>
  <c r="H7" i="1"/>
  <c r="R5" i="1"/>
  <c r="G6" i="6"/>
  <c r="G5" i="6"/>
  <c r="G4" i="6"/>
  <c r="G3" i="6"/>
  <c r="G2" i="6"/>
  <c r="F6" i="6"/>
  <c r="F5" i="6"/>
  <c r="F4" i="6"/>
  <c r="F3" i="6"/>
  <c r="F2" i="6"/>
  <c r="J78" i="1"/>
  <c r="J77" i="1"/>
  <c r="G83" i="1"/>
  <c r="G82" i="1"/>
  <c r="G81" i="1"/>
  <c r="G80" i="1"/>
  <c r="G79" i="1"/>
  <c r="G78" i="1"/>
  <c r="G77" i="1"/>
  <c r="G76" i="1"/>
  <c r="G75" i="1"/>
  <c r="G74" i="1"/>
  <c r="G73" i="1"/>
  <c r="G72" i="1"/>
  <c r="G71" i="1"/>
  <c r="G70" i="1"/>
  <c r="G69" i="1"/>
  <c r="H83" i="1"/>
  <c r="H82" i="1"/>
  <c r="H81" i="1"/>
  <c r="H80" i="1"/>
  <c r="H79" i="1"/>
  <c r="H78" i="1"/>
  <c r="H77" i="1"/>
  <c r="H76" i="1"/>
  <c r="H75" i="1"/>
  <c r="H74" i="1"/>
  <c r="H73" i="1"/>
  <c r="H72" i="1"/>
  <c r="H71" i="1"/>
  <c r="H70" i="1"/>
  <c r="H69" i="1"/>
  <c r="H68" i="1"/>
  <c r="E10" i="7"/>
  <c r="E9" i="7"/>
  <c r="E3" i="7"/>
  <c r="E4" i="7"/>
  <c r="L27" i="4"/>
  <c r="L26" i="4"/>
  <c r="L25" i="4"/>
  <c r="L24" i="4"/>
  <c r="J27" i="4"/>
  <c r="J26" i="4"/>
  <c r="J25" i="4"/>
  <c r="J24" i="4"/>
  <c r="H27" i="4"/>
  <c r="H26" i="4"/>
  <c r="H25" i="4"/>
  <c r="H24" i="4"/>
  <c r="G27" i="4"/>
  <c r="G26" i="4"/>
  <c r="G25" i="4"/>
  <c r="G24" i="4"/>
  <c r="L34" i="4"/>
  <c r="L33" i="4"/>
  <c r="L32" i="4"/>
  <c r="L31" i="4"/>
  <c r="J34" i="4"/>
  <c r="J33" i="4"/>
  <c r="J32" i="4"/>
  <c r="J31" i="4"/>
  <c r="H34" i="4"/>
  <c r="H33" i="4"/>
  <c r="H32" i="4"/>
  <c r="H31" i="4"/>
  <c r="G34" i="4"/>
  <c r="G33" i="4"/>
  <c r="G32" i="4"/>
  <c r="G31" i="4"/>
  <c r="CB3" i="20"/>
  <c r="E15" i="12"/>
  <c r="E14" i="12"/>
  <c r="E12" i="12"/>
  <c r="E11" i="12"/>
  <c r="L10" i="1"/>
  <c r="L12" i="1"/>
  <c r="L11" i="1"/>
  <c r="L9" i="1"/>
  <c r="L8" i="1"/>
  <c r="H2" i="1"/>
  <c r="J7" i="1"/>
  <c r="J12" i="1"/>
  <c r="J11" i="1"/>
  <c r="J10" i="1"/>
  <c r="J8" i="1"/>
  <c r="J9" i="1"/>
  <c r="D19" i="1"/>
  <c r="AD4" i="1"/>
  <c r="AC4" i="1"/>
  <c r="Z2" i="20"/>
  <c r="Y2" i="20"/>
  <c r="F9" i="1"/>
  <c r="F12" i="1" s="1"/>
  <c r="F8" i="1"/>
  <c r="F11" i="1" s="1"/>
  <c r="C30" i="6"/>
  <c r="C38" i="6"/>
  <c r="I31" i="6"/>
  <c r="G39" i="6" s="1"/>
  <c r="C13" i="3"/>
  <c r="C9" i="3"/>
  <c r="R28" i="2"/>
  <c r="N46" i="2"/>
  <c r="E46" i="2"/>
  <c r="H23" i="2"/>
  <c r="H13" i="2"/>
  <c r="H41" i="2"/>
  <c r="H40" i="2"/>
  <c r="E40" i="2"/>
  <c r="H42" i="2"/>
  <c r="E42" i="2"/>
  <c r="Q24" i="4" s="1"/>
  <c r="P24" i="4" s="1"/>
  <c r="H39" i="2"/>
  <c r="E39" i="2"/>
  <c r="I70" i="1" s="1"/>
  <c r="F37" i="2"/>
  <c r="Q7" i="1" s="1"/>
  <c r="C18" i="3"/>
  <c r="C17" i="3"/>
  <c r="C16" i="3"/>
  <c r="C15" i="3"/>
  <c r="C14" i="3"/>
  <c r="C3" i="3"/>
  <c r="C6" i="3"/>
  <c r="C50" i="2"/>
  <c r="G29" i="2"/>
  <c r="G19" i="2"/>
  <c r="F29" i="2"/>
  <c r="F19" i="2"/>
  <c r="H29" i="2"/>
  <c r="H19" i="2"/>
  <c r="H21" i="2"/>
  <c r="H35" i="2"/>
  <c r="H33" i="2"/>
  <c r="Q47" i="2"/>
  <c r="Q46" i="2"/>
  <c r="C39" i="6" s="1"/>
  <c r="H46" i="2"/>
  <c r="C31" i="6" s="1"/>
  <c r="H47" i="2"/>
  <c r="H20" i="2"/>
  <c r="H30" i="2"/>
  <c r="I39" i="6"/>
  <c r="F39" i="6" s="1"/>
  <c r="F40" i="6" s="1"/>
  <c r="F57" i="6"/>
  <c r="F56" i="6"/>
  <c r="F55" i="6"/>
  <c r="F54" i="6"/>
  <c r="F53" i="6"/>
  <c r="F52" i="6"/>
  <c r="F51" i="6"/>
  <c r="F50" i="6"/>
  <c r="F49" i="6"/>
  <c r="F48" i="6"/>
  <c r="F47" i="6"/>
  <c r="F46" i="6"/>
  <c r="H57" i="6"/>
  <c r="H56" i="6"/>
  <c r="H55" i="6"/>
  <c r="H54" i="6"/>
  <c r="H53" i="6"/>
  <c r="H52" i="6"/>
  <c r="H51" i="6"/>
  <c r="H50" i="6"/>
  <c r="H49" i="6"/>
  <c r="H48" i="6"/>
  <c r="H47" i="6"/>
  <c r="H46" i="6"/>
  <c r="H42" i="6"/>
  <c r="N41" i="2"/>
  <c r="N40" i="2"/>
  <c r="N34" i="2"/>
  <c r="M41" i="2"/>
  <c r="M40" i="2"/>
  <c r="M34" i="2"/>
  <c r="O48" i="2"/>
  <c r="P48" i="2"/>
  <c r="G48" i="2"/>
  <c r="P46" i="2"/>
  <c r="P47" i="2"/>
  <c r="O46" i="2"/>
  <c r="O47" i="2"/>
  <c r="G46" i="2"/>
  <c r="F46" i="2"/>
  <c r="G47" i="2"/>
  <c r="F47" i="2"/>
  <c r="G16" i="18"/>
  <c r="F16" i="18"/>
  <c r="H26" i="2" s="1"/>
  <c r="D16" i="18"/>
  <c r="E27" i="2"/>
  <c r="C27" i="2"/>
  <c r="E26" i="2"/>
  <c r="C26" i="2"/>
  <c r="E17" i="2"/>
  <c r="C17" i="2"/>
  <c r="O39" i="2"/>
  <c r="O38" i="2"/>
  <c r="O32" i="2"/>
  <c r="P39" i="2"/>
  <c r="S24" i="1" s="1"/>
  <c r="P38" i="2"/>
  <c r="S23" i="1" s="1"/>
  <c r="P32" i="2"/>
  <c r="S22" i="1" s="1"/>
  <c r="P31" i="2"/>
  <c r="S21" i="1" s="1"/>
  <c r="O31" i="2"/>
  <c r="N33" i="2"/>
  <c r="M33" i="2"/>
  <c r="C16" i="18"/>
  <c r="C9" i="18"/>
  <c r="C10" i="18"/>
  <c r="F48" i="2"/>
  <c r="E16" i="2"/>
  <c r="J27" i="2"/>
  <c r="J26" i="2"/>
  <c r="J17" i="2"/>
  <c r="J16" i="2"/>
  <c r="H5" i="2"/>
  <c r="G31" i="6" l="1"/>
  <c r="D40" i="6"/>
  <c r="E10" i="6"/>
  <c r="F10" i="1"/>
  <c r="AE140" i="1"/>
  <c r="AE139" i="1"/>
  <c r="G30" i="6"/>
  <c r="H11" i="2" l="1"/>
  <c r="AE8" i="1" s="1"/>
  <c r="H10" i="2"/>
  <c r="Q4" i="1"/>
  <c r="H9" i="2"/>
  <c r="R6" i="1" s="1"/>
  <c r="S6" i="1" s="1"/>
  <c r="H8" i="2"/>
  <c r="P6" i="1" s="1"/>
  <c r="Q6" i="1" s="1"/>
  <c r="Q3" i="1"/>
  <c r="R22" i="2"/>
  <c r="CF5" i="20" l="1"/>
  <c r="CJ5" i="20" s="1"/>
  <c r="CH5" i="20" s="1"/>
  <c r="CD5" i="20"/>
  <c r="CB5" i="20" s="1"/>
  <c r="CF4" i="20"/>
  <c r="CJ4" i="20" s="1"/>
  <c r="CH4" i="20" s="1"/>
  <c r="CD4" i="20"/>
  <c r="CB4" i="20" s="1"/>
  <c r="BB4" i="20"/>
  <c r="BA4" i="20"/>
  <c r="AZ4" i="20"/>
  <c r="AY4" i="20"/>
  <c r="AX4" i="20"/>
  <c r="AW4" i="20"/>
  <c r="CF3" i="20"/>
  <c r="CJ3" i="20" s="1"/>
  <c r="CH3" i="20" s="1"/>
  <c r="CD3" i="20"/>
  <c r="CF2" i="20"/>
  <c r="CJ2" i="20" s="1"/>
  <c r="CH2" i="20" s="1"/>
  <c r="CD2" i="20"/>
  <c r="CB2" i="20" s="1"/>
  <c r="E6" i="7" l="1"/>
  <c r="E30" i="1"/>
  <c r="D43" i="1" s="1"/>
  <c r="E29" i="1"/>
  <c r="E28" i="1"/>
  <c r="E27" i="1"/>
  <c r="E26" i="1"/>
  <c r="E25" i="1"/>
  <c r="C30" i="1"/>
  <c r="F30" i="1" s="1"/>
  <c r="C29" i="1"/>
  <c r="F29" i="1" s="1"/>
  <c r="C28" i="1"/>
  <c r="D28" i="1" s="1"/>
  <c r="C27" i="1"/>
  <c r="D27" i="1" s="1"/>
  <c r="C26" i="1"/>
  <c r="D26" i="1" s="1"/>
  <c r="C25" i="1"/>
  <c r="B30" i="1"/>
  <c r="B29" i="1"/>
  <c r="B28" i="1"/>
  <c r="B27" i="1"/>
  <c r="B26" i="1"/>
  <c r="B25" i="1"/>
  <c r="E11" i="1"/>
  <c r="D37" i="1" s="1"/>
  <c r="E10" i="1"/>
  <c r="E9" i="1"/>
  <c r="C37" i="1" s="1"/>
  <c r="E8" i="1"/>
  <c r="E12" i="1" s="1"/>
  <c r="J1" i="1"/>
  <c r="C38" i="1" l="1"/>
  <c r="D40" i="1"/>
  <c r="D41" i="1"/>
  <c r="D42" i="1"/>
  <c r="D29" i="1"/>
  <c r="F26" i="1"/>
  <c r="D38" i="1"/>
  <c r="C39" i="1"/>
  <c r="F25" i="1"/>
  <c r="D30" i="1"/>
  <c r="D39" i="1"/>
  <c r="D25" i="1"/>
  <c r="C40" i="1"/>
  <c r="F27" i="1"/>
  <c r="F28" i="1"/>
  <c r="C42" i="1"/>
  <c r="C43" i="1"/>
  <c r="C41" i="1"/>
  <c r="F3" i="13"/>
  <c r="M12" i="19" l="1"/>
  <c r="M11" i="19"/>
  <c r="K12" i="19"/>
  <c r="K11" i="19"/>
  <c r="K10" i="19"/>
  <c r="M10" i="19"/>
  <c r="M9" i="19"/>
  <c r="M8" i="19"/>
  <c r="K8" i="19"/>
  <c r="K7" i="19"/>
  <c r="D63" i="1" l="1"/>
  <c r="D62" i="1"/>
  <c r="D61" i="1"/>
  <c r="D60" i="1"/>
  <c r="D59" i="1"/>
  <c r="D58" i="1"/>
  <c r="D57" i="1"/>
  <c r="G19" i="18"/>
  <c r="D19" i="18"/>
  <c r="H27" i="2"/>
  <c r="G20" i="18"/>
  <c r="F20" i="18"/>
  <c r="D20" i="18"/>
  <c r="C20" i="18" l="1"/>
  <c r="R18" i="1"/>
  <c r="N1" i="1" l="1"/>
  <c r="N2" i="1" s="1"/>
  <c r="K1" i="1"/>
  <c r="L1" i="1" s="1"/>
  <c r="M1" i="1" s="1"/>
  <c r="O2" i="1" l="1"/>
  <c r="B43" i="1"/>
  <c r="B42" i="1"/>
  <c r="B41" i="1"/>
  <c r="B40" i="1"/>
  <c r="B39" i="1"/>
  <c r="B38" i="1"/>
  <c r="B37" i="1"/>
  <c r="T22" i="2" l="1"/>
  <c r="K27" i="4" l="1"/>
  <c r="I27" i="4" s="1"/>
  <c r="K26" i="4"/>
  <c r="I26" i="4" s="1"/>
  <c r="K25" i="4"/>
  <c r="I25" i="4" s="1"/>
  <c r="K24" i="4"/>
  <c r="I24" i="4" s="1"/>
  <c r="R12" i="2" l="1"/>
  <c r="Y14" i="1" l="1"/>
  <c r="AA14" i="1" l="1"/>
  <c r="J86" i="1"/>
  <c r="H43" i="4"/>
  <c r="G43" i="4" s="1"/>
  <c r="S14" i="1"/>
  <c r="S15" i="1"/>
  <c r="S16" i="1"/>
  <c r="S17" i="1"/>
  <c r="AC125" i="1"/>
  <c r="R37" i="1"/>
  <c r="Q37" i="1"/>
  <c r="K37" i="1"/>
  <c r="K38" i="1"/>
  <c r="D71" i="1" s="1"/>
  <c r="K39" i="1"/>
  <c r="D72" i="1" s="1"/>
  <c r="K40" i="1"/>
  <c r="K41" i="1"/>
  <c r="K42" i="1"/>
  <c r="P37" i="1"/>
  <c r="I46" i="6"/>
  <c r="E11" i="6"/>
  <c r="F11" i="6" s="1"/>
  <c r="C6" i="7"/>
  <c r="C3" i="7"/>
  <c r="D6" i="7"/>
  <c r="D3" i="7"/>
  <c r="N12" i="1"/>
  <c r="N11" i="1"/>
  <c r="N10" i="1"/>
  <c r="M12" i="1"/>
  <c r="M11" i="1"/>
  <c r="M10" i="1"/>
  <c r="P39" i="1"/>
  <c r="P38" i="1"/>
  <c r="I93" i="1"/>
  <c r="J93" i="1"/>
  <c r="C8" i="11"/>
  <c r="C6" i="11"/>
  <c r="B2" i="3"/>
  <c r="B12" i="3"/>
  <c r="K43" i="1"/>
  <c r="I90" i="1"/>
  <c r="I96" i="1"/>
  <c r="H11" i="1"/>
  <c r="R24" i="1"/>
  <c r="R23" i="1"/>
  <c r="R22" i="1"/>
  <c r="R21" i="1"/>
  <c r="K34" i="4"/>
  <c r="I34" i="4" s="1"/>
  <c r="K33" i="4"/>
  <c r="I33" i="4" s="1"/>
  <c r="K32" i="4"/>
  <c r="I32" i="4" s="1"/>
  <c r="K31" i="4"/>
  <c r="I31" i="4" s="1"/>
  <c r="B62" i="1"/>
  <c r="B61" i="1"/>
  <c r="B60" i="1"/>
  <c r="B59" i="1"/>
  <c r="B58" i="1"/>
  <c r="B57" i="1"/>
  <c r="C5" i="11"/>
  <c r="E13" i="9"/>
  <c r="F37" i="9"/>
  <c r="F34" i="9"/>
  <c r="F29" i="9"/>
  <c r="K27" i="9"/>
  <c r="J27" i="9"/>
  <c r="I27" i="9"/>
  <c r="K26" i="9"/>
  <c r="J26" i="9"/>
  <c r="I26" i="9"/>
  <c r="K24" i="9"/>
  <c r="J24" i="9"/>
  <c r="I24" i="9"/>
  <c r="C63" i="1"/>
  <c r="C62" i="1"/>
  <c r="C61" i="1"/>
  <c r="C60" i="1"/>
  <c r="C59" i="1"/>
  <c r="C58" i="1"/>
  <c r="C57" i="1"/>
  <c r="B63" i="1"/>
  <c r="H8" i="10"/>
  <c r="F8" i="10"/>
  <c r="H6" i="10"/>
  <c r="F6" i="10"/>
  <c r="H3" i="10"/>
  <c r="H5" i="10" s="1"/>
  <c r="F3" i="10"/>
  <c r="D8" i="10"/>
  <c r="B8" i="10"/>
  <c r="D3" i="10"/>
  <c r="D5" i="10" s="1"/>
  <c r="D6" i="10"/>
  <c r="B6" i="10"/>
  <c r="B3" i="10"/>
  <c r="B4" i="10" s="1"/>
  <c r="L7" i="10"/>
  <c r="L6" i="10"/>
  <c r="AR78" i="1"/>
  <c r="R46" i="1"/>
  <c r="R45" i="1"/>
  <c r="R44" i="1"/>
  <c r="R43" i="1"/>
  <c r="P40" i="1"/>
  <c r="C37" i="6"/>
  <c r="C35" i="6"/>
  <c r="I38" i="6"/>
  <c r="R40" i="1"/>
  <c r="R39" i="1"/>
  <c r="Q40" i="1"/>
  <c r="Q39" i="1"/>
  <c r="D15" i="3"/>
  <c r="D6" i="9"/>
  <c r="C27" i="6"/>
  <c r="G27" i="6"/>
  <c r="I30" i="6"/>
  <c r="F31" i="6"/>
  <c r="F32" i="6" s="1"/>
  <c r="D32" i="6" s="1"/>
  <c r="AK87" i="1"/>
  <c r="AK86" i="1"/>
  <c r="R38" i="1"/>
  <c r="Q38" i="1"/>
  <c r="I57" i="6"/>
  <c r="I56" i="6"/>
  <c r="I55" i="6"/>
  <c r="I54" i="6"/>
  <c r="I53" i="6"/>
  <c r="I52" i="6"/>
  <c r="I51" i="6"/>
  <c r="I50" i="6"/>
  <c r="I49" i="6"/>
  <c r="I48" i="6"/>
  <c r="I47" i="6"/>
  <c r="C10" i="8"/>
  <c r="C5" i="8"/>
  <c r="AL74" i="1"/>
  <c r="T112" i="1"/>
  <c r="T113" i="1" s="1"/>
  <c r="T114" i="1" s="1"/>
  <c r="T115" i="1" s="1"/>
  <c r="T116" i="1" s="1"/>
  <c r="T117" i="1" s="1"/>
  <c r="T118" i="1" s="1"/>
  <c r="T119" i="1" s="1"/>
  <c r="T120" i="1" s="1"/>
  <c r="T121" i="1" s="1"/>
  <c r="T122" i="1" s="1"/>
  <c r="T123" i="1" s="1"/>
  <c r="T124" i="1" s="1"/>
  <c r="T125" i="1" s="1"/>
  <c r="T126" i="1" s="1"/>
  <c r="T127" i="1" s="1"/>
  <c r="T128" i="1" s="1"/>
  <c r="T129" i="1" s="1"/>
  <c r="T130" i="1" s="1"/>
  <c r="T131" i="1" s="1"/>
  <c r="T132" i="1" s="1"/>
  <c r="T133" i="1" s="1"/>
  <c r="T134" i="1" s="1"/>
  <c r="T135" i="1" s="1"/>
  <c r="T136" i="1" s="1"/>
  <c r="T137" i="1" s="1"/>
  <c r="T138" i="1" s="1"/>
  <c r="T139" i="1" s="1"/>
  <c r="T140" i="1" s="1"/>
  <c r="T141" i="1" s="1"/>
  <c r="T142" i="1" s="1"/>
  <c r="T143" i="1" s="1"/>
  <c r="T144" i="1" s="1"/>
  <c r="T145" i="1" s="1"/>
  <c r="T146" i="1" s="1"/>
  <c r="T147" i="1" s="1"/>
  <c r="T148" i="1" s="1"/>
  <c r="T149" i="1" s="1"/>
  <c r="T150" i="1" s="1"/>
  <c r="T151" i="1" s="1"/>
  <c r="T152" i="1" s="1"/>
  <c r="T153" i="1" s="1"/>
  <c r="T154" i="1" s="1"/>
  <c r="T155" i="1" s="1"/>
  <c r="T156" i="1" s="1"/>
  <c r="T157" i="1" s="1"/>
  <c r="T158" i="1" s="1"/>
  <c r="T159" i="1" s="1"/>
  <c r="T160" i="1" s="1"/>
  <c r="T161" i="1" s="1"/>
  <c r="J96" i="1"/>
  <c r="J90" i="1"/>
  <c r="R57" i="1"/>
  <c r="R59" i="1" s="1"/>
  <c r="R56" i="1"/>
  <c r="F43" i="1"/>
  <c r="E43" i="1"/>
  <c r="F42" i="1"/>
  <c r="E42" i="1"/>
  <c r="F41" i="1"/>
  <c r="E41" i="1"/>
  <c r="F40" i="1"/>
  <c r="E40" i="1"/>
  <c r="F39" i="1"/>
  <c r="E39" i="1"/>
  <c r="F38" i="1"/>
  <c r="E38" i="1"/>
  <c r="F37" i="1"/>
  <c r="E37" i="1"/>
  <c r="I24" i="1"/>
  <c r="J15" i="1"/>
  <c r="I15" i="1"/>
  <c r="H15" i="1"/>
  <c r="G15" i="1"/>
  <c r="H14" i="1"/>
  <c r="G14" i="1"/>
  <c r="K12" i="1"/>
  <c r="H12" i="1"/>
  <c r="K11" i="1"/>
  <c r="G17" i="1"/>
  <c r="AF8" i="1"/>
  <c r="D18" i="3"/>
  <c r="D17" i="3"/>
  <c r="D16" i="3"/>
  <c r="B1" i="2"/>
  <c r="D70" i="1"/>
  <c r="D73" i="1"/>
  <c r="D74" i="1"/>
  <c r="D75" i="1"/>
  <c r="H17" i="1"/>
  <c r="H16" i="1"/>
  <c r="I16" i="1"/>
  <c r="G16" i="1"/>
  <c r="J16" i="1"/>
  <c r="R58" i="1"/>
  <c r="D76" i="1"/>
  <c r="AK2" i="1"/>
  <c r="AK4" i="1"/>
  <c r="N31" i="1"/>
  <c r="AL2" i="1"/>
  <c r="N32" i="1"/>
  <c r="N33" i="1"/>
  <c r="AG11" i="1"/>
  <c r="AH11" i="1" s="1"/>
  <c r="AI11" i="1" s="1"/>
  <c r="AJ11" i="1" s="1"/>
  <c r="AK11" i="1" s="1"/>
  <c r="AL11" i="1" s="1"/>
  <c r="AM11" i="1" s="1"/>
  <c r="AN11" i="1" s="1"/>
  <c r="AO11" i="1" s="1"/>
  <c r="AP11" i="1" s="1"/>
  <c r="AQ11" i="1" s="1"/>
  <c r="AR11" i="1" s="1"/>
  <c r="AS11" i="1" s="1"/>
  <c r="AT11" i="1" s="1"/>
  <c r="AU11" i="1" s="1"/>
  <c r="AV11" i="1" s="1"/>
  <c r="AW11" i="1" s="1"/>
  <c r="AX11" i="1" s="1"/>
  <c r="AY11" i="1" s="1"/>
  <c r="AZ11" i="1" s="1"/>
  <c r="BA11" i="1" s="1"/>
  <c r="D10" i="7" l="1"/>
  <c r="D4" i="7"/>
  <c r="C4" i="7"/>
  <c r="C10" i="7" s="1"/>
  <c r="AB140" i="1"/>
  <c r="D5" i="12"/>
  <c r="AF10" i="1"/>
  <c r="AO4" i="1"/>
  <c r="M6" i="19"/>
  <c r="AQ4" i="1"/>
  <c r="V46" i="1"/>
  <c r="D6" i="18"/>
  <c r="X46" i="1"/>
  <c r="G6" i="18"/>
  <c r="P43" i="1"/>
  <c r="C40" i="6"/>
  <c r="AP81" i="1"/>
  <c r="P44" i="1"/>
  <c r="P45" i="1"/>
  <c r="P46" i="1"/>
  <c r="U46" i="1"/>
  <c r="C6" i="18"/>
  <c r="C19" i="18" s="1"/>
  <c r="W46" i="1"/>
  <c r="F6" i="18"/>
  <c r="F10" i="18" s="1"/>
  <c r="H10" i="6"/>
  <c r="H11" i="6" s="1"/>
  <c r="I11" i="6" s="1"/>
  <c r="AQ80" i="1"/>
  <c r="E23" i="6"/>
  <c r="F10" i="6"/>
  <c r="F23" i="6" s="1"/>
  <c r="AB139" i="1"/>
  <c r="Q13" i="2"/>
  <c r="F5" i="10"/>
  <c r="F7" i="10" s="1"/>
  <c r="F11" i="10" s="1"/>
  <c r="F12" i="10" s="1"/>
  <c r="F13" i="10" s="1"/>
  <c r="F14" i="10" s="1"/>
  <c r="F15" i="10" s="1"/>
  <c r="F16" i="10" s="1"/>
  <c r="F17" i="10" s="1"/>
  <c r="F18" i="10" s="1"/>
  <c r="F19" i="10" s="1"/>
  <c r="F20" i="10" s="1"/>
  <c r="F21" i="10" s="1"/>
  <c r="F22" i="10" s="1"/>
  <c r="F23" i="10" s="1"/>
  <c r="F24" i="10" s="1"/>
  <c r="F25" i="10" s="1"/>
  <c r="F26" i="10" s="1"/>
  <c r="F27" i="10" s="1"/>
  <c r="F28" i="10" s="1"/>
  <c r="F29" i="10" s="1"/>
  <c r="F30" i="10" s="1"/>
  <c r="F31" i="10" s="1"/>
  <c r="F32" i="10" s="1"/>
  <c r="F33" i="10" s="1"/>
  <c r="F34" i="10" s="1"/>
  <c r="F35" i="10" s="1"/>
  <c r="F36" i="10" s="1"/>
  <c r="F37" i="10" s="1"/>
  <c r="F38" i="10" s="1"/>
  <c r="F39" i="10" s="1"/>
  <c r="F40" i="10" s="1"/>
  <c r="F41" i="10" s="1"/>
  <c r="F42" i="10" s="1"/>
  <c r="F43" i="10" s="1"/>
  <c r="F44" i="10" s="1"/>
  <c r="F45" i="10" s="1"/>
  <c r="F46" i="10" s="1"/>
  <c r="F47" i="10" s="1"/>
  <c r="F48" i="10" s="1"/>
  <c r="F49" i="10" s="1"/>
  <c r="F50" i="10" s="1"/>
  <c r="F51" i="10" s="1"/>
  <c r="F52" i="10" s="1"/>
  <c r="F53" i="10" s="1"/>
  <c r="F54" i="10" s="1"/>
  <c r="F55" i="10" s="1"/>
  <c r="F56" i="10" s="1"/>
  <c r="F57" i="10" s="1"/>
  <c r="F58" i="10" s="1"/>
  <c r="F59" i="10" s="1"/>
  <c r="F60" i="10" s="1"/>
  <c r="F61" i="10" s="1"/>
  <c r="F62" i="10" s="1"/>
  <c r="M7" i="19"/>
  <c r="AF7" i="1"/>
  <c r="D4" i="12" s="1"/>
  <c r="D4" i="10"/>
  <c r="F4" i="10"/>
  <c r="AL4" i="1"/>
  <c r="AP4" i="1" s="1"/>
  <c r="R61" i="1"/>
  <c r="R60" i="1"/>
  <c r="C36" i="3"/>
  <c r="B5" i="10"/>
  <c r="B7" i="10" s="1"/>
  <c r="B11" i="10" s="1"/>
  <c r="B12" i="10" s="1"/>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B39" i="10" s="1"/>
  <c r="B40" i="10" s="1"/>
  <c r="B41" i="10" s="1"/>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H4" i="10"/>
  <c r="AH74" i="1"/>
  <c r="AC130" i="1"/>
  <c r="AD127" i="1"/>
  <c r="AD128" i="1"/>
  <c r="AB126" i="1"/>
  <c r="AC133" i="1"/>
  <c r="AC126" i="1"/>
  <c r="AB130" i="1"/>
  <c r="AE131" i="1"/>
  <c r="AC132" i="1"/>
  <c r="AC128" i="1"/>
  <c r="AE125" i="1"/>
  <c r="AD125" i="1"/>
  <c r="AD133" i="1"/>
  <c r="AE127" i="1"/>
  <c r="AD126" i="1"/>
  <c r="AC131" i="1"/>
  <c r="AE130" i="1"/>
  <c r="AB128" i="1"/>
  <c r="AE132" i="1"/>
  <c r="AE126" i="1"/>
  <c r="AE133" i="1"/>
  <c r="D7" i="10"/>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D43" i="10" s="1"/>
  <c r="D44" i="10" s="1"/>
  <c r="D45" i="10" s="1"/>
  <c r="D46" i="10" s="1"/>
  <c r="D47" i="10" s="1"/>
  <c r="D48" i="10" s="1"/>
  <c r="D49" i="10" s="1"/>
  <c r="D50" i="10" s="1"/>
  <c r="D51" i="10" s="1"/>
  <c r="D52" i="10" s="1"/>
  <c r="D53" i="10" s="1"/>
  <c r="D54" i="10" s="1"/>
  <c r="D55" i="10" s="1"/>
  <c r="D56" i="10" s="1"/>
  <c r="D57" i="10" s="1"/>
  <c r="D58" i="10" s="1"/>
  <c r="D59" i="10" s="1"/>
  <c r="D60" i="10" s="1"/>
  <c r="D61" i="10" s="1"/>
  <c r="D62" i="10" s="1"/>
  <c r="AB132" i="1"/>
  <c r="AB127" i="1"/>
  <c r="AD132" i="1"/>
  <c r="AD131" i="1"/>
  <c r="AB131" i="1"/>
  <c r="AE128" i="1"/>
  <c r="H7" i="10"/>
  <c r="H11" i="10" s="1"/>
  <c r="H12" i="10" s="1"/>
  <c r="H13" i="10" s="1"/>
  <c r="H14" i="10" s="1"/>
  <c r="H15" i="10" s="1"/>
  <c r="H16" i="10" s="1"/>
  <c r="H17" i="10" s="1"/>
  <c r="H18" i="10" s="1"/>
  <c r="H19" i="10" s="1"/>
  <c r="H20" i="10" s="1"/>
  <c r="H21" i="10" s="1"/>
  <c r="H22" i="10" s="1"/>
  <c r="H23" i="10" s="1"/>
  <c r="H24" i="10" s="1"/>
  <c r="H25" i="10" s="1"/>
  <c r="H26" i="10" s="1"/>
  <c r="H27" i="10" s="1"/>
  <c r="H28" i="10" s="1"/>
  <c r="H29" i="10" s="1"/>
  <c r="H30" i="10" s="1"/>
  <c r="H31" i="10" s="1"/>
  <c r="H32" i="10" s="1"/>
  <c r="H33" i="10" s="1"/>
  <c r="H34" i="10" s="1"/>
  <c r="H35" i="10" s="1"/>
  <c r="H36" i="10" s="1"/>
  <c r="H37" i="10" s="1"/>
  <c r="H38" i="10" s="1"/>
  <c r="H39" i="10" s="1"/>
  <c r="H40" i="10" s="1"/>
  <c r="H41" i="10" s="1"/>
  <c r="H42" i="10" s="1"/>
  <c r="H43" i="10" s="1"/>
  <c r="H44" i="10" s="1"/>
  <c r="H45" i="10" s="1"/>
  <c r="H46" i="10" s="1"/>
  <c r="H47" i="10" s="1"/>
  <c r="H48" i="10" s="1"/>
  <c r="H49" i="10" s="1"/>
  <c r="H50" i="10" s="1"/>
  <c r="H51" i="10" s="1"/>
  <c r="H52" i="10" s="1"/>
  <c r="H53" i="10" s="1"/>
  <c r="H54" i="10" s="1"/>
  <c r="H55" i="10" s="1"/>
  <c r="H56" i="10" s="1"/>
  <c r="H57" i="10" s="1"/>
  <c r="H58" i="10" s="1"/>
  <c r="H59" i="10" s="1"/>
  <c r="H60" i="10" s="1"/>
  <c r="H61" i="10" s="1"/>
  <c r="H62" i="10" s="1"/>
  <c r="AB125" i="1"/>
  <c r="AC127" i="1"/>
  <c r="AD130" i="1"/>
  <c r="AB133" i="1"/>
  <c r="H23" i="6" l="1"/>
  <c r="F19" i="18"/>
  <c r="C41" i="6"/>
  <c r="I10" i="6"/>
  <c r="I23" i="6" s="1"/>
  <c r="AC138" i="1"/>
  <c r="S46" i="1" s="1"/>
  <c r="B281" i="21" s="1"/>
  <c r="AB138" i="1"/>
  <c r="AC136" i="1"/>
  <c r="S44" i="1" s="1"/>
  <c r="B273" i="21" s="1"/>
  <c r="AM4" i="1"/>
  <c r="AP79" i="1"/>
  <c r="AP80" i="1" s="1"/>
  <c r="AB137" i="1"/>
  <c r="AC137" i="1"/>
  <c r="S45" i="1" s="1"/>
  <c r="B277" i="21" s="1"/>
  <c r="D7" i="12"/>
  <c r="AC135" i="1"/>
  <c r="S43" i="1" s="1"/>
  <c r="AB136" i="1"/>
  <c r="R63" i="1"/>
  <c r="R62" i="1"/>
  <c r="AB135" i="1"/>
  <c r="D6" i="12"/>
  <c r="D12" i="12" s="1"/>
  <c r="AC139" i="1"/>
  <c r="AD139" i="1" s="1"/>
  <c r="AC140" i="1"/>
  <c r="AD140" i="1" s="1"/>
  <c r="AI77" i="1"/>
  <c r="Z71" i="1" s="1"/>
  <c r="AI74" i="1"/>
  <c r="B73" i="10"/>
  <c r="D37" i="12" l="1"/>
  <c r="D45" i="12" s="1"/>
  <c r="D11" i="12"/>
  <c r="O41" i="1"/>
  <c r="B269" i="21"/>
  <c r="Y44" i="1"/>
  <c r="C32" i="6"/>
  <c r="Y51" i="1" s="1"/>
  <c r="D13" i="12"/>
  <c r="R64" i="1"/>
  <c r="R65" i="1"/>
  <c r="Z91" i="1"/>
  <c r="Z88" i="1"/>
  <c r="Z81" i="1"/>
  <c r="Z68" i="1"/>
  <c r="AF100" i="1"/>
  <c r="Z98" i="1"/>
  <c r="AF105" i="1"/>
  <c r="AF98" i="1"/>
  <c r="Z114" i="1"/>
  <c r="AF112" i="1"/>
  <c r="AF108" i="1"/>
  <c r="AF113" i="1"/>
  <c r="AF95" i="1"/>
  <c r="Z74" i="1"/>
  <c r="AF101" i="1"/>
  <c r="AF107" i="1"/>
  <c r="Z84" i="1"/>
  <c r="Z119" i="1"/>
  <c r="Z92" i="1"/>
  <c r="AF115" i="1"/>
  <c r="Z87" i="1"/>
  <c r="AF93" i="1"/>
  <c r="AF117" i="1"/>
  <c r="Z104" i="1"/>
  <c r="Z118" i="1"/>
  <c r="Z89" i="1"/>
  <c r="Z115" i="1"/>
  <c r="Z73" i="1"/>
  <c r="AF97" i="1"/>
  <c r="AF114" i="1"/>
  <c r="Z95" i="1"/>
  <c r="Z97" i="1"/>
  <c r="Z78" i="1"/>
  <c r="Z72" i="1"/>
  <c r="AF109" i="1"/>
  <c r="Z79" i="1"/>
  <c r="Z113" i="1"/>
  <c r="Z106" i="1"/>
  <c r="Z86" i="1"/>
  <c r="AF104" i="1"/>
  <c r="Z101" i="1"/>
  <c r="Z111" i="1"/>
  <c r="AF116" i="1"/>
  <c r="Z100" i="1"/>
  <c r="Z107" i="1"/>
  <c r="AF106" i="1"/>
  <c r="Z75" i="1"/>
  <c r="Z70" i="1"/>
  <c r="Z116" i="1"/>
  <c r="Z109" i="1"/>
  <c r="Z102" i="1"/>
  <c r="Z85" i="1"/>
  <c r="Z82" i="1"/>
  <c r="AF102" i="1"/>
  <c r="Z112" i="1"/>
  <c r="AF103" i="1"/>
  <c r="AF111" i="1"/>
  <c r="Z117" i="1"/>
  <c r="AF110" i="1"/>
  <c r="AF96" i="1"/>
  <c r="Z80" i="1"/>
  <c r="Z99" i="1"/>
  <c r="Z96" i="1"/>
  <c r="Z83" i="1"/>
  <c r="Z90" i="1"/>
  <c r="Z103" i="1"/>
  <c r="Z108" i="1"/>
  <c r="AI78" i="1"/>
  <c r="Z105" i="1"/>
  <c r="Z77" i="1"/>
  <c r="Z76" i="1"/>
  <c r="Z69" i="1"/>
  <c r="AF99" i="1"/>
  <c r="AF94" i="1"/>
  <c r="Z110" i="1"/>
  <c r="AD138" i="1" l="1"/>
  <c r="S40" i="1" s="1"/>
  <c r="B282" i="21" s="1"/>
  <c r="AD137" i="1"/>
  <c r="S39" i="1" s="1"/>
  <c r="B278" i="21" s="1"/>
  <c r="AD136" i="1"/>
  <c r="AD135" i="1"/>
  <c r="S37" i="1" s="1"/>
  <c r="B270" i="21" s="1"/>
  <c r="Y49" i="1"/>
  <c r="C33" i="6"/>
  <c r="Y53" i="1"/>
  <c r="R66" i="1"/>
  <c r="R67" i="1"/>
  <c r="AI79" i="1"/>
  <c r="AI80" i="1" s="1"/>
  <c r="AI84" i="1" s="1"/>
  <c r="Y110" i="1"/>
  <c r="AD121" i="1"/>
  <c r="AC121" i="1"/>
  <c r="AI88" i="1"/>
  <c r="AG74" i="1"/>
  <c r="AB108" i="1" s="1"/>
  <c r="AC108" i="1" s="1"/>
  <c r="AB121" i="1"/>
  <c r="AI87" i="1"/>
  <c r="AF87" i="1" s="1"/>
  <c r="AE121" i="1"/>
  <c r="AI86" i="1"/>
  <c r="AF86" i="1" s="1"/>
  <c r="S38" i="1" l="1"/>
  <c r="AF136" i="1"/>
  <c r="AE136" i="1"/>
  <c r="F8" i="18"/>
  <c r="F7" i="18" s="1"/>
  <c r="B276" i="21" s="1"/>
  <c r="AE138" i="1"/>
  <c r="G8" i="18"/>
  <c r="G7" i="18" s="1"/>
  <c r="B280" i="21" s="1"/>
  <c r="C8" i="18"/>
  <c r="R16" i="1"/>
  <c r="R15" i="1"/>
  <c r="R14" i="1"/>
  <c r="R69" i="1"/>
  <c r="R68" i="1"/>
  <c r="AE137" i="1"/>
  <c r="AI81" i="1"/>
  <c r="AF137" i="1"/>
  <c r="AF138" i="1"/>
  <c r="AB110" i="1"/>
  <c r="AC110" i="1" s="1"/>
  <c r="AD69" i="1"/>
  <c r="AE69" i="1" s="1"/>
  <c r="AB70" i="1"/>
  <c r="AC70" i="1" s="1"/>
  <c r="AD90" i="1"/>
  <c r="AE90" i="1" s="1"/>
  <c r="AE113" i="1"/>
  <c r="AB86" i="1"/>
  <c r="AC86" i="1" s="1"/>
  <c r="AB105" i="1"/>
  <c r="AC105" i="1" s="1"/>
  <c r="AD84" i="1"/>
  <c r="AE84" i="1" s="1"/>
  <c r="AB81" i="1"/>
  <c r="AC81" i="1" s="1"/>
  <c r="AD118" i="1"/>
  <c r="AD115" i="1"/>
  <c r="AB115" i="1"/>
  <c r="AC115" i="1" s="1"/>
  <c r="AE100" i="1"/>
  <c r="AD77" i="1"/>
  <c r="AE77" i="1" s="1"/>
  <c r="AB107" i="1"/>
  <c r="AC107" i="1" s="1"/>
  <c r="AB113" i="1"/>
  <c r="AC113" i="1" s="1"/>
  <c r="AB114" i="1"/>
  <c r="AC114" i="1" s="1"/>
  <c r="AB90" i="1"/>
  <c r="AC90" i="1" s="1"/>
  <c r="AE117" i="1"/>
  <c r="AD106" i="1"/>
  <c r="AB72" i="1"/>
  <c r="AC72" i="1" s="1"/>
  <c r="AE97" i="1"/>
  <c r="AE118" i="1"/>
  <c r="AB82" i="1"/>
  <c r="AC82" i="1" s="1"/>
  <c r="AB104" i="1"/>
  <c r="AC104" i="1" s="1"/>
  <c r="AD82" i="1"/>
  <c r="AE82" i="1" s="1"/>
  <c r="AD111" i="1"/>
  <c r="AE119" i="1"/>
  <c r="AE122" i="1" s="1"/>
  <c r="AD117" i="1"/>
  <c r="AB97" i="1"/>
  <c r="AC97" i="1" s="1"/>
  <c r="AE135" i="1"/>
  <c r="AD95" i="1"/>
  <c r="AE109" i="1"/>
  <c r="AB74" i="1"/>
  <c r="AC74" i="1" s="1"/>
  <c r="AB75" i="1"/>
  <c r="AC75" i="1" s="1"/>
  <c r="AB101" i="1"/>
  <c r="AC101" i="1" s="1"/>
  <c r="AD72" i="1"/>
  <c r="AE72" i="1" s="1"/>
  <c r="AD68" i="1"/>
  <c r="AD120" i="1" s="1"/>
  <c r="AE110" i="1"/>
  <c r="AE98" i="1"/>
  <c r="AB102" i="1"/>
  <c r="AC102" i="1" s="1"/>
  <c r="AD105" i="1"/>
  <c r="AE105" i="1"/>
  <c r="AB103" i="1"/>
  <c r="AC103" i="1" s="1"/>
  <c r="AD80" i="1"/>
  <c r="AE80" i="1" s="1"/>
  <c r="AB119" i="1"/>
  <c r="AC119" i="1" s="1"/>
  <c r="AC122" i="1" s="1"/>
  <c r="AD102" i="1"/>
  <c r="AD81" i="1"/>
  <c r="AE81" i="1" s="1"/>
  <c r="AD75" i="1"/>
  <c r="AE75" i="1" s="1"/>
  <c r="AE116" i="1"/>
  <c r="AB83" i="1"/>
  <c r="AC83" i="1" s="1"/>
  <c r="AB109" i="1"/>
  <c r="AC109" i="1" s="1"/>
  <c r="AB89" i="1"/>
  <c r="AC89" i="1" s="1"/>
  <c r="AD97" i="1"/>
  <c r="AD119" i="1"/>
  <c r="AD122" i="1" s="1"/>
  <c r="AB88" i="1"/>
  <c r="AC88" i="1" s="1"/>
  <c r="AE102" i="1"/>
  <c r="AB76" i="1"/>
  <c r="AC76" i="1" s="1"/>
  <c r="R41" i="1"/>
  <c r="AD99" i="1"/>
  <c r="AE111" i="1"/>
  <c r="AD98" i="1"/>
  <c r="AD91" i="1"/>
  <c r="AE91" i="1" s="1"/>
  <c r="AD78" i="1"/>
  <c r="AE78" i="1" s="1"/>
  <c r="AD101" i="1"/>
  <c r="AE106" i="1"/>
  <c r="AB95" i="1"/>
  <c r="AC95" i="1" s="1"/>
  <c r="AB111" i="1"/>
  <c r="AC111" i="1" s="1"/>
  <c r="AE108" i="1"/>
  <c r="AE96" i="1"/>
  <c r="AD74" i="1"/>
  <c r="AE74" i="1" s="1"/>
  <c r="AD85" i="1"/>
  <c r="AE85" i="1" s="1"/>
  <c r="AB87" i="1"/>
  <c r="AC87" i="1" s="1"/>
  <c r="AE103" i="1"/>
  <c r="AD104" i="1"/>
  <c r="AD87" i="1"/>
  <c r="AE87" i="1" s="1"/>
  <c r="AE99" i="1"/>
  <c r="AD103" i="1"/>
  <c r="AD73" i="1"/>
  <c r="AE73" i="1" s="1"/>
  <c r="AD114" i="1"/>
  <c r="AB92" i="1"/>
  <c r="AC92" i="1" s="1"/>
  <c r="AB117" i="1"/>
  <c r="AC117" i="1" s="1"/>
  <c r="AD113" i="1"/>
  <c r="AD70" i="1"/>
  <c r="AE70" i="1" s="1"/>
  <c r="AE95" i="1"/>
  <c r="AF135" i="1"/>
  <c r="AB106" i="1"/>
  <c r="AC106" i="1" s="1"/>
  <c r="AD96" i="1"/>
  <c r="AE104" i="1"/>
  <c r="AD109" i="1"/>
  <c r="AB99" i="1"/>
  <c r="AC99" i="1" s="1"/>
  <c r="AD88" i="1"/>
  <c r="AE88" i="1" s="1"/>
  <c r="AD100" i="1"/>
  <c r="AD116" i="1"/>
  <c r="AE112" i="1"/>
  <c r="AD71" i="1"/>
  <c r="AE71" i="1" s="1"/>
  <c r="AB112" i="1"/>
  <c r="AC112" i="1" s="1"/>
  <c r="AD107" i="1"/>
  <c r="AD76" i="1"/>
  <c r="AE76" i="1" s="1"/>
  <c r="AD86" i="1"/>
  <c r="AE86" i="1" s="1"/>
  <c r="AB116" i="1"/>
  <c r="AC116" i="1" s="1"/>
  <c r="AD89" i="1"/>
  <c r="AE89" i="1" s="1"/>
  <c r="AB79" i="1"/>
  <c r="AC79" i="1" s="1"/>
  <c r="AB118" i="1"/>
  <c r="AC118" i="1" s="1"/>
  <c r="AB69" i="1"/>
  <c r="AC69" i="1" s="1"/>
  <c r="AB78" i="1"/>
  <c r="AC78" i="1" s="1"/>
  <c r="AD108" i="1"/>
  <c r="AB91" i="1"/>
  <c r="AC91" i="1" s="1"/>
  <c r="AE114" i="1"/>
  <c r="AB68" i="1"/>
  <c r="AC68" i="1" s="1"/>
  <c r="AC120" i="1" s="1"/>
  <c r="AE115" i="1"/>
  <c r="AB96" i="1"/>
  <c r="AC96" i="1" s="1"/>
  <c r="AD110" i="1"/>
  <c r="AB71" i="1"/>
  <c r="AC71" i="1" s="1"/>
  <c r="AB85" i="1"/>
  <c r="AC85" i="1" s="1"/>
  <c r="AB73" i="1"/>
  <c r="AC73" i="1" s="1"/>
  <c r="AB98" i="1"/>
  <c r="AC98" i="1" s="1"/>
  <c r="AD92" i="1"/>
  <c r="AE92" i="1" s="1"/>
  <c r="AB80" i="1"/>
  <c r="AC80" i="1" s="1"/>
  <c r="AB100" i="1"/>
  <c r="AC100" i="1" s="1"/>
  <c r="AD79" i="1"/>
  <c r="AE79" i="1" s="1"/>
  <c r="AB77" i="1"/>
  <c r="AC77" i="1" s="1"/>
  <c r="AD112" i="1"/>
  <c r="AE107" i="1"/>
  <c r="AB84" i="1"/>
  <c r="AC84" i="1" s="1"/>
  <c r="AE101" i="1"/>
  <c r="AD83" i="1"/>
  <c r="AE83" i="1" s="1"/>
  <c r="AF84" i="1"/>
  <c r="AI85" i="1"/>
  <c r="AF85" i="1" s="1"/>
  <c r="C7" i="18" l="1"/>
  <c r="B268" i="21" s="1"/>
  <c r="D8" i="18"/>
  <c r="D7" i="18" s="1"/>
  <c r="B272" i="21" s="1"/>
  <c r="B274" i="21"/>
  <c r="G18" i="18"/>
  <c r="G21" i="18" s="1"/>
  <c r="V47" i="1"/>
  <c r="F18" i="18"/>
  <c r="F21" i="18" s="1"/>
  <c r="U47" i="1"/>
  <c r="W47" i="1"/>
  <c r="X47" i="1"/>
  <c r="R17" i="1"/>
  <c r="R71" i="1"/>
  <c r="R70" i="1"/>
  <c r="AD123" i="1"/>
  <c r="AE68" i="1"/>
  <c r="AE120" i="1" s="1"/>
  <c r="AE123" i="1" s="1"/>
  <c r="AB120" i="1"/>
  <c r="AB122" i="1"/>
  <c r="AC123" i="1"/>
  <c r="D18" i="18" l="1"/>
  <c r="D21" i="18" s="1"/>
  <c r="M31" i="2"/>
  <c r="M39" i="2"/>
  <c r="N32" i="2"/>
  <c r="D9" i="18"/>
  <c r="D22" i="18" s="1"/>
  <c r="M32" i="2"/>
  <c r="G9" i="18"/>
  <c r="G23" i="18" s="1"/>
  <c r="N39" i="2"/>
  <c r="E21" i="19"/>
  <c r="X48" i="1"/>
  <c r="H21" i="19"/>
  <c r="W48" i="1"/>
  <c r="G21" i="19"/>
  <c r="V48" i="1"/>
  <c r="F21" i="19"/>
  <c r="Q33" i="2"/>
  <c r="C18" i="18"/>
  <c r="C21" i="18" s="1"/>
  <c r="M38" i="2"/>
  <c r="N38" i="2"/>
  <c r="N31" i="2"/>
  <c r="U48" i="1"/>
  <c r="F9" i="18"/>
  <c r="H17" i="2"/>
  <c r="AO79" i="1"/>
  <c r="R73" i="1"/>
  <c r="R72" i="1"/>
  <c r="AB123" i="1"/>
  <c r="D23" i="18" l="1"/>
  <c r="H16" i="19"/>
  <c r="G22" i="18"/>
  <c r="J92" i="1"/>
  <c r="F16" i="19"/>
  <c r="G16" i="19"/>
  <c r="F20" i="19"/>
  <c r="G20" i="19"/>
  <c r="H20" i="19"/>
  <c r="E20" i="19"/>
  <c r="F23" i="18"/>
  <c r="F22" i="18"/>
  <c r="S10" i="1"/>
  <c r="Q22" i="1"/>
  <c r="N11" i="2"/>
  <c r="N6" i="2"/>
  <c r="AM79" i="1"/>
  <c r="P22" i="1"/>
  <c r="I92" i="1"/>
  <c r="P15" i="1"/>
  <c r="V21" i="1" s="1"/>
  <c r="V86" i="1" s="1"/>
  <c r="C23" i="18"/>
  <c r="C22" i="18"/>
  <c r="I95" i="1"/>
  <c r="P17" i="1"/>
  <c r="S12" i="1"/>
  <c r="P11" i="2"/>
  <c r="P6" i="2"/>
  <c r="Q24" i="1"/>
  <c r="P24" i="1"/>
  <c r="J95" i="1"/>
  <c r="R75" i="1"/>
  <c r="R74" i="1"/>
  <c r="O6" i="2" l="1"/>
  <c r="H16" i="2"/>
  <c r="E5" i="14"/>
  <c r="P16" i="1"/>
  <c r="W21" i="1" s="1"/>
  <c r="W39" i="1" s="1"/>
  <c r="AQ5" i="1" s="1"/>
  <c r="J94" i="1"/>
  <c r="AF141" i="1"/>
  <c r="AF140" i="1" s="1"/>
  <c r="S11" i="1"/>
  <c r="I94" i="1"/>
  <c r="AN79" i="1"/>
  <c r="O11" i="2"/>
  <c r="D5" i="7"/>
  <c r="D7" i="7" s="1"/>
  <c r="D8" i="7" s="1"/>
  <c r="D9" i="7" s="1"/>
  <c r="D11" i="7" s="1"/>
  <c r="Q23" i="1"/>
  <c r="P23" i="1"/>
  <c r="V44" i="1"/>
  <c r="V83" i="1"/>
  <c r="V123" i="1"/>
  <c r="V124" i="1"/>
  <c r="V119" i="1"/>
  <c r="V80" i="1"/>
  <c r="V90" i="1"/>
  <c r="V160" i="1"/>
  <c r="V107" i="1"/>
  <c r="V126" i="1"/>
  <c r="V95" i="1"/>
  <c r="V122" i="1"/>
  <c r="V101" i="1"/>
  <c r="V117" i="1"/>
  <c r="V125" i="1"/>
  <c r="V98" i="1"/>
  <c r="V96" i="1"/>
  <c r="V106" i="1"/>
  <c r="V116" i="1"/>
  <c r="V109" i="1"/>
  <c r="V78" i="1"/>
  <c r="V161" i="1"/>
  <c r="V91" i="1"/>
  <c r="V155" i="1"/>
  <c r="V76" i="1"/>
  <c r="V133" i="1"/>
  <c r="V121" i="1"/>
  <c r="V85" i="1"/>
  <c r="V73" i="1"/>
  <c r="V144" i="1"/>
  <c r="V156" i="1"/>
  <c r="V102" i="1"/>
  <c r="V147" i="1"/>
  <c r="V138" i="1"/>
  <c r="V115" i="1"/>
  <c r="V79" i="1"/>
  <c r="V152" i="1"/>
  <c r="V74" i="1"/>
  <c r="V146" i="1"/>
  <c r="V99" i="1"/>
  <c r="V88" i="1"/>
  <c r="V142" i="1"/>
  <c r="V131" i="1"/>
  <c r="V157" i="1"/>
  <c r="V93" i="1"/>
  <c r="V72" i="1"/>
  <c r="V158" i="1"/>
  <c r="V82" i="1"/>
  <c r="V81" i="1"/>
  <c r="V128" i="1"/>
  <c r="V104" i="1"/>
  <c r="V148" i="1"/>
  <c r="V136" i="1"/>
  <c r="V100" i="1"/>
  <c r="V145" i="1"/>
  <c r="V137" i="1"/>
  <c r="V140" i="1"/>
  <c r="V110" i="1"/>
  <c r="V77" i="1"/>
  <c r="V141" i="1"/>
  <c r="V112" i="1"/>
  <c r="V130" i="1"/>
  <c r="V159" i="1"/>
  <c r="V132" i="1"/>
  <c r="V39" i="1"/>
  <c r="V151" i="1"/>
  <c r="V89" i="1"/>
  <c r="V134" i="1"/>
  <c r="V114" i="1"/>
  <c r="V143" i="1"/>
  <c r="V135" i="1"/>
  <c r="V71" i="1"/>
  <c r="V154" i="1"/>
  <c r="V127" i="1"/>
  <c r="V84" i="1"/>
  <c r="AL5" i="1"/>
  <c r="V94" i="1"/>
  <c r="V75" i="1"/>
  <c r="V103" i="1"/>
  <c r="V92" i="1"/>
  <c r="V105" i="1"/>
  <c r="V139" i="1"/>
  <c r="V113" i="1"/>
  <c r="V97" i="1"/>
  <c r="V129" i="1"/>
  <c r="V150" i="1"/>
  <c r="V111" i="1"/>
  <c r="V120" i="1"/>
  <c r="V108" i="1"/>
  <c r="V118" i="1"/>
  <c r="V153" i="1"/>
  <c r="V149" i="1"/>
  <c r="V87" i="1"/>
  <c r="X21" i="1"/>
  <c r="X119" i="1" s="1"/>
  <c r="X44" i="1"/>
  <c r="R77" i="1"/>
  <c r="R76" i="1"/>
  <c r="E6" i="14" l="1"/>
  <c r="E7" i="14"/>
  <c r="K9" i="19"/>
  <c r="E16" i="19"/>
  <c r="E5" i="19" s="1"/>
  <c r="F22" i="19"/>
  <c r="H22" i="19"/>
  <c r="P21" i="1"/>
  <c r="W158" i="1"/>
  <c r="W98" i="1"/>
  <c r="W86" i="1"/>
  <c r="W118" i="1"/>
  <c r="W150" i="1"/>
  <c r="W77" i="1"/>
  <c r="W139" i="1"/>
  <c r="W102" i="1"/>
  <c r="W95" i="1"/>
  <c r="W94" i="1"/>
  <c r="W76" i="1"/>
  <c r="W88" i="1"/>
  <c r="W137" i="1"/>
  <c r="W142" i="1"/>
  <c r="W126" i="1"/>
  <c r="W75" i="1"/>
  <c r="W92" i="1"/>
  <c r="W109" i="1"/>
  <c r="W93" i="1"/>
  <c r="W85" i="1"/>
  <c r="W131" i="1"/>
  <c r="W99" i="1"/>
  <c r="W91" i="1"/>
  <c r="W101" i="1"/>
  <c r="W152" i="1"/>
  <c r="W61" i="1"/>
  <c r="W72" i="1"/>
  <c r="W123" i="1"/>
  <c r="W97" i="1"/>
  <c r="W147" i="1"/>
  <c r="W78" i="1"/>
  <c r="W145" i="1"/>
  <c r="W141" i="1"/>
  <c r="W144" i="1"/>
  <c r="W63" i="1"/>
  <c r="W100" i="1"/>
  <c r="W149" i="1"/>
  <c r="W96" i="1"/>
  <c r="W74" i="1"/>
  <c r="W107" i="1"/>
  <c r="W136" i="1"/>
  <c r="W116" i="1"/>
  <c r="W67" i="1"/>
  <c r="W156" i="1"/>
  <c r="W148" i="1"/>
  <c r="W82" i="1"/>
  <c r="W121" i="1"/>
  <c r="W157" i="1"/>
  <c r="G45" i="2"/>
  <c r="W133" i="1"/>
  <c r="W66" i="1"/>
  <c r="W130" i="1"/>
  <c r="W111" i="1"/>
  <c r="W114" i="1"/>
  <c r="W105" i="1"/>
  <c r="W117" i="1"/>
  <c r="W122" i="1"/>
  <c r="W108" i="1"/>
  <c r="W134" i="1"/>
  <c r="W62" i="1"/>
  <c r="W81" i="1"/>
  <c r="W128" i="1"/>
  <c r="W87" i="1"/>
  <c r="W138" i="1"/>
  <c r="W103" i="1"/>
  <c r="W125" i="1"/>
  <c r="W160" i="1"/>
  <c r="W135" i="1"/>
  <c r="W151" i="1"/>
  <c r="W120" i="1"/>
  <c r="W73" i="1"/>
  <c r="W132" i="1"/>
  <c r="W68" i="1"/>
  <c r="W90" i="1"/>
  <c r="W143" i="1"/>
  <c r="W112" i="1"/>
  <c r="H12" i="6"/>
  <c r="I12" i="6" s="1"/>
  <c r="C5" i="7"/>
  <c r="C7" i="7" s="1"/>
  <c r="C8" i="7" s="1"/>
  <c r="C9" i="7" s="1"/>
  <c r="C11" i="7" s="1"/>
  <c r="U13" i="1" s="1"/>
  <c r="U2" i="1"/>
  <c r="S9" i="1"/>
  <c r="H41" i="4" s="1"/>
  <c r="J91" i="1"/>
  <c r="E12" i="6"/>
  <c r="F12" i="6" s="1"/>
  <c r="P14" i="1"/>
  <c r="D5" i="14"/>
  <c r="V2" i="1"/>
  <c r="I91" i="1"/>
  <c r="I97" i="1" s="1"/>
  <c r="P12" i="1"/>
  <c r="AL79" i="1"/>
  <c r="AR79" i="1" s="1"/>
  <c r="Q21" i="1"/>
  <c r="W89" i="1"/>
  <c r="W106" i="1"/>
  <c r="W155" i="1"/>
  <c r="W153" i="1"/>
  <c r="W115" i="1"/>
  <c r="W161" i="1"/>
  <c r="W146" i="1"/>
  <c r="W65" i="1"/>
  <c r="W110" i="1"/>
  <c r="W83" i="1"/>
  <c r="W22" i="1"/>
  <c r="W23" i="1" s="1"/>
  <c r="G23" i="19" s="1"/>
  <c r="W80" i="1"/>
  <c r="W154" i="1"/>
  <c r="W159" i="1"/>
  <c r="W79" i="1"/>
  <c r="W69" i="1"/>
  <c r="W64" i="1"/>
  <c r="W84" i="1"/>
  <c r="W124" i="1"/>
  <c r="W70" i="1"/>
  <c r="W129" i="1"/>
  <c r="W71" i="1"/>
  <c r="W104" i="1"/>
  <c r="W40" i="1"/>
  <c r="AQ6" i="1" s="1"/>
  <c r="W113" i="1"/>
  <c r="W119" i="1"/>
  <c r="W127" i="1"/>
  <c r="W140" i="1"/>
  <c r="W44" i="1"/>
  <c r="AP5" i="1"/>
  <c r="X159" i="1"/>
  <c r="X126" i="1"/>
  <c r="X90" i="1"/>
  <c r="X76" i="1"/>
  <c r="X112" i="1"/>
  <c r="X103" i="1"/>
  <c r="X133" i="1"/>
  <c r="X123" i="1"/>
  <c r="X74" i="1"/>
  <c r="X127" i="1"/>
  <c r="X113" i="1"/>
  <c r="X111" i="1"/>
  <c r="X88" i="1"/>
  <c r="X152" i="1"/>
  <c r="X89" i="1"/>
  <c r="X158" i="1"/>
  <c r="X82" i="1"/>
  <c r="X64" i="1"/>
  <c r="X95" i="1"/>
  <c r="X140" i="1"/>
  <c r="X125" i="1"/>
  <c r="X117" i="1"/>
  <c r="X67" i="1"/>
  <c r="X109" i="1"/>
  <c r="X138" i="1"/>
  <c r="X93" i="1"/>
  <c r="X135" i="1"/>
  <c r="X154" i="1"/>
  <c r="X86" i="1"/>
  <c r="X100" i="1"/>
  <c r="X80" i="1"/>
  <c r="X149" i="1"/>
  <c r="X102" i="1"/>
  <c r="X118" i="1"/>
  <c r="X77" i="1"/>
  <c r="X84" i="1"/>
  <c r="X114" i="1"/>
  <c r="X129" i="1"/>
  <c r="X83" i="1"/>
  <c r="X120" i="1"/>
  <c r="X63" i="1"/>
  <c r="X110" i="1"/>
  <c r="X75" i="1"/>
  <c r="X148" i="1"/>
  <c r="X107" i="1"/>
  <c r="X81" i="1"/>
  <c r="X151" i="1"/>
  <c r="X130" i="1"/>
  <c r="X61" i="1"/>
  <c r="X70" i="1"/>
  <c r="X124" i="1"/>
  <c r="X108" i="1"/>
  <c r="X157" i="1"/>
  <c r="X94" i="1"/>
  <c r="X144" i="1"/>
  <c r="X150" i="1"/>
  <c r="X156" i="1"/>
  <c r="X68" i="1"/>
  <c r="X87" i="1"/>
  <c r="X134" i="1"/>
  <c r="X161" i="1"/>
  <c r="X39" i="1"/>
  <c r="X115" i="1"/>
  <c r="X122" i="1"/>
  <c r="X85" i="1"/>
  <c r="X66" i="1"/>
  <c r="X131" i="1"/>
  <c r="X96" i="1"/>
  <c r="X91" i="1"/>
  <c r="X104" i="1"/>
  <c r="X121" i="1"/>
  <c r="X147" i="1"/>
  <c r="X78" i="1"/>
  <c r="X105" i="1"/>
  <c r="X132" i="1"/>
  <c r="X101" i="1"/>
  <c r="X65" i="1"/>
  <c r="X79" i="1"/>
  <c r="X22" i="1"/>
  <c r="X141" i="1"/>
  <c r="X62" i="1"/>
  <c r="X155" i="1"/>
  <c r="X106" i="1"/>
  <c r="X71" i="1"/>
  <c r="X69" i="1"/>
  <c r="X137" i="1"/>
  <c r="X143" i="1"/>
  <c r="X160" i="1"/>
  <c r="X116" i="1"/>
  <c r="X145" i="1"/>
  <c r="X142" i="1"/>
  <c r="X98" i="1"/>
  <c r="X97" i="1"/>
  <c r="X146" i="1"/>
  <c r="X92" i="1"/>
  <c r="X139" i="1"/>
  <c r="X72" i="1"/>
  <c r="X153" i="1"/>
  <c r="X99" i="1"/>
  <c r="X136" i="1"/>
  <c r="X73" i="1"/>
  <c r="X128" i="1"/>
  <c r="R79" i="1"/>
  <c r="R78" i="1"/>
  <c r="D7" i="14" l="1"/>
  <c r="F7" i="14" s="1"/>
  <c r="D6" i="14"/>
  <c r="F6" i="14" s="1"/>
  <c r="AM80" i="1"/>
  <c r="AM81" i="1" s="1"/>
  <c r="AN80" i="1"/>
  <c r="AN81" i="1" s="1"/>
  <c r="U21" i="1"/>
  <c r="G22" i="19"/>
  <c r="O22" i="2"/>
  <c r="B228" i="21" s="1"/>
  <c r="U44" i="1"/>
  <c r="J98" i="1"/>
  <c r="W59" i="1"/>
  <c r="E13" i="6"/>
  <c r="F13" i="6" s="1"/>
  <c r="F22" i="6" s="1"/>
  <c r="F24" i="6" s="1"/>
  <c r="R18" i="2"/>
  <c r="C14" i="7"/>
  <c r="C4" i="3" s="1"/>
  <c r="H13" i="6"/>
  <c r="D39" i="12"/>
  <c r="D41" i="12" s="1"/>
  <c r="D44" i="12" s="1"/>
  <c r="C37" i="3"/>
  <c r="F5" i="14"/>
  <c r="W58" i="1"/>
  <c r="W51" i="1"/>
  <c r="U27" i="1"/>
  <c r="X59" i="1"/>
  <c r="X58" i="1"/>
  <c r="X51" i="1"/>
  <c r="X23" i="1"/>
  <c r="H23" i="19" s="1"/>
  <c r="C7" i="11" l="1"/>
  <c r="C9" i="11" s="1"/>
  <c r="G29" i="19"/>
  <c r="Z44" i="1"/>
  <c r="Z45" i="1"/>
  <c r="E22" i="19"/>
  <c r="AO80" i="1"/>
  <c r="AO81" i="1" s="1"/>
  <c r="P22" i="2"/>
  <c r="B234" i="21" s="1"/>
  <c r="AK5" i="1"/>
  <c r="AK6" i="1" s="1"/>
  <c r="AO6" i="1" s="1"/>
  <c r="U39" i="1"/>
  <c r="Z21" i="1"/>
  <c r="W49" i="1"/>
  <c r="I13" i="6"/>
  <c r="I22" i="6" s="1"/>
  <c r="I24" i="6" s="1"/>
  <c r="E10" i="19" l="1"/>
  <c r="AL80" i="1"/>
  <c r="AL81" i="1" s="1"/>
  <c r="H29" i="19"/>
  <c r="Z39" i="1"/>
  <c r="AO5" i="1"/>
  <c r="AM5" i="1"/>
  <c r="AR80" i="1" l="1"/>
  <c r="AR81" i="1" s="1"/>
  <c r="R25" i="2" s="1"/>
  <c r="B210" i="21" l="1"/>
  <c r="B240" i="21" s="1"/>
  <c r="Q29" i="2"/>
  <c r="U16" i="1" s="1"/>
  <c r="AA44" i="1" l="1"/>
  <c r="X49" i="1" l="1"/>
  <c r="M7" i="2" l="1"/>
  <c r="B217" i="21" s="1"/>
  <c r="N7" i="2" l="1"/>
  <c r="B223" i="21" s="1"/>
  <c r="O7" i="2"/>
  <c r="B229" i="21" s="1"/>
  <c r="P7" i="2"/>
  <c r="B235" i="21" s="1"/>
  <c r="C20" i="3"/>
  <c r="M13" i="19" s="1"/>
  <c r="O8" i="2" l="1"/>
  <c r="B230" i="21" s="1"/>
  <c r="P8" i="2"/>
  <c r="B236" i="21" s="1"/>
  <c r="P13" i="2" l="1"/>
  <c r="P10" i="2"/>
  <c r="O13" i="2"/>
  <c r="O10" i="2"/>
  <c r="AA6" i="1" l="1"/>
  <c r="H7" i="2"/>
  <c r="G7" i="2" s="1"/>
  <c r="P5" i="1" l="1"/>
  <c r="C3" i="6" s="1"/>
  <c r="Q5" i="1"/>
  <c r="X36" i="1" s="1"/>
  <c r="D8" i="3"/>
  <c r="C8" i="3" s="1"/>
  <c r="B243" i="21" s="1"/>
  <c r="V36" i="1"/>
  <c r="W20" i="1"/>
  <c r="U20" i="1"/>
  <c r="O39" i="4"/>
  <c r="AQ3" i="1"/>
  <c r="P37" i="4"/>
  <c r="C39" i="3"/>
  <c r="AL3" i="1"/>
  <c r="AO3" i="1"/>
  <c r="V20" i="1"/>
  <c r="O38" i="4"/>
  <c r="O37" i="4"/>
  <c r="F2" i="13" l="1"/>
  <c r="F4" i="13" s="1"/>
  <c r="F5" i="13" s="1"/>
  <c r="U36" i="1"/>
  <c r="P38" i="4"/>
  <c r="P39" i="4" s="1"/>
  <c r="G44" i="4" s="1"/>
  <c r="AP3" i="1"/>
  <c r="X20" i="1"/>
  <c r="AK3" i="1"/>
  <c r="R4" i="1"/>
  <c r="K6" i="19" s="1"/>
  <c r="W36" i="1"/>
  <c r="C35" i="3"/>
  <c r="C38" i="3" s="1"/>
  <c r="C40" i="3" s="1"/>
  <c r="C4" i="11"/>
  <c r="C15" i="11" s="1"/>
  <c r="F26" i="9"/>
  <c r="H28" i="1"/>
  <c r="C14" i="11" s="1"/>
  <c r="H30" i="1"/>
  <c r="D15" i="12"/>
  <c r="F17" i="13"/>
  <c r="F18" i="13" s="1"/>
  <c r="F19" i="13" s="1"/>
  <c r="J85" i="1"/>
  <c r="J87" i="1" s="1"/>
  <c r="D7" i="9"/>
  <c r="D9" i="9" s="1"/>
  <c r="C12" i="8"/>
  <c r="C13" i="8" s="1"/>
  <c r="D9" i="3"/>
  <c r="F20" i="13"/>
  <c r="F42" i="9"/>
  <c r="F23" i="13"/>
  <c r="H33" i="1"/>
  <c r="I41" i="1" s="1"/>
  <c r="F7" i="13"/>
  <c r="H25" i="1"/>
  <c r="I25" i="1" s="1"/>
  <c r="G38" i="4"/>
  <c r="G40" i="4" s="1"/>
  <c r="C6" i="8"/>
  <c r="C7" i="8" s="1"/>
  <c r="C8" i="8" s="1"/>
  <c r="C9" i="8" s="1"/>
  <c r="C14" i="8" s="1"/>
  <c r="F10" i="13"/>
  <c r="H29" i="1"/>
  <c r="AA4" i="1"/>
  <c r="D14" i="3"/>
  <c r="B248" i="21" s="1"/>
  <c r="U12" i="1"/>
  <c r="K33" i="1"/>
  <c r="D66" i="1" s="1"/>
  <c r="H27" i="1"/>
  <c r="H26" i="1"/>
  <c r="J20" i="1"/>
  <c r="F24" i="9"/>
  <c r="E14" i="6"/>
  <c r="E15" i="6" s="1"/>
  <c r="H16" i="6"/>
  <c r="E16" i="6"/>
  <c r="H14" i="6"/>
  <c r="H15" i="6" s="1"/>
  <c r="F27" i="13"/>
  <c r="F6" i="13"/>
  <c r="C15" i="8" l="1"/>
  <c r="J40" i="4"/>
  <c r="L40" i="4"/>
  <c r="I38" i="1"/>
  <c r="B72" i="1"/>
  <c r="C16" i="11"/>
  <c r="C11" i="8"/>
  <c r="C16" i="8" s="1"/>
  <c r="I40" i="4"/>
  <c r="G41" i="4" s="1"/>
  <c r="K40" i="4"/>
  <c r="H40" i="4"/>
  <c r="E39" i="4" s="1"/>
  <c r="B75" i="1"/>
  <c r="I26" i="1"/>
  <c r="I27" i="1" s="1"/>
  <c r="B76" i="1"/>
  <c r="I40" i="1"/>
  <c r="B70" i="1"/>
  <c r="B71" i="1"/>
  <c r="C36" i="6"/>
  <c r="E36" i="6" s="1"/>
  <c r="I42" i="1"/>
  <c r="I39" i="1"/>
  <c r="I37" i="1"/>
  <c r="I43" i="1"/>
  <c r="B74" i="1"/>
  <c r="B73" i="1"/>
  <c r="F8" i="14"/>
  <c r="F9" i="14" s="1"/>
  <c r="D50" i="12" s="1"/>
  <c r="D52" i="12" s="1"/>
  <c r="R17" i="2"/>
  <c r="B21" i="3"/>
  <c r="E38" i="4"/>
  <c r="H17" i="6"/>
  <c r="H21" i="6" s="1"/>
  <c r="H18" i="6"/>
  <c r="H19" i="6" s="1"/>
  <c r="H20" i="6" s="1"/>
  <c r="E18" i="6"/>
  <c r="E17" i="6"/>
  <c r="E21" i="6" s="1"/>
  <c r="V70" i="1" l="1"/>
  <c r="E40" i="4"/>
  <c r="C17" i="8"/>
  <c r="C18" i="8"/>
  <c r="C19" i="8" s="1"/>
  <c r="C20" i="8" s="1"/>
  <c r="C70" i="1"/>
  <c r="C71" i="1" s="1"/>
  <c r="C72" i="1" s="1"/>
  <c r="C73" i="1" s="1"/>
  <c r="C74" i="1" s="1"/>
  <c r="C75" i="1" s="1"/>
  <c r="C76" i="1" s="1"/>
  <c r="I28" i="1"/>
  <c r="I29" i="1" s="1"/>
  <c r="I30" i="1" s="1"/>
  <c r="C21" i="8"/>
  <c r="C23" i="8"/>
  <c r="W26" i="1"/>
  <c r="V27" i="1" s="1"/>
  <c r="J37" i="1"/>
  <c r="J38" i="1" s="1"/>
  <c r="J39" i="1" s="1"/>
  <c r="J40" i="1" s="1"/>
  <c r="J41" i="1" s="1"/>
  <c r="J42" i="1" s="1"/>
  <c r="J43" i="1" s="1"/>
  <c r="U40" i="1" s="1"/>
  <c r="U41" i="1" s="1"/>
  <c r="V26" i="1"/>
  <c r="H22" i="6"/>
  <c r="H24" i="6" s="1"/>
  <c r="H25" i="6" s="1"/>
  <c r="C29" i="6" s="1"/>
  <c r="E19" i="6"/>
  <c r="E20" i="6" s="1"/>
  <c r="E22" i="6" s="1"/>
  <c r="E24" i="6" s="1"/>
  <c r="E25" i="6" s="1"/>
  <c r="U3" i="1" s="1"/>
  <c r="E37" i="6"/>
  <c r="AL6" i="1" l="1"/>
  <c r="AM6" i="1" s="1"/>
  <c r="AM9" i="1" s="1"/>
  <c r="V22" i="1"/>
  <c r="V51" i="1" s="1"/>
  <c r="V49" i="1" s="1"/>
  <c r="C22" i="8"/>
  <c r="V67" i="1"/>
  <c r="V61" i="1"/>
  <c r="V63" i="1"/>
  <c r="V40" i="1"/>
  <c r="Z40" i="1" s="1"/>
  <c r="V68" i="1"/>
  <c r="V65" i="1"/>
  <c r="V64" i="1"/>
  <c r="V66" i="1"/>
  <c r="V62" i="1"/>
  <c r="V69" i="1"/>
  <c r="U129" i="1"/>
  <c r="U63" i="1"/>
  <c r="U73" i="1"/>
  <c r="U69" i="1"/>
  <c r="U74" i="1"/>
  <c r="U76" i="1"/>
  <c r="U22" i="1"/>
  <c r="U51" i="1" s="1"/>
  <c r="U126" i="1"/>
  <c r="U151" i="1"/>
  <c r="U139" i="1"/>
  <c r="U75" i="1"/>
  <c r="U109" i="1"/>
  <c r="U119" i="1"/>
  <c r="U145" i="1"/>
  <c r="U81" i="1"/>
  <c r="U62" i="1"/>
  <c r="U61" i="1"/>
  <c r="U107" i="1"/>
  <c r="U114" i="1"/>
  <c r="U71" i="1"/>
  <c r="U64" i="1"/>
  <c r="U70" i="1"/>
  <c r="U159" i="1"/>
  <c r="U127" i="1"/>
  <c r="U148" i="1"/>
  <c r="U99" i="1"/>
  <c r="U118" i="1"/>
  <c r="U142" i="1"/>
  <c r="U90" i="1"/>
  <c r="U123" i="1"/>
  <c r="U147" i="1"/>
  <c r="U111" i="1"/>
  <c r="U140" i="1"/>
  <c r="U80" i="1"/>
  <c r="U115" i="1"/>
  <c r="U153" i="1"/>
  <c r="U84" i="1"/>
  <c r="U100" i="1"/>
  <c r="U106" i="1"/>
  <c r="U112" i="1"/>
  <c r="U103" i="1"/>
  <c r="U141" i="1"/>
  <c r="U116" i="1"/>
  <c r="U121" i="1"/>
  <c r="U98" i="1"/>
  <c r="U79" i="1"/>
  <c r="U78" i="1"/>
  <c r="U65" i="1"/>
  <c r="U94" i="1"/>
  <c r="U86" i="1"/>
  <c r="U89" i="1"/>
  <c r="U161" i="1"/>
  <c r="U85" i="1"/>
  <c r="U136" i="1"/>
  <c r="U152" i="1"/>
  <c r="U137" i="1"/>
  <c r="U158" i="1"/>
  <c r="U150" i="1"/>
  <c r="U128" i="1"/>
  <c r="U124" i="1"/>
  <c r="U131" i="1"/>
  <c r="U160" i="1"/>
  <c r="U101" i="1"/>
  <c r="U156" i="1"/>
  <c r="U91" i="1"/>
  <c r="U144" i="1"/>
  <c r="U92" i="1"/>
  <c r="U83" i="1"/>
  <c r="U132" i="1"/>
  <c r="U130" i="1"/>
  <c r="U122" i="1"/>
  <c r="U157" i="1"/>
  <c r="U113" i="1"/>
  <c r="U133" i="1"/>
  <c r="U108" i="1"/>
  <c r="U135" i="1"/>
  <c r="U104" i="1"/>
  <c r="U72" i="1"/>
  <c r="U66" i="1"/>
  <c r="U117" i="1"/>
  <c r="U97" i="1"/>
  <c r="U134" i="1"/>
  <c r="U110" i="1"/>
  <c r="U87" i="1"/>
  <c r="U120" i="1"/>
  <c r="U95" i="1"/>
  <c r="U138" i="1"/>
  <c r="U93" i="1"/>
  <c r="U125" i="1"/>
  <c r="U88" i="1"/>
  <c r="U68" i="1"/>
  <c r="U67" i="1"/>
  <c r="U77" i="1"/>
  <c r="U155" i="1"/>
  <c r="U82" i="1"/>
  <c r="U143" i="1"/>
  <c r="U102" i="1"/>
  <c r="U154" i="1"/>
  <c r="U149" i="1"/>
  <c r="U146" i="1"/>
  <c r="U96" i="1"/>
  <c r="U105" i="1"/>
  <c r="Z26" i="1"/>
  <c r="C24" i="8"/>
  <c r="C26" i="8"/>
  <c r="D10" i="3"/>
  <c r="E12" i="9"/>
  <c r="E14" i="9" s="1"/>
  <c r="B239" i="21"/>
  <c r="E6" i="19"/>
  <c r="E7" i="19" s="1"/>
  <c r="I30" i="19" s="1"/>
  <c r="V3" i="1"/>
  <c r="Z22" i="1"/>
  <c r="AP6" i="1" l="1"/>
  <c r="V23" i="1"/>
  <c r="N22" i="2" s="1"/>
  <c r="B222" i="21" s="1"/>
  <c r="V58" i="1"/>
  <c r="V59" i="1"/>
  <c r="U54" i="1"/>
  <c r="U58" i="1"/>
  <c r="U23" i="1"/>
  <c r="M22" i="2" s="1"/>
  <c r="B216" i="21" s="1"/>
  <c r="U59" i="1"/>
  <c r="E45" i="9"/>
  <c r="E46" i="9" s="1"/>
  <c r="E22" i="9"/>
  <c r="J7" i="3"/>
  <c r="D6" i="3" s="1"/>
  <c r="C7" i="3" s="1"/>
  <c r="H7" i="3"/>
  <c r="U49" i="1"/>
  <c r="U56" i="1"/>
  <c r="W56" i="1"/>
  <c r="X56" i="1"/>
  <c r="H19" i="19" s="1"/>
  <c r="Z51" i="1"/>
  <c r="V56" i="1"/>
  <c r="AA22" i="1"/>
  <c r="F23" i="19" l="1"/>
  <c r="F29" i="19" s="1"/>
  <c r="E23" i="19"/>
  <c r="E29" i="19" s="1"/>
  <c r="B242" i="21"/>
  <c r="C10" i="3"/>
  <c r="Q26" i="1"/>
  <c r="E19" i="19"/>
  <c r="F19" i="19"/>
  <c r="Q27" i="1"/>
  <c r="Z53" i="1"/>
  <c r="G19" i="19"/>
  <c r="Q28" i="1"/>
  <c r="H36" i="2" l="1"/>
  <c r="U4" i="1" s="1"/>
  <c r="B244" i="21"/>
  <c r="F21" i="13" l="1"/>
  <c r="F22" i="13" s="1"/>
  <c r="F8" i="13"/>
  <c r="F9" i="13" s="1"/>
  <c r="F11" i="13" s="1"/>
  <c r="F12" i="13" s="1"/>
  <c r="F13" i="13" s="1"/>
  <c r="Z11" i="1" s="1"/>
  <c r="B260" i="21" s="1"/>
  <c r="U5" i="1"/>
  <c r="H42" i="4"/>
  <c r="G42" i="4" s="1"/>
  <c r="G45" i="4" s="1"/>
  <c r="E42" i="4" s="1"/>
  <c r="B245" i="21"/>
  <c r="AC5" i="1"/>
  <c r="U6" i="1"/>
  <c r="AC6" i="1"/>
  <c r="AD6" i="1" s="1"/>
  <c r="AE6" i="1" s="1"/>
  <c r="S5" i="1"/>
  <c r="J88" i="1"/>
  <c r="Y10" i="1" s="1"/>
  <c r="AA10" i="1" s="1"/>
  <c r="V4" i="1"/>
  <c r="D14" i="12"/>
  <c r="D18" i="12" s="1"/>
  <c r="D19" i="12" s="1"/>
  <c r="D20" i="12" s="1"/>
  <c r="D21" i="12" s="1"/>
  <c r="D34" i="12" s="1"/>
  <c r="F16" i="13" l="1"/>
  <c r="F29" i="13" s="1"/>
  <c r="D13" i="3"/>
  <c r="B13" i="3"/>
  <c r="D53" i="12"/>
  <c r="D54" i="12" s="1"/>
  <c r="D55" i="12" s="1"/>
  <c r="Z13" i="1"/>
  <c r="F25" i="13"/>
  <c r="F28" i="13" s="1"/>
  <c r="F24" i="13"/>
  <c r="F32" i="13"/>
  <c r="B255" i="21"/>
  <c r="F30" i="13" l="1"/>
  <c r="B259" i="21"/>
  <c r="AA13" i="1"/>
  <c r="D20" i="3"/>
  <c r="B247" i="21"/>
  <c r="H37" i="2" l="1"/>
  <c r="B249" i="21"/>
  <c r="AA5" i="1" l="1"/>
  <c r="AA3" i="1" s="1"/>
  <c r="C10" i="11" s="1"/>
  <c r="AD5" i="1"/>
  <c r="C18" i="11" l="1"/>
  <c r="C11" i="11"/>
  <c r="C12" i="11" s="1"/>
  <c r="C19" i="11" l="1"/>
  <c r="C21" i="11" s="1"/>
  <c r="C23" i="11" s="1"/>
  <c r="U7" i="1" s="1"/>
  <c r="V7" i="1" l="1"/>
  <c r="N5" i="2"/>
  <c r="B251" i="21"/>
  <c r="AG18" i="1"/>
  <c r="AG19" i="1" s="1"/>
  <c r="AG20" i="1" s="1"/>
  <c r="AD17" i="1" s="1"/>
  <c r="AD18" i="1" s="1"/>
  <c r="AD19" i="1" s="1"/>
  <c r="AD20" i="1" s="1"/>
  <c r="AD21" i="1" s="1"/>
  <c r="AD22" i="1" s="1"/>
  <c r="AD23" i="1" s="1"/>
  <c r="AD24" i="1" s="1"/>
  <c r="AD25" i="1" s="1"/>
  <c r="AD26" i="1" s="1"/>
  <c r="AD27" i="1" s="1"/>
  <c r="AD28" i="1" s="1"/>
  <c r="AD29" i="1" s="1"/>
  <c r="AD30" i="1" s="1"/>
  <c r="AD31" i="1" s="1"/>
  <c r="AD32" i="1" s="1"/>
  <c r="AD33" i="1" s="1"/>
  <c r="AD34" i="1" s="1"/>
  <c r="AD35" i="1" s="1"/>
  <c r="AD36" i="1" s="1"/>
  <c r="E15" i="9"/>
  <c r="C28" i="6"/>
  <c r="U8" i="1"/>
  <c r="V8" i="1" s="1"/>
  <c r="V9" i="1" l="1"/>
  <c r="U9" i="1" s="1"/>
  <c r="D24" i="12" s="1"/>
  <c r="E16" i="9"/>
  <c r="E18" i="9" s="1"/>
  <c r="E23" i="9"/>
  <c r="B49" i="6"/>
  <c r="B48" i="6"/>
  <c r="E28" i="6"/>
  <c r="E29" i="6" s="1"/>
  <c r="B47" i="6"/>
  <c r="O9" i="2"/>
  <c r="B231" i="21" s="1"/>
  <c r="P9" i="2"/>
  <c r="B237" i="21" s="1"/>
  <c r="B46" i="6"/>
  <c r="F31" i="13" l="1"/>
  <c r="F33" i="13" s="1"/>
  <c r="F34" i="13" s="1"/>
  <c r="F36" i="13" s="1"/>
  <c r="Y11" i="1" s="1"/>
  <c r="B252" i="21"/>
  <c r="E26" i="9"/>
  <c r="E24" i="9"/>
  <c r="E25" i="9" s="1"/>
  <c r="E29" i="9"/>
  <c r="E40" i="9"/>
  <c r="E41" i="9" s="1"/>
  <c r="E42" i="9" s="1"/>
  <c r="E32" i="9"/>
  <c r="E33" i="9" s="1"/>
  <c r="D25" i="12" l="1"/>
  <c r="D26" i="12" s="1"/>
  <c r="D27" i="12" s="1"/>
  <c r="Y9" i="1" s="1"/>
  <c r="E27" i="9"/>
  <c r="E28" i="9" s="1"/>
  <c r="B256" i="21"/>
  <c r="AA11" i="1"/>
  <c r="K14" i="19" s="1"/>
  <c r="E37" i="9"/>
  <c r="E34" i="9"/>
  <c r="E35" i="9" s="1"/>
  <c r="E36" i="9" s="1"/>
  <c r="E30" i="9"/>
  <c r="E31" i="9" s="1"/>
  <c r="D35" i="12" l="1"/>
  <c r="D36" i="12" s="1"/>
  <c r="D38" i="12" s="1"/>
  <c r="D58" i="12" s="1"/>
  <c r="E38" i="9"/>
  <c r="E39" i="9" s="1"/>
  <c r="Y8" i="1"/>
  <c r="E43" i="9"/>
  <c r="E44" i="9" s="1"/>
  <c r="D46" i="12" l="1"/>
  <c r="E47" i="9"/>
  <c r="Z9" i="1"/>
  <c r="D60" i="12"/>
  <c r="B257" i="21"/>
  <c r="U10" i="1"/>
  <c r="U11" i="1" s="1"/>
  <c r="B258" i="21" l="1"/>
  <c r="Z8" i="1"/>
  <c r="AA9" i="1"/>
  <c r="B254" i="21" s="1"/>
  <c r="E8" i="19"/>
  <c r="E9" i="19" s="1"/>
  <c r="E11" i="19" s="1"/>
  <c r="R16" i="2"/>
  <c r="R19" i="2" s="1"/>
  <c r="B261" i="21" l="1"/>
  <c r="U14" i="1"/>
  <c r="AA8" i="1"/>
  <c r="R26" i="2"/>
  <c r="B211" i="21"/>
  <c r="M26" i="2"/>
  <c r="B212" i="21" l="1"/>
  <c r="R14" i="2"/>
  <c r="U15" i="1"/>
  <c r="B263" i="21" l="1"/>
  <c r="U17" i="1"/>
  <c r="AA15" i="1" l="1"/>
  <c r="AA16" i="1" s="1"/>
  <c r="AW162" i="1"/>
  <c r="CM213" i="1"/>
  <c r="DJ164" i="1"/>
  <c r="DH233" i="1"/>
  <c r="DV200" i="1"/>
  <c r="CK186" i="1"/>
  <c r="BD164" i="1"/>
  <c r="DF231" i="1"/>
  <c r="DJ207" i="1"/>
  <c r="CI220" i="1"/>
  <c r="CP196" i="1"/>
  <c r="AZ162" i="1"/>
  <c r="DF229" i="1"/>
  <c r="BN180" i="1"/>
  <c r="CB218" i="1"/>
  <c r="DV163" i="1"/>
  <c r="DF224" i="1"/>
  <c r="AS167" i="1"/>
  <c r="DN214" i="1"/>
  <c r="CJ233" i="1"/>
  <c r="DT177" i="1"/>
  <c r="DQ206" i="1"/>
  <c r="CK207" i="1"/>
  <c r="BQ231" i="1"/>
  <c r="BP196" i="1"/>
  <c r="CI173" i="1"/>
  <c r="DO204" i="1"/>
  <c r="DK206" i="1"/>
  <c r="CZ241" i="1"/>
  <c r="BX199" i="1"/>
  <c r="BS206" i="1"/>
  <c r="BY178" i="1"/>
  <c r="BV240" i="1"/>
  <c r="DV206" i="1"/>
  <c r="CI198" i="1"/>
  <c r="AU240" i="1"/>
  <c r="DT173" i="1"/>
  <c r="CJ240" i="1"/>
  <c r="DU240" i="1"/>
  <c r="AZ197" i="1"/>
  <c r="BZ231" i="1"/>
  <c r="CN200" i="1"/>
  <c r="BQ165" i="1"/>
  <c r="CI176" i="1"/>
  <c r="AZ192" i="1"/>
  <c r="EC196" i="1"/>
  <c r="BI196" i="1"/>
  <c r="BG229" i="1"/>
  <c r="AN173" i="1"/>
  <c r="BJ162" i="1"/>
  <c r="DH171" i="1"/>
  <c r="DD182" i="1"/>
  <c r="DU166" i="1"/>
  <c r="CR185" i="1"/>
  <c r="AI231" i="1"/>
  <c r="CU182" i="1"/>
  <c r="CP181" i="1"/>
  <c r="AU194" i="1"/>
  <c r="AY229" i="1"/>
  <c r="DR231" i="1"/>
  <c r="CT166" i="1"/>
  <c r="AW207" i="1"/>
  <c r="CM231" i="1"/>
  <c r="DZ170" i="1"/>
  <c r="DU197" i="1"/>
  <c r="DQ195" i="1"/>
  <c r="BW173" i="1"/>
  <c r="BN240" i="1"/>
  <c r="BV184" i="1"/>
  <c r="CE172" i="1"/>
  <c r="DB199" i="1"/>
  <c r="CI182" i="1"/>
  <c r="DF163" i="1"/>
  <c r="BM167" i="1"/>
  <c r="CV162" i="1"/>
  <c r="CL182" i="1"/>
  <c r="DX199" i="1"/>
  <c r="DX207" i="1"/>
  <c r="BP207" i="1"/>
  <c r="DF210" i="1"/>
  <c r="DU184" i="1"/>
  <c r="AQ177" i="1"/>
  <c r="BX194" i="1"/>
  <c r="BG231" i="1"/>
  <c r="DG182" i="1"/>
  <c r="AV195" i="1"/>
  <c r="BY202" i="1"/>
  <c r="BX223" i="1"/>
  <c r="BD200" i="1"/>
  <c r="DW234" i="1"/>
  <c r="BL231" i="1"/>
  <c r="CW223" i="1"/>
  <c r="DT200" i="1"/>
  <c r="AR233" i="1"/>
  <c r="AP168" i="1"/>
  <c r="BW207" i="1"/>
  <c r="DA207" i="1"/>
  <c r="AV229" i="1"/>
  <c r="DE195" i="1"/>
  <c r="AU182" i="1"/>
  <c r="AS210" i="1"/>
  <c r="CA207" i="1"/>
  <c r="BP180" i="1"/>
  <c r="CW196" i="1"/>
  <c r="BO173" i="1"/>
  <c r="AT168" i="1"/>
  <c r="CI166" i="1"/>
  <c r="AY192" i="1"/>
  <c r="BD202" i="1"/>
  <c r="CK229" i="1"/>
  <c r="CB168" i="1"/>
  <c r="DX184" i="1"/>
  <c r="CE240" i="1"/>
  <c r="BU213" i="1"/>
  <c r="DX197" i="1"/>
  <c r="AV203" i="1"/>
  <c r="BV162" i="1"/>
  <c r="CH172" i="1"/>
  <c r="CL196" i="1"/>
  <c r="BJ197" i="1"/>
  <c r="DU221" i="1"/>
  <c r="AU233" i="1"/>
  <c r="BK178" i="1"/>
  <c r="DI196" i="1"/>
  <c r="CP200" i="1"/>
  <c r="AO173" i="1"/>
  <c r="BD197" i="1"/>
  <c r="BG218" i="1"/>
  <c r="DR225" i="1"/>
  <c r="DD190" i="1"/>
  <c r="BT178" i="1"/>
  <c r="DK196" i="1"/>
  <c r="DP207" i="1"/>
  <c r="CF232" i="1"/>
  <c r="AS205" i="1"/>
  <c r="CA240" i="1"/>
  <c r="DV178" i="1"/>
  <c r="CP184" i="1"/>
  <c r="AW212" i="1"/>
  <c r="BD233" i="1"/>
  <c r="AI187" i="1"/>
  <c r="CW199" i="1"/>
  <c r="BU229" i="1"/>
  <c r="AI184" i="1"/>
  <c r="AX168" i="1"/>
  <c r="DQ178" i="1"/>
  <c r="CG231" i="1"/>
  <c r="AU207" i="1"/>
  <c r="BX213" i="1"/>
  <c r="BB240" i="1"/>
  <c r="DP173" i="1"/>
  <c r="EB203" i="1"/>
  <c r="DU212" i="1"/>
  <c r="AL197" i="1"/>
  <c r="CX194" i="1"/>
  <c r="BC163" i="1"/>
  <c r="CR241" i="1"/>
  <c r="AO175" i="1"/>
  <c r="BF231" i="1"/>
  <c r="DY170" i="1"/>
  <c r="BJ240" i="1"/>
  <c r="CX182" i="1"/>
  <c r="AT212" i="1"/>
  <c r="CA210" i="1"/>
  <c r="DR206" i="1"/>
  <c r="CU168" i="1"/>
  <c r="DZ162" i="1"/>
  <c r="CI232" i="1"/>
  <c r="DG211" i="1"/>
  <c r="CR229" i="1"/>
  <c r="BB180" i="1"/>
  <c r="BP233" i="1"/>
  <c r="BN202" i="1"/>
  <c r="CZ163" i="1"/>
  <c r="DW231" i="1"/>
  <c r="CJ173" i="1"/>
  <c r="BI164" i="1"/>
  <c r="BR200" i="1"/>
  <c r="BA204" i="1"/>
  <c r="CX230" i="1"/>
  <c r="CR216" i="1"/>
  <c r="BT182" i="1"/>
  <c r="BU231" i="1"/>
  <c r="BY180" i="1"/>
  <c r="BH169" i="1"/>
  <c r="CI177" i="1"/>
  <c r="DF164" i="1"/>
  <c r="CP207" i="1"/>
  <c r="BO206" i="1"/>
  <c r="BL194" i="1"/>
  <c r="CI233" i="1"/>
  <c r="DU202" i="1"/>
  <c r="BU180" i="1"/>
  <c r="AO177" i="1"/>
  <c r="DT172" i="1"/>
  <c r="CF170" i="1"/>
  <c r="DQ175" i="1"/>
  <c r="BP194" i="1"/>
  <c r="EC177" i="1"/>
  <c r="DI176" i="1"/>
  <c r="AN206" i="1"/>
  <c r="DK234" i="1"/>
  <c r="AX163" i="1"/>
  <c r="BG202" i="1"/>
  <c r="CE168" i="1"/>
  <c r="AV169" i="1"/>
  <c r="AS201" i="1"/>
  <c r="BK194" i="1"/>
  <c r="EC184" i="1"/>
  <c r="BE223" i="1"/>
  <c r="BB207" i="1"/>
  <c r="BU205" i="1"/>
  <c r="CI165" i="1"/>
  <c r="DJ199" i="1"/>
  <c r="CH184" i="1"/>
  <c r="BO229" i="1"/>
  <c r="DC202" i="1"/>
  <c r="CV173" i="1"/>
  <c r="BP182" i="1"/>
  <c r="BR186" i="1"/>
  <c r="CK234" i="1"/>
  <c r="CY178" i="1"/>
  <c r="CI213" i="1"/>
  <c r="DD177" i="1"/>
  <c r="DI173" i="1"/>
  <c r="BH195" i="1"/>
  <c r="CP210" i="1"/>
  <c r="CS240" i="1"/>
  <c r="CJ178" i="1"/>
  <c r="DO172" i="1"/>
  <c r="AV240" i="1"/>
  <c r="BG167" i="1"/>
  <c r="DW237" i="1"/>
  <c r="CS196" i="1"/>
  <c r="DT182" i="1"/>
  <c r="CA242" i="1"/>
  <c r="AW237" i="1"/>
  <c r="EC233" i="1"/>
  <c r="AN183" i="1"/>
  <c r="BN182" i="1"/>
  <c r="DN184" i="1"/>
  <c r="CS207" i="1"/>
  <c r="AK190" i="1"/>
  <c r="DW181" i="1"/>
  <c r="CA166" i="1"/>
  <c r="CR210" i="1"/>
  <c r="BC199" i="1"/>
  <c r="BS184" i="1"/>
  <c r="CU190" i="1"/>
  <c r="DG188" i="1"/>
  <c r="DP168" i="1"/>
  <c r="DB164" i="1"/>
  <c r="BX198" i="1"/>
  <c r="CW231" i="1"/>
  <c r="DM194" i="1"/>
  <c r="CE206" i="1"/>
  <c r="BS164" i="1"/>
  <c r="CR178" i="1"/>
  <c r="AK200" i="1"/>
  <c r="DZ202" i="1"/>
  <c r="DV208" i="1"/>
  <c r="CM233" i="1"/>
  <c r="BM207" i="1"/>
  <c r="BP177" i="1"/>
  <c r="CY172" i="1"/>
  <c r="CJ180" i="1"/>
  <c r="BD238" i="1"/>
  <c r="AR207" i="1"/>
  <c r="DM184" i="1"/>
  <c r="DA167" i="1"/>
  <c r="AJ171" i="1"/>
  <c r="DL208" i="1"/>
  <c r="BX188" i="1"/>
  <c r="CZ162" i="1"/>
  <c r="AI197" i="1"/>
  <c r="BL199" i="1"/>
  <c r="DA233" i="1"/>
  <c r="CO202" i="1"/>
  <c r="BC200" i="1"/>
  <c r="BM173" i="1"/>
  <c r="CM188" i="1"/>
  <c r="AO233" i="1"/>
  <c r="BM201" i="1"/>
  <c r="CX168" i="1"/>
  <c r="DE223" i="1"/>
  <c r="CG185" i="1"/>
  <c r="AO180" i="1"/>
  <c r="AV180" i="1"/>
  <c r="BQ196" i="1"/>
  <c r="CU194" i="1"/>
  <c r="AI210" i="1"/>
  <c r="CH206" i="1"/>
  <c r="CT200" i="1"/>
  <c r="CD233" i="1"/>
  <c r="AQ198" i="1"/>
  <c r="CV218" i="1"/>
  <c r="BB213" i="1"/>
  <c r="BG164" i="1"/>
  <c r="AM169" i="1"/>
  <c r="AI188" i="1"/>
  <c r="BD221" i="1"/>
  <c r="DH178" i="1"/>
  <c r="AX184" i="1"/>
  <c r="AT184" i="1"/>
  <c r="DB198" i="1"/>
  <c r="AZ184" i="1"/>
  <c r="CQ229" i="1"/>
  <c r="CO169" i="1"/>
  <c r="DP199" i="1"/>
  <c r="DK239" i="1"/>
  <c r="CI194" i="1"/>
  <c r="AT231" i="1"/>
  <c r="CG197" i="1"/>
  <c r="BP175" i="1"/>
  <c r="DG234" i="1"/>
  <c r="CF235" i="1"/>
  <c r="DE165" i="1"/>
  <c r="DT176" i="1"/>
  <c r="AK193" i="1"/>
  <c r="CJ162" i="1"/>
  <c r="AR185" i="1"/>
  <c r="BL195" i="1"/>
  <c r="BW200" i="1"/>
  <c r="AV184" i="1"/>
  <c r="BH196" i="1"/>
  <c r="CB199" i="1"/>
  <c r="CW205" i="1"/>
  <c r="DB168" i="1"/>
  <c r="CT163" i="1"/>
  <c r="CK181" i="1"/>
  <c r="AU176" i="1"/>
  <c r="DL195" i="1"/>
  <c r="AR196" i="1"/>
  <c r="DX213" i="1"/>
  <c r="AI162" i="1"/>
  <c r="DX236" i="1"/>
  <c r="CC169" i="1"/>
  <c r="BQ203" i="1"/>
  <c r="CT207" i="1"/>
  <c r="CD230" i="1"/>
  <c r="CX240" i="1"/>
  <c r="CZ168" i="1"/>
  <c r="AQ232" i="1"/>
  <c r="DO202" i="1"/>
  <c r="DD184" i="1"/>
  <c r="DW199" i="1"/>
  <c r="DM180" i="1"/>
  <c r="CD229" i="1"/>
  <c r="CW200" i="1"/>
  <c r="DG239" i="1"/>
  <c r="EC181" i="1"/>
  <c r="BR167" i="1"/>
  <c r="BK202" i="1"/>
  <c r="BI229" i="1"/>
  <c r="AI190" i="1"/>
  <c r="AH199" i="1"/>
  <c r="CP185" i="1"/>
  <c r="CM240" i="1"/>
  <c r="CZ207" i="1"/>
  <c r="BC202" i="1"/>
  <c r="CU230" i="1"/>
  <c r="DG164" i="1"/>
  <c r="AH230" i="1"/>
  <c r="BM182" i="1"/>
  <c r="AJ229" i="1"/>
  <c r="BD169" i="1"/>
  <c r="AU212" i="1"/>
  <c r="DY202" i="1"/>
  <c r="CX169" i="1"/>
  <c r="DO185" i="1"/>
  <c r="BI212" i="1"/>
  <c r="AR204" i="1"/>
  <c r="AS195" i="1"/>
  <c r="DS176" i="1"/>
  <c r="BE162" i="1"/>
  <c r="BZ198" i="1"/>
  <c r="DA210" i="1"/>
  <c r="CY206" i="1"/>
  <c r="DR195" i="1"/>
  <c r="BH180" i="1"/>
  <c r="BO195" i="1"/>
  <c r="BJ182" i="1"/>
  <c r="DY200" i="1"/>
  <c r="BY210" i="1"/>
  <c r="AL185" i="1"/>
  <c r="BF215" i="1"/>
  <c r="EC187" i="1"/>
  <c r="EA231" i="1"/>
  <c r="BU222" i="1"/>
  <c r="BC241" i="1"/>
  <c r="AI240" i="1"/>
  <c r="DR229" i="1"/>
  <c r="CM207" i="1"/>
  <c r="AW197" i="1"/>
  <c r="DQ200" i="1"/>
  <c r="CU233" i="1"/>
  <c r="DW162" i="1"/>
  <c r="DY240" i="1"/>
  <c r="CV223" i="1"/>
  <c r="BI175" i="1"/>
  <c r="CV232" i="1"/>
  <c r="CX210" i="1"/>
  <c r="AV199" i="1"/>
  <c r="DA195" i="1"/>
  <c r="AX234" i="1"/>
  <c r="DZ197" i="1"/>
  <c r="BN195" i="1"/>
  <c r="CC191" i="1"/>
  <c r="AK183" i="1"/>
  <c r="CB164" i="1"/>
  <c r="BO207" i="1"/>
  <c r="AR193" i="1"/>
  <c r="BQ198" i="1"/>
  <c r="BG173" i="1"/>
  <c r="BY229" i="1"/>
  <c r="AJ231" i="1"/>
  <c r="BP173" i="1"/>
  <c r="BY168" i="1"/>
  <c r="AN204" i="1"/>
  <c r="AR236" i="1"/>
  <c r="BW163" i="1"/>
  <c r="AR229" i="1"/>
  <c r="DA202" i="1"/>
  <c r="CO232" i="1"/>
  <c r="AO174" i="1"/>
  <c r="CI172" i="1"/>
  <c r="DQ170" i="1"/>
  <c r="DT188" i="1"/>
  <c r="CE200" i="1"/>
  <c r="CA195" i="1"/>
  <c r="CC173" i="1"/>
  <c r="BT196" i="1"/>
  <c r="AX233" i="1"/>
  <c r="DJ231" i="1"/>
  <c r="AT180" i="1"/>
  <c r="AY233" i="1"/>
  <c r="AK206" i="1"/>
  <c r="CN231" i="1"/>
  <c r="CI168" i="1"/>
  <c r="CY231" i="1"/>
  <c r="BQ174" i="1"/>
  <c r="AI203" i="1"/>
  <c r="DM229" i="1"/>
  <c r="BD167" i="1"/>
  <c r="EA206" i="1"/>
  <c r="CQ173" i="1"/>
  <c r="DI240" i="1"/>
  <c r="CI207" i="1"/>
  <c r="BE207" i="1"/>
  <c r="DV195" i="1"/>
  <c r="DV237" i="1"/>
  <c r="AM193" i="1"/>
  <c r="CD170" i="1"/>
  <c r="DN173" i="1"/>
  <c r="CY164" i="1"/>
  <c r="BU196" i="1"/>
  <c r="DH207" i="1"/>
  <c r="EC192" i="1"/>
  <c r="CJ220" i="1"/>
  <c r="CE164" i="1"/>
  <c r="BY196" i="1"/>
  <c r="DA168" i="1"/>
  <c r="BQ194" i="1"/>
  <c r="DH187" i="1"/>
  <c r="AZ164" i="1"/>
  <c r="DB173" i="1"/>
  <c r="BG169" i="1"/>
  <c r="BM200" i="1"/>
  <c r="BT193" i="1"/>
  <c r="AS164" i="1"/>
  <c r="AW190" i="1"/>
  <c r="AT164" i="1"/>
  <c r="BC198" i="1"/>
  <c r="CP223" i="1"/>
  <c r="DR186" i="1"/>
  <c r="CV169" i="1"/>
  <c r="AR230" i="1"/>
  <c r="BG200" i="1"/>
  <c r="DA220" i="1"/>
  <c r="BA240" i="1"/>
  <c r="CB173" i="1"/>
  <c r="DZ239" i="1"/>
  <c r="CP233" i="1"/>
  <c r="CY199" i="1"/>
  <c r="DE176" i="1"/>
  <c r="CA221" i="1"/>
  <c r="DV199" i="1"/>
  <c r="CS197" i="1"/>
  <c r="BV169" i="1"/>
  <c r="EB167" i="1"/>
  <c r="BB231" i="1"/>
  <c r="AP173" i="1"/>
  <c r="DH194" i="1"/>
  <c r="DE186" i="1"/>
  <c r="BK207" i="1"/>
  <c r="DY206" i="1"/>
  <c r="AI177" i="1"/>
  <c r="DU180" i="1"/>
  <c r="CB202" i="1"/>
  <c r="DQ232" i="1"/>
  <c r="AM232" i="1"/>
  <c r="DL196" i="1"/>
  <c r="DR173" i="1"/>
  <c r="BE212" i="1"/>
  <c r="AJ198" i="1"/>
  <c r="AQ207" i="1"/>
  <c r="AY169" i="1"/>
  <c r="BF202" i="1"/>
  <c r="CZ202" i="1"/>
  <c r="DM225" i="1"/>
  <c r="BY167" i="1"/>
  <c r="BE221" i="1"/>
  <c r="DS178" i="1"/>
  <c r="CI196" i="1"/>
  <c r="CH176" i="1"/>
  <c r="AW195" i="1"/>
  <c r="DC196" i="1"/>
  <c r="DS229" i="1"/>
  <c r="CP178" i="1"/>
  <c r="CC223" i="1"/>
  <c r="DJ198" i="1"/>
  <c r="AZ165" i="1"/>
  <c r="BC184" i="1"/>
  <c r="BL169" i="1"/>
  <c r="CE188" i="1"/>
  <c r="CQ196" i="1"/>
  <c r="BR231" i="1"/>
  <c r="DP169" i="1"/>
  <c r="DG184" i="1"/>
  <c r="AV172" i="1"/>
  <c r="DD210" i="1"/>
  <c r="DK217" i="1"/>
  <c r="CE233" i="1"/>
  <c r="AP178" i="1"/>
  <c r="EC188" i="1"/>
  <c r="DU195" i="1"/>
  <c r="DU170" i="1"/>
  <c r="DK190" i="1"/>
  <c r="BY173" i="1"/>
  <c r="DU162" i="1"/>
  <c r="AO206" i="1"/>
  <c r="DA169" i="1"/>
  <c r="BJ231" i="1"/>
  <c r="AH173" i="1"/>
  <c r="CU210" i="1"/>
  <c r="BE237" i="1"/>
  <c r="CM169" i="1"/>
  <c r="DU228" i="1"/>
  <c r="DA206" i="1"/>
  <c r="DU229" i="1"/>
  <c r="DO229" i="1"/>
  <c r="AU185" i="1"/>
  <c r="BQ234" i="1"/>
  <c r="AS173" i="1"/>
  <c r="BO197" i="1"/>
  <c r="AH182" i="1"/>
  <c r="BE184" i="1"/>
  <c r="BW180" i="1"/>
  <c r="AL167" i="1"/>
  <c r="BH233" i="1"/>
  <c r="CY240" i="1"/>
  <c r="EB180" i="1"/>
  <c r="AT196" i="1"/>
  <c r="CV242" i="1"/>
  <c r="AY177" i="1"/>
  <c r="BU178" i="1"/>
  <c r="DN182" i="1"/>
  <c r="CU213" i="1"/>
  <c r="EB168" i="1"/>
  <c r="BN162" i="1"/>
  <c r="BH202" i="1"/>
  <c r="DV167" i="1"/>
  <c r="BB199" i="1"/>
  <c r="AM194" i="1"/>
  <c r="DR169" i="1"/>
  <c r="BL196" i="1"/>
  <c r="CX180" i="1"/>
  <c r="CP229" i="1"/>
  <c r="CA239" i="1"/>
  <c r="CO190" i="1"/>
  <c r="BJ194" i="1"/>
  <c r="DL181" i="1"/>
  <c r="AI195" i="1"/>
  <c r="BS225" i="1"/>
  <c r="CJ202" i="1"/>
  <c r="AX224" i="1"/>
  <c r="CW184" i="1"/>
  <c r="AR167" i="1"/>
  <c r="BC187" i="1"/>
  <c r="AZ207" i="1"/>
  <c r="DB177" i="1"/>
  <c r="AP202" i="1"/>
  <c r="AI230" i="1"/>
  <c r="BZ207" i="1"/>
  <c r="CS232" i="1"/>
  <c r="AY182" i="1"/>
  <c r="DR233" i="1"/>
  <c r="DI230" i="1"/>
  <c r="BU162" i="1"/>
  <c r="DR207" i="1"/>
  <c r="CN167" i="1"/>
  <c r="CL166" i="1"/>
  <c r="DN185" i="1"/>
  <c r="DL168" i="1"/>
  <c r="BM194" i="1"/>
  <c r="AQ241" i="1"/>
  <c r="DF187" i="1"/>
  <c r="CY182" i="1"/>
  <c r="DX196" i="1"/>
  <c r="BQ197" i="1"/>
  <c r="BD180" i="1"/>
  <c r="BU207" i="1"/>
  <c r="CK190" i="1"/>
  <c r="BW214" i="1"/>
  <c r="CD203" i="1"/>
  <c r="BJ207" i="1"/>
  <c r="BC240" i="1"/>
  <c r="DN237" i="1"/>
  <c r="DB196" i="1"/>
  <c r="EA194" i="1"/>
  <c r="AO185" i="1"/>
  <c r="BV190" i="1"/>
  <c r="BR176" i="1"/>
  <c r="CL229" i="1"/>
  <c r="BT176" i="1"/>
  <c r="BH182" i="1"/>
  <c r="AW187" i="1"/>
  <c r="CG240" i="1"/>
  <c r="BA194" i="1"/>
  <c r="BM172" i="1"/>
  <c r="CE176" i="1"/>
  <c r="CT188" i="1"/>
  <c r="EB230" i="1"/>
  <c r="DS183" i="1"/>
  <c r="CC199" i="1"/>
  <c r="AW185" i="1"/>
  <c r="CX209" i="1"/>
  <c r="AV194" i="1"/>
  <c r="DV224" i="1"/>
  <c r="AX231" i="1"/>
  <c r="CW206" i="1"/>
  <c r="BT207" i="1"/>
  <c r="AY223" i="1"/>
  <c r="CL187" i="1"/>
  <c r="CK164" i="1"/>
  <c r="BS162" i="1"/>
  <c r="DV226" i="1"/>
  <c r="CX229" i="1"/>
  <c r="EB226" i="1"/>
  <c r="AI174" i="1"/>
  <c r="CC231" i="1"/>
  <c r="CO203" i="1"/>
  <c r="BE180" i="1"/>
  <c r="BU184" i="1"/>
  <c r="DP175" i="1"/>
  <c r="CL227" i="1"/>
  <c r="CM196" i="1"/>
  <c r="AU190" i="1"/>
  <c r="AN163" i="1"/>
  <c r="EA202" i="1"/>
  <c r="CV195" i="1"/>
  <c r="AQ225" i="1"/>
  <c r="AS224" i="1"/>
  <c r="AZ241" i="1"/>
  <c r="DA165" i="1"/>
  <c r="BC188" i="1"/>
  <c r="BL241" i="1"/>
  <c r="AY162" i="1"/>
  <c r="DO196" i="1"/>
  <c r="AS219" i="1"/>
  <c r="BW165" i="1"/>
  <c r="CA175" i="1"/>
  <c r="AY197" i="1"/>
  <c r="BY170" i="1"/>
  <c r="CM230" i="1"/>
  <c r="AJ200" i="1"/>
  <c r="DD202" i="1"/>
  <c r="CI240" i="1"/>
  <c r="CE169" i="1"/>
  <c r="BF240" i="1"/>
  <c r="DQ240" i="1"/>
  <c r="DD234" i="1"/>
  <c r="AY178" i="1"/>
  <c r="BA193" i="1"/>
  <c r="CD180" i="1"/>
  <c r="DV223" i="1"/>
  <c r="AI168" i="1"/>
  <c r="BP199" i="1"/>
  <c r="BQ200" i="1"/>
  <c r="CD173" i="1"/>
  <c r="EC206" i="1"/>
  <c r="DS237" i="1"/>
  <c r="EC170" i="1"/>
  <c r="BM180" i="1"/>
  <c r="BD242" i="1"/>
  <c r="DE234" i="1"/>
  <c r="DP240" i="1"/>
  <c r="CG170" i="1"/>
  <c r="AN168" i="1"/>
  <c r="AK231" i="1"/>
  <c r="CC230" i="1"/>
  <c r="CP195" i="1"/>
  <c r="CY217" i="1"/>
  <c r="BX207" i="1"/>
  <c r="AW206" i="1"/>
  <c r="DZ184" i="1"/>
  <c r="DK193" i="1"/>
  <c r="CP234" i="1"/>
  <c r="DO169" i="1"/>
  <c r="DP232" i="1"/>
  <c r="DH193" i="1"/>
  <c r="CY230" i="1"/>
  <c r="BR164" i="1"/>
  <c r="AM170" i="1"/>
  <c r="BA169" i="1"/>
  <c r="BJ188" i="1"/>
  <c r="AV164" i="1"/>
  <c r="DT169" i="1"/>
  <c r="BZ226" i="1"/>
  <c r="CN240" i="1"/>
  <c r="AV232" i="1"/>
  <c r="AM175" i="1"/>
  <c r="DN202" i="1"/>
  <c r="CG190" i="1"/>
  <c r="DN164" i="1"/>
  <c r="CB217" i="1"/>
  <c r="CI228" i="1"/>
  <c r="DU164" i="1"/>
  <c r="EB173" i="1"/>
  <c r="DZ200" i="1"/>
  <c r="EA173" i="1"/>
  <c r="AO232" i="1"/>
  <c r="DH165" i="1"/>
  <c r="BK168" i="1"/>
  <c r="AL233" i="1"/>
  <c r="DY234" i="1"/>
  <c r="BX231" i="1"/>
  <c r="DD169" i="1"/>
  <c r="DR175" i="1"/>
  <c r="BL234" i="1"/>
  <c r="BH175" i="1"/>
  <c r="AZ229" i="1"/>
  <c r="DM185" i="1"/>
  <c r="BU240" i="1"/>
  <c r="CU183" i="1"/>
  <c r="CG213" i="1"/>
  <c r="BP231" i="1"/>
  <c r="AO182" i="1"/>
  <c r="CA196" i="1"/>
  <c r="CQ170" i="1"/>
  <c r="BL240" i="1"/>
  <c r="DH214" i="1"/>
  <c r="DU190" i="1"/>
  <c r="AK207" i="1"/>
  <c r="BJ234" i="1"/>
  <c r="EC176" i="1"/>
  <c r="DZ169" i="1"/>
  <c r="AN207" i="1"/>
  <c r="BR188" i="1"/>
  <c r="DN168" i="1"/>
  <c r="AS182" i="1"/>
  <c r="CP183" i="1"/>
  <c r="BN196" i="1"/>
  <c r="BN198" i="1"/>
  <c r="AZ187" i="1"/>
  <c r="DM173" i="1"/>
  <c r="BK182" i="1"/>
  <c r="DQ177" i="1"/>
  <c r="DR196" i="1"/>
  <c r="CZ206" i="1"/>
  <c r="BU191" i="1"/>
  <c r="DW212" i="1"/>
  <c r="DO237" i="1"/>
  <c r="AN184" i="1"/>
  <c r="BJ230" i="1"/>
  <c r="BU164" i="1"/>
  <c r="BA162" i="1"/>
  <c r="BC212" i="1"/>
  <c r="CX184" i="1"/>
  <c r="DL209" i="1"/>
  <c r="EA185" i="1"/>
  <c r="AM177" i="1"/>
  <c r="CW237" i="1"/>
  <c r="DK203" i="1"/>
  <c r="BX232" i="1"/>
  <c r="DW192" i="1"/>
  <c r="BF200" i="1"/>
  <c r="AH231" i="1"/>
  <c r="EB197" i="1"/>
  <c r="AS185" i="1"/>
  <c r="DF190" i="1"/>
  <c r="AM181" i="1"/>
  <c r="DC169" i="1"/>
  <c r="AH238" i="1"/>
  <c r="AY167" i="1"/>
  <c r="BB177" i="1"/>
  <c r="CE225" i="1"/>
  <c r="CD194" i="1"/>
  <c r="DF234" i="1"/>
  <c r="AH222" i="1"/>
  <c r="BX181" i="1"/>
  <c r="DS189" i="1"/>
  <c r="BD206" i="1"/>
  <c r="DO164" i="1"/>
  <c r="DD220" i="1"/>
  <c r="BJ185" i="1"/>
  <c r="CE170" i="1"/>
  <c r="DJ194" i="1"/>
  <c r="BS195" i="1"/>
  <c r="CA194" i="1"/>
  <c r="CJ196" i="1"/>
  <c r="CA231" i="1"/>
  <c r="AJ236" i="1"/>
  <c r="CT196" i="1"/>
  <c r="CY174" i="1"/>
  <c r="CM162" i="1"/>
  <c r="DP190" i="1"/>
  <c r="AV198" i="1"/>
  <c r="DZ223" i="1"/>
  <c r="BI197" i="1"/>
  <c r="DK233" i="1"/>
  <c r="BS233" i="1"/>
  <c r="CC195" i="1"/>
  <c r="DD194" i="1"/>
  <c r="AT242" i="1"/>
  <c r="BF194" i="1"/>
  <c r="DP196" i="1"/>
  <c r="DU233" i="1"/>
  <c r="DF184" i="1"/>
  <c r="CV202" i="1"/>
  <c r="CO188" i="1"/>
  <c r="BC166" i="1"/>
  <c r="EC200" i="1"/>
  <c r="CC188" i="1"/>
  <c r="BB204" i="1"/>
  <c r="AZ215" i="1"/>
  <c r="CQ233" i="1"/>
  <c r="BK170" i="1"/>
  <c r="BP230" i="1"/>
  <c r="AS207" i="1"/>
  <c r="CE204" i="1"/>
  <c r="BZ182" i="1"/>
  <c r="BM240" i="1"/>
  <c r="CK167" i="1"/>
  <c r="CI200" i="1"/>
  <c r="BQ193" i="1"/>
  <c r="AU198" i="1"/>
  <c r="DO195" i="1"/>
  <c r="CO228" i="1"/>
  <c r="AK162" i="1"/>
  <c r="DN207" i="1"/>
  <c r="BX212" i="1"/>
  <c r="BO174" i="1"/>
  <c r="BP170" i="1"/>
  <c r="CS211" i="1"/>
  <c r="AV171" i="1"/>
  <c r="AQ195" i="1"/>
  <c r="BR206" i="1"/>
  <c r="DP180" i="1"/>
  <c r="AJ164" i="1"/>
  <c r="CB239" i="1"/>
  <c r="AQ162" i="1"/>
  <c r="CX195" i="1"/>
  <c r="DD223" i="1"/>
  <c r="CB206" i="1"/>
  <c r="CB231" i="1"/>
  <c r="CA170" i="1"/>
  <c r="DG168" i="1"/>
  <c r="AZ170" i="1"/>
  <c r="AL223" i="1"/>
  <c r="EC216" i="1"/>
  <c r="AY237" i="1"/>
  <c r="AO188" i="1"/>
  <c r="DM168" i="1"/>
  <c r="CS226" i="1"/>
  <c r="BL171" i="1"/>
  <c r="BQ164" i="1"/>
  <c r="BD195" i="1"/>
  <c r="BF234" i="1"/>
  <c r="CB169" i="1"/>
  <c r="AS203" i="1"/>
  <c r="BR233" i="1"/>
  <c r="BD193" i="1"/>
  <c r="CD198" i="1"/>
  <c r="CC240" i="1"/>
  <c r="BN233" i="1"/>
  <c r="CY196" i="1"/>
  <c r="EC171" i="1"/>
  <c r="BP239" i="1"/>
  <c r="CL233" i="1"/>
  <c r="CK196" i="1"/>
  <c r="DE243" i="1"/>
  <c r="DK200" i="1"/>
  <c r="CF197" i="1"/>
  <c r="BG207" i="1"/>
  <c r="CZ240" i="1"/>
  <c r="DM231" i="1"/>
  <c r="DH240" i="1"/>
  <c r="DB178" i="1"/>
  <c r="AT166" i="1"/>
  <c r="BV229" i="1"/>
  <c r="CG223" i="1"/>
  <c r="BO182" i="1"/>
  <c r="BV206" i="1"/>
  <c r="CG195" i="1"/>
  <c r="BS207" i="1"/>
  <c r="DK173" i="1"/>
  <c r="DB233" i="1"/>
  <c r="AV185" i="1"/>
  <c r="CP228" i="1"/>
  <c r="CN199" i="1"/>
  <c r="AO170" i="1"/>
  <c r="BU185" i="1"/>
  <c r="CX170" i="1"/>
  <c r="BV202" i="1"/>
  <c r="CB201" i="1"/>
  <c r="CR180" i="1"/>
  <c r="AL173" i="1"/>
  <c r="DN197" i="1"/>
  <c r="EC231" i="1"/>
  <c r="CW168" i="1"/>
  <c r="CU172" i="1"/>
  <c r="BP163" i="1"/>
  <c r="BJ199" i="1"/>
  <c r="BF221" i="1"/>
  <c r="BX187" i="1"/>
  <c r="AW204" i="1"/>
  <c r="DO188" i="1"/>
  <c r="AU232" i="1"/>
  <c r="BE230" i="1"/>
  <c r="CY173" i="1"/>
  <c r="EB210" i="1"/>
  <c r="BW195" i="1"/>
  <c r="CI241" i="1"/>
  <c r="BE204" i="1"/>
  <c r="CC182" i="1"/>
  <c r="CX177" i="1"/>
  <c r="CH199" i="1"/>
  <c r="CE185" i="1"/>
  <c r="CM168" i="1"/>
  <c r="CS164" i="1"/>
  <c r="EB233" i="1"/>
  <c r="CO240" i="1"/>
  <c r="CH164" i="1"/>
  <c r="DC193" i="1"/>
  <c r="CJ211" i="1"/>
  <c r="AT194" i="1"/>
  <c r="DS243" i="1"/>
  <c r="BQ230" i="1"/>
  <c r="CW207" i="1"/>
  <c r="BB225" i="1"/>
  <c r="CD176" i="1"/>
  <c r="BB232" i="1"/>
  <c r="CM184" i="1"/>
  <c r="BW233" i="1"/>
  <c r="BC170" i="1"/>
  <c r="DF178" i="1"/>
  <c r="DO197" i="1"/>
  <c r="DO184" i="1"/>
  <c r="DM182" i="1"/>
  <c r="DG202" i="1"/>
  <c r="CU188" i="1"/>
  <c r="DU173" i="1"/>
  <c r="CW239" i="1"/>
  <c r="DT210" i="1"/>
  <c r="EA187" i="1"/>
  <c r="BH214" i="1"/>
  <c r="BF176" i="1"/>
  <c r="DF188" i="1"/>
  <c r="DR184" i="1"/>
  <c r="EB200" i="1"/>
  <c r="CO182" i="1"/>
  <c r="DI185" i="1"/>
  <c r="AO166" i="1"/>
  <c r="BY199" i="1"/>
  <c r="BY203" i="1"/>
  <c r="BI162" i="1"/>
  <c r="BD212" i="1"/>
  <c r="BQ240" i="1"/>
  <c r="CX163" i="1"/>
  <c r="DY167" i="1"/>
  <c r="BW239" i="1"/>
  <c r="CW194" i="1"/>
  <c r="AK182" i="1"/>
  <c r="CR197" i="1"/>
  <c r="BJ229" i="1"/>
  <c r="DU188" i="1"/>
  <c r="DD168" i="1"/>
  <c r="CN210" i="1"/>
  <c r="DS206" i="1"/>
  <c r="DT196" i="1"/>
  <c r="AJ190" i="1"/>
  <c r="DH185" i="1"/>
  <c r="DK169" i="1"/>
  <c r="BO199" i="1"/>
  <c r="BU204" i="1"/>
  <c r="BW188" i="1"/>
  <c r="BC223" i="1"/>
  <c r="DA184" i="1"/>
  <c r="DT195" i="1"/>
  <c r="DQ194" i="1"/>
  <c r="DV181" i="1"/>
  <c r="CR195" i="1"/>
  <c r="AP231" i="1"/>
  <c r="DQ163" i="1"/>
  <c r="AW194" i="1"/>
  <c r="BG170" i="1"/>
  <c r="BZ175" i="1"/>
  <c r="DV216" i="1"/>
  <c r="DH235" i="1"/>
  <c r="BG172" i="1"/>
  <c r="CN172" i="1"/>
  <c r="CS169" i="1"/>
  <c r="AR166" i="1"/>
  <c r="DG163" i="1"/>
  <c r="BV194" i="1"/>
  <c r="CG207" i="1"/>
  <c r="BI182" i="1"/>
  <c r="BF180" i="1"/>
  <c r="AN166" i="1"/>
  <c r="CH167" i="1"/>
  <c r="BI200" i="1"/>
  <c r="EA233" i="1"/>
  <c r="BT231" i="1"/>
  <c r="CT176" i="1"/>
  <c r="AI164" i="1"/>
  <c r="BJ184" i="1"/>
  <c r="AH206" i="1"/>
  <c r="BN231" i="1"/>
  <c r="DB195" i="1"/>
  <c r="DG232" i="1"/>
  <c r="AX169" i="1"/>
  <c r="DB241" i="1"/>
  <c r="BT199" i="1"/>
  <c r="DF195" i="1"/>
  <c r="AW221" i="1"/>
  <c r="CS202" i="1"/>
  <c r="AY232" i="1"/>
  <c r="CS187" i="1"/>
  <c r="AR197" i="1"/>
  <c r="DW180" i="1"/>
  <c r="DG203" i="1"/>
  <c r="CK162" i="1"/>
  <c r="CT221" i="1"/>
  <c r="CU231" i="1"/>
  <c r="CJ184" i="1"/>
  <c r="DX219" i="1"/>
  <c r="AZ180" i="1"/>
  <c r="BT168" i="1"/>
  <c r="DK225" i="1"/>
  <c r="EB223" i="1"/>
  <c r="AX229" i="1"/>
  <c r="DL164" i="1"/>
  <c r="DC177" i="1"/>
  <c r="CY210" i="1"/>
  <c r="CV207" i="1"/>
  <c r="DW198" i="1"/>
  <c r="CZ167" i="1"/>
  <c r="AH234" i="1"/>
  <c r="BC193" i="1"/>
  <c r="BN197" i="1"/>
  <c r="AS166" i="1"/>
  <c r="AJ176" i="1"/>
  <c r="DD206" i="1"/>
  <c r="AM184" i="1"/>
  <c r="AI185" i="1"/>
  <c r="BO243" i="1"/>
  <c r="AJ233" i="1"/>
  <c r="BV173" i="1"/>
  <c r="BR175" i="1"/>
  <c r="DF174" i="1"/>
  <c r="DB188" i="1"/>
  <c r="DY196" i="1"/>
  <c r="CO192" i="1"/>
  <c r="CG164" i="1"/>
  <c r="AO193" i="1"/>
  <c r="BQ185" i="1"/>
  <c r="CJ182" i="1"/>
  <c r="AL164" i="1"/>
  <c r="AQ175" i="1"/>
  <c r="CP188" i="1"/>
  <c r="CF162" i="1"/>
  <c r="AP232" i="1"/>
  <c r="AW176" i="1"/>
  <c r="CV200" i="1"/>
  <c r="DY176" i="1"/>
  <c r="BN192" i="1"/>
  <c r="DV213" i="1"/>
  <c r="DZ231" i="1"/>
  <c r="DR237" i="1"/>
  <c r="DZ214" i="1"/>
  <c r="BR241" i="1"/>
  <c r="BU195" i="1"/>
  <c r="CR199" i="1"/>
  <c r="DR167" i="1"/>
  <c r="AS234" i="1"/>
  <c r="AZ234" i="1"/>
  <c r="CS230" i="1"/>
  <c r="BU199" i="1"/>
  <c r="CR169" i="1"/>
  <c r="DE184" i="1"/>
  <c r="EB211" i="1"/>
  <c r="DZ219" i="1"/>
  <c r="DU230" i="1"/>
  <c r="DD227" i="1"/>
  <c r="BG185" i="1"/>
  <c r="EA182" i="1"/>
  <c r="BY182" i="1"/>
  <c r="DF180" i="1"/>
  <c r="BC194" i="1"/>
  <c r="AK214" i="1"/>
  <c r="AS211" i="1"/>
  <c r="BZ180" i="1"/>
  <c r="BH178" i="1"/>
  <c r="BH167" i="1"/>
  <c r="BS203" i="1"/>
  <c r="BT164" i="1"/>
  <c r="DW194" i="1"/>
  <c r="CL173" i="1"/>
  <c r="DX200" i="1"/>
  <c r="CJ225" i="1"/>
  <c r="DN188" i="1"/>
  <c r="BK193" i="1"/>
  <c r="AT237" i="1"/>
  <c r="AW210" i="1"/>
  <c r="AR175" i="1"/>
  <c r="AN208" i="1"/>
  <c r="AR162" i="1"/>
  <c r="DS200" i="1"/>
  <c r="CJ230" i="1"/>
  <c r="DC187" i="1"/>
  <c r="AJ173" i="1"/>
  <c r="CL193" i="1"/>
  <c r="AI234" i="1"/>
  <c r="DC240" i="1"/>
  <c r="CI231" i="1"/>
  <c r="AX180" i="1"/>
  <c r="CD193" i="1"/>
  <c r="AN185" i="1"/>
  <c r="CV238" i="1"/>
  <c r="AO226" i="1"/>
  <c r="CR177" i="1"/>
  <c r="CX232" i="1"/>
  <c r="DB180" i="1"/>
  <c r="BU202" i="1"/>
  <c r="BV199" i="1"/>
  <c r="CY167" i="1"/>
  <c r="CD213" i="1"/>
  <c r="BQ169" i="1"/>
  <c r="BL177" i="1"/>
  <c r="CZ200" i="1"/>
  <c r="BO240" i="1"/>
  <c r="BA176" i="1"/>
  <c r="DG240" i="1"/>
  <c r="DT239" i="1"/>
  <c r="AZ163" i="1"/>
  <c r="AT176" i="1"/>
  <c r="BF197" i="1"/>
  <c r="AM163" i="1"/>
  <c r="DR204" i="1"/>
  <c r="DL180" i="1"/>
  <c r="AU210" i="1"/>
  <c r="CM200" i="1"/>
  <c r="CY187" i="1"/>
  <c r="AY194" i="1"/>
  <c r="AJ180" i="1"/>
  <c r="DO180" i="1"/>
  <c r="AU193" i="1"/>
  <c r="CP231" i="1"/>
  <c r="EB175" i="1"/>
  <c r="BZ184" i="1"/>
  <c r="CK237" i="1"/>
  <c r="AN164" i="1"/>
  <c r="CS198" i="1"/>
  <c r="DJ182" i="1"/>
  <c r="CD206" i="1"/>
  <c r="CO234" i="1"/>
  <c r="DP206" i="1"/>
  <c r="CJ177" i="1"/>
  <c r="CY195" i="1"/>
  <c r="CO209" i="1"/>
  <c r="BE179" i="1"/>
  <c r="CF202" i="1"/>
  <c r="CF231" i="1"/>
  <c r="AQ166" i="1"/>
  <c r="CA232" i="1"/>
  <c r="DT226" i="1"/>
  <c r="CA185" i="1"/>
  <c r="AZ225" i="1"/>
  <c r="BC207" i="1"/>
  <c r="AL231" i="1"/>
  <c r="DR176" i="1"/>
  <c r="BD230" i="1"/>
  <c r="BG203" i="1"/>
  <c r="DC173" i="1"/>
  <c r="AH200" i="1"/>
  <c r="BM177" i="1"/>
  <c r="BF196" i="1"/>
  <c r="BF173" i="1"/>
  <c r="DA230" i="1"/>
  <c r="BA241" i="1"/>
  <c r="AW223" i="1"/>
  <c r="BI204" i="1"/>
  <c r="CX241" i="1"/>
  <c r="AK195" i="1"/>
  <c r="BT232" i="1"/>
  <c r="DB231" i="1"/>
  <c r="CQ193" i="1"/>
  <c r="AY219" i="1"/>
  <c r="DS238" i="1"/>
  <c r="BN206" i="1"/>
  <c r="BL175" i="1"/>
  <c r="DK168" i="1"/>
  <c r="DB207" i="1"/>
  <c r="CA167" i="1"/>
  <c r="AN210" i="1"/>
  <c r="DG193" i="1"/>
  <c r="CD184" i="1"/>
  <c r="AY204" i="1"/>
  <c r="BL176" i="1"/>
  <c r="CT177" i="1"/>
  <c r="BX180" i="1"/>
  <c r="DU204" i="1"/>
  <c r="CD185" i="1"/>
  <c r="BK167" i="1"/>
  <c r="BM185" i="1"/>
  <c r="DP167" i="1"/>
  <c r="AQ187" i="1"/>
  <c r="BU169" i="1"/>
  <c r="CV206" i="1"/>
  <c r="BJ233" i="1"/>
  <c r="AJ215" i="1"/>
  <c r="BU176" i="1"/>
  <c r="BO208" i="1"/>
  <c r="BR225" i="1"/>
  <c r="CK193" i="1"/>
  <c r="AO194" i="1"/>
  <c r="BT170" i="1"/>
  <c r="AY195" i="1"/>
  <c r="AZ198" i="1"/>
  <c r="AP206" i="1"/>
  <c r="AM218" i="1"/>
  <c r="AP184" i="1"/>
  <c r="DI162" i="1"/>
  <c r="CI229" i="1"/>
  <c r="DV162" i="1"/>
  <c r="CK177" i="1"/>
  <c r="CQ239" i="1"/>
  <c r="BA211" i="1"/>
  <c r="AN177" i="1"/>
  <c r="CK219" i="1"/>
  <c r="DO233" i="1"/>
  <c r="DR180" i="1"/>
  <c r="DB163" i="1"/>
  <c r="AK168" i="1"/>
  <c r="AO184" i="1"/>
  <c r="BW193" i="1"/>
  <c r="DD221" i="1"/>
  <c r="EA192" i="1"/>
  <c r="DQ231" i="1"/>
  <c r="CM202" i="1"/>
  <c r="DV180" i="1"/>
  <c r="BG193" i="1"/>
  <c r="DP231" i="1"/>
  <c r="BV237" i="1"/>
  <c r="DZ164" i="1"/>
  <c r="BJ165" i="1"/>
  <c r="CG202" i="1"/>
  <c r="BO165" i="1"/>
  <c r="CF164" i="1"/>
  <c r="AO231" i="1"/>
  <c r="CX224" i="1"/>
  <c r="DN232" i="1"/>
  <c r="CW233" i="1"/>
  <c r="DI231" i="1"/>
  <c r="BJ173" i="1"/>
  <c r="CR202" i="1"/>
  <c r="AT169" i="1"/>
  <c r="CH177" i="1"/>
  <c r="DK214" i="1"/>
  <c r="DO168" i="1"/>
  <c r="CI178" i="1"/>
  <c r="CK195" i="1"/>
  <c r="CK233" i="1"/>
  <c r="DY210" i="1"/>
  <c r="BA188" i="1"/>
  <c r="DQ185" i="1"/>
  <c r="BY238" i="1"/>
  <c r="DM175" i="1"/>
  <c r="EB231" i="1"/>
  <c r="BE200" i="1"/>
  <c r="BR196" i="1"/>
  <c r="DD237" i="1"/>
  <c r="BE234" i="1"/>
  <c r="BA181" i="1"/>
  <c r="BX189" i="1"/>
  <c r="DA187" i="1"/>
  <c r="AP181" i="1"/>
  <c r="BG234" i="1"/>
  <c r="CE208" i="1"/>
  <c r="DD172" i="1"/>
  <c r="DJ172" i="1"/>
  <c r="DH241" i="1"/>
  <c r="DH177" i="1"/>
  <c r="BC185" i="1"/>
  <c r="BE187" i="1"/>
  <c r="BA182" i="1"/>
  <c r="BR184" i="1"/>
  <c r="BJ164" i="1"/>
  <c r="CZ235" i="1"/>
  <c r="BO168" i="1"/>
  <c r="EB163" i="1"/>
  <c r="BO170" i="1"/>
  <c r="BH194" i="1"/>
  <c r="CV193" i="1"/>
  <c r="CI174" i="1"/>
  <c r="AY188" i="1"/>
  <c r="DH196" i="1"/>
  <c r="AY193" i="1"/>
  <c r="DS192" i="1"/>
  <c r="DT241" i="1"/>
  <c r="AU226" i="1"/>
  <c r="CF219" i="1"/>
  <c r="DV184" i="1"/>
  <c r="CJ176" i="1"/>
  <c r="BD237" i="1"/>
  <c r="AV181" i="1"/>
  <c r="DY219" i="1"/>
  <c r="DH231" i="1"/>
  <c r="DK187" i="1"/>
  <c r="BD188" i="1"/>
  <c r="BN173" i="1"/>
  <c r="CF185" i="1"/>
  <c r="BO204" i="1"/>
  <c r="BW240" i="1"/>
  <c r="BT234" i="1"/>
  <c r="CV170" i="1"/>
  <c r="BZ167" i="1"/>
  <c r="AH219" i="1"/>
  <c r="DP198" i="1"/>
  <c r="BP176" i="1"/>
  <c r="BP213" i="1"/>
  <c r="EA223" i="1"/>
  <c r="AX187" i="1"/>
  <c r="BC219" i="1"/>
  <c r="BP237" i="1"/>
  <c r="BR226" i="1"/>
  <c r="CZ223" i="1"/>
  <c r="CQ231" i="1"/>
  <c r="CO197" i="1"/>
  <c r="AN234" i="1"/>
  <c r="CM241" i="1"/>
  <c r="CU169" i="1"/>
  <c r="BI230" i="1"/>
  <c r="DK230" i="1"/>
  <c r="CC228" i="1"/>
  <c r="BS173" i="1"/>
  <c r="CG229" i="1"/>
  <c r="DN162" i="1"/>
  <c r="BG219" i="1"/>
  <c r="BT173" i="1"/>
  <c r="AS206" i="1"/>
  <c r="BF178" i="1"/>
  <c r="AQ203" i="1"/>
  <c r="DK176" i="1"/>
  <c r="DF221" i="1"/>
  <c r="CW182" i="1"/>
  <c r="DD188" i="1"/>
  <c r="CX185" i="1"/>
  <c r="BO196" i="1"/>
  <c r="CW198" i="1"/>
  <c r="BB185" i="1"/>
  <c r="CU181" i="1"/>
  <c r="DR162" i="1"/>
  <c r="BJ180" i="1"/>
  <c r="BR187" i="1"/>
  <c r="DM233" i="1"/>
  <c r="AM206" i="1"/>
  <c r="CG172" i="1"/>
  <c r="DY223" i="1"/>
  <c r="AQ197" i="1"/>
  <c r="CN170" i="1"/>
  <c r="DX225" i="1"/>
  <c r="AW173" i="1"/>
  <c r="DT187" i="1"/>
  <c r="AT221" i="1"/>
  <c r="BM219" i="1"/>
  <c r="AX232" i="1"/>
  <c r="CB230" i="1"/>
  <c r="CO199" i="1"/>
  <c r="CU216" i="1"/>
  <c r="BO202" i="1"/>
  <c r="DO176" i="1"/>
  <c r="AL201" i="1"/>
  <c r="AU177" i="1"/>
  <c r="DL218" i="1"/>
  <c r="DT234" i="1"/>
  <c r="CU173" i="1"/>
  <c r="AT188" i="1"/>
  <c r="AS196" i="1"/>
  <c r="DN241" i="1"/>
  <c r="DV240" i="1"/>
  <c r="DE196" i="1"/>
  <c r="DU168" i="1"/>
  <c r="DB162" i="1"/>
  <c r="BB202" i="1"/>
  <c r="DL184" i="1"/>
  <c r="AL238" i="1"/>
  <c r="BO236" i="1"/>
  <c r="BN178" i="1"/>
  <c r="DY233" i="1"/>
  <c r="BH164" i="1"/>
  <c r="CM229" i="1"/>
  <c r="DR223" i="1"/>
  <c r="BO226" i="1"/>
  <c r="BJ195" i="1"/>
  <c r="DY178" i="1"/>
  <c r="CP162" i="1"/>
  <c r="BC239" i="1"/>
  <c r="CK176" i="1"/>
  <c r="CD164" i="1"/>
  <c r="CP226" i="1"/>
  <c r="CA213" i="1"/>
  <c r="DK215" i="1"/>
  <c r="CZ182" i="1"/>
  <c r="BE239" i="1"/>
  <c r="DS162" i="1"/>
  <c r="DV230" i="1"/>
  <c r="BL188" i="1"/>
  <c r="CE173" i="1"/>
  <c r="AO178" i="1"/>
  <c r="BL163" i="1"/>
  <c r="CP194" i="1"/>
  <c r="AP176" i="1"/>
  <c r="AX223" i="1"/>
  <c r="AM204" i="1"/>
  <c r="AQ200" i="1"/>
  <c r="CL202" i="1"/>
  <c r="DX162" i="1"/>
  <c r="DC224" i="1"/>
  <c r="CR237" i="1"/>
  <c r="BH201" i="1"/>
  <c r="BW190" i="1"/>
  <c r="BZ223" i="1"/>
  <c r="AZ173" i="1"/>
  <c r="DB230" i="1"/>
  <c r="AR234" i="1"/>
  <c r="CY229" i="1"/>
  <c r="DH232" i="1"/>
  <c r="CC241" i="1"/>
  <c r="CW204" i="1"/>
  <c r="DI221" i="1"/>
  <c r="AW180" i="1"/>
  <c r="BQ172" i="1"/>
  <c r="CB197" i="1"/>
  <c r="DB192" i="1"/>
  <c r="CQ230" i="1"/>
  <c r="BY191" i="1"/>
  <c r="AJ213" i="1"/>
  <c r="AU175" i="1"/>
  <c r="CG206" i="1"/>
  <c r="AX162" i="1"/>
  <c r="BV197" i="1"/>
  <c r="AL207" i="1"/>
  <c r="AH187" i="1"/>
  <c r="CB198" i="1"/>
  <c r="CK180" i="1"/>
  <c r="CF173" i="1"/>
  <c r="EA162" i="1"/>
  <c r="AH212" i="1"/>
  <c r="CZ169" i="1"/>
  <c r="AN169" i="1"/>
  <c r="BZ234" i="1"/>
  <c r="CQ203" i="1"/>
  <c r="BN184" i="1"/>
  <c r="DS213" i="1"/>
  <c r="BZ240" i="1"/>
  <c r="AJ177" i="1"/>
  <c r="DA190" i="1"/>
  <c r="BA231" i="1"/>
  <c r="BY231" i="1"/>
  <c r="CP197" i="1"/>
  <c r="CJ207" i="1"/>
  <c r="BU232" i="1"/>
  <c r="DE197" i="1"/>
  <c r="BQ184" i="1"/>
  <c r="BQ233" i="1"/>
  <c r="BB214" i="1"/>
  <c r="DQ162" i="1"/>
  <c r="AV230" i="1"/>
  <c r="DM240" i="1"/>
  <c r="BO169" i="1"/>
  <c r="EB166" i="1"/>
  <c r="AP162" i="1"/>
  <c r="AM176" i="1"/>
  <c r="AT198" i="1"/>
  <c r="DE173" i="1"/>
  <c r="BX196" i="1"/>
  <c r="AS194" i="1"/>
  <c r="BB223" i="1"/>
  <c r="AM234" i="1"/>
  <c r="CP173" i="1"/>
  <c r="CE194" i="1"/>
  <c r="BC204" i="1"/>
  <c r="DC235" i="1"/>
  <c r="CT168" i="1"/>
  <c r="DH226" i="1"/>
  <c r="AK234" i="1"/>
  <c r="BZ197" i="1"/>
  <c r="CB178" i="1"/>
  <c r="CO194" i="1"/>
  <c r="BR199" i="1"/>
  <c r="EB221" i="1"/>
  <c r="DP201" i="1"/>
  <c r="DW208" i="1"/>
  <c r="DX177" i="1"/>
  <c r="AS227" i="1"/>
  <c r="CW181" i="1"/>
  <c r="AL176" i="1"/>
  <c r="BL197" i="1"/>
  <c r="BU173" i="1"/>
  <c r="AY166" i="1"/>
  <c r="DW240" i="1"/>
  <c r="BU230" i="1"/>
  <c r="DA229" i="1"/>
  <c r="CT219" i="1"/>
  <c r="AQ173" i="1"/>
  <c r="CP169" i="1"/>
  <c r="BJ211" i="1"/>
  <c r="BM227" i="1"/>
  <c r="BO167" i="1"/>
  <c r="BL192" i="1"/>
  <c r="CN176" i="1"/>
  <c r="CD197" i="1"/>
  <c r="DH204" i="1"/>
  <c r="CT195" i="1"/>
  <c r="BY195" i="1"/>
  <c r="DY213" i="1"/>
  <c r="CI185" i="1"/>
  <c r="BV213" i="1"/>
  <c r="DI184" i="1"/>
  <c r="DA178" i="1"/>
  <c r="BY241" i="1"/>
  <c r="DR239" i="1"/>
  <c r="AH237" i="1"/>
  <c r="DE203" i="1"/>
  <c r="BS178" i="1"/>
  <c r="EB169" i="1"/>
  <c r="DM164" i="1"/>
  <c r="AN191" i="1"/>
  <c r="BK228" i="1"/>
  <c r="DB184" i="1"/>
  <c r="CY222" i="1"/>
  <c r="CL218" i="1"/>
  <c r="DS231" i="1"/>
  <c r="BM220" i="1"/>
  <c r="BH176" i="1"/>
  <c r="AV234" i="1"/>
  <c r="DX221" i="1"/>
  <c r="DL194" i="1"/>
  <c r="BR204" i="1"/>
  <c r="CD232" i="1"/>
  <c r="DR200" i="1"/>
  <c r="AN223" i="1"/>
  <c r="CU180" i="1"/>
  <c r="BT163" i="1"/>
  <c r="BU190" i="1"/>
  <c r="BT194" i="1"/>
  <c r="CM166" i="1"/>
  <c r="BO235" i="1"/>
  <c r="AN215" i="1"/>
  <c r="CW213" i="1"/>
  <c r="AR220" i="1"/>
  <c r="BK203" i="1"/>
  <c r="BX233" i="1"/>
  <c r="DZ206" i="1"/>
  <c r="AL169" i="1"/>
  <c r="BO241" i="1"/>
  <c r="DQ176" i="1"/>
  <c r="CF211" i="1"/>
  <c r="DO232" i="1"/>
  <c r="CV199" i="1"/>
  <c r="DW200" i="1"/>
  <c r="AJ188" i="1"/>
  <c r="CL164" i="1"/>
  <c r="BM241" i="1"/>
  <c r="DY187" i="1"/>
  <c r="AQ185" i="1"/>
  <c r="BE202" i="1"/>
  <c r="CL192" i="1"/>
  <c r="CG199" i="1"/>
  <c r="DH229" i="1"/>
  <c r="BJ167" i="1"/>
  <c r="BL173" i="1"/>
  <c r="DF207" i="1"/>
  <c r="CW193" i="1"/>
  <c r="BZ172" i="1"/>
  <c r="DF233" i="1"/>
  <c r="DE162" i="1"/>
  <c r="CC225" i="1"/>
  <c r="BK231" i="1"/>
  <c r="AU206" i="1"/>
  <c r="AX164" i="1"/>
  <c r="DN190" i="1"/>
  <c r="BB200" i="1"/>
  <c r="AO168" i="1"/>
  <c r="BA192" i="1"/>
  <c r="AX210" i="1"/>
  <c r="DP178" i="1"/>
  <c r="CU184" i="1"/>
  <c r="BS196" i="1"/>
  <c r="BL238" i="1"/>
  <c r="EA240" i="1"/>
  <c r="CE199" i="1"/>
  <c r="BG195" i="1"/>
  <c r="CF167" i="1"/>
  <c r="DI175" i="1"/>
  <c r="BO164" i="1"/>
  <c r="CC197" i="1"/>
  <c r="DY220" i="1"/>
  <c r="DK178" i="1"/>
  <c r="EB181" i="1"/>
  <c r="BI194" i="1"/>
  <c r="CY180" i="1"/>
  <c r="CX239" i="1"/>
  <c r="DU199" i="1"/>
  <c r="DC172" i="1"/>
  <c r="AN213" i="1"/>
  <c r="DK210" i="1"/>
  <c r="CT204" i="1"/>
  <c r="DA177" i="1"/>
  <c r="DD207" i="1"/>
  <c r="BN166" i="1"/>
  <c r="AT185" i="1"/>
  <c r="AM162" i="1"/>
  <c r="BR162" i="1"/>
  <c r="DM223" i="1"/>
  <c r="AO239" i="1"/>
  <c r="CI206" i="1"/>
  <c r="BI170" i="1"/>
  <c r="AV162" i="1"/>
  <c r="BW204" i="1"/>
  <c r="DT202" i="1"/>
  <c r="BL181" i="1"/>
  <c r="CR196" i="1"/>
  <c r="AP223" i="1"/>
  <c r="DX164" i="1"/>
  <c r="DU172" i="1"/>
  <c r="AQ216" i="1"/>
  <c r="BV243" i="1"/>
  <c r="AP234" i="1"/>
  <c r="CV213" i="1"/>
  <c r="BP202" i="1"/>
  <c r="AI180" i="1"/>
  <c r="DB176" i="1"/>
  <c r="CL232" i="1"/>
  <c r="BV167" i="1"/>
  <c r="DO173" i="1"/>
  <c r="DB194" i="1"/>
  <c r="CV239" i="1"/>
  <c r="CN193" i="1"/>
  <c r="EB239" i="1"/>
  <c r="DZ176" i="1"/>
  <c r="BZ210" i="1"/>
  <c r="DI204" i="1"/>
  <c r="EA239" i="1"/>
  <c r="CL184" i="1"/>
  <c r="DK231" i="1"/>
  <c r="AK174" i="1"/>
  <c r="AW232" i="1"/>
  <c r="CO212" i="1"/>
  <c r="DR188" i="1"/>
  <c r="CJ229" i="1"/>
  <c r="BW223" i="1"/>
  <c r="DP194" i="1"/>
  <c r="DX234" i="1"/>
  <c r="CY204" i="1"/>
  <c r="AH181" i="1"/>
  <c r="AS184" i="1"/>
  <c r="AX198" i="1"/>
  <c r="AR182" i="1"/>
  <c r="DY228" i="1"/>
  <c r="AX188" i="1"/>
  <c r="DF168" i="1"/>
  <c r="AV207" i="1"/>
  <c r="DQ180" i="1"/>
  <c r="BT167" i="1"/>
  <c r="BJ206" i="1"/>
  <c r="AJ172" i="1"/>
  <c r="DO170" i="1"/>
  <c r="BQ236" i="1"/>
  <c r="DE227" i="1"/>
  <c r="CV237" i="1"/>
  <c r="DW222" i="1"/>
  <c r="BQ190" i="1"/>
  <c r="AZ172" i="1"/>
  <c r="DK184" i="1"/>
  <c r="AL230" i="1"/>
  <c r="AH162" i="1"/>
  <c r="CQ162" i="1"/>
  <c r="AH239" i="1"/>
  <c r="AJ168" i="1"/>
  <c r="EA176" i="1"/>
  <c r="CG174" i="1"/>
  <c r="AR174" i="1"/>
  <c r="BM202" i="1"/>
  <c r="DO205" i="1"/>
  <c r="AY212" i="1"/>
  <c r="AW216" i="1"/>
  <c r="CU165" i="1"/>
  <c r="EC166" i="1"/>
  <c r="AV206" i="1"/>
  <c r="AT179" i="1"/>
  <c r="BO188" i="1"/>
  <c r="AX200" i="1"/>
  <c r="DI186" i="1"/>
  <c r="BC180" i="1"/>
  <c r="AO207" i="1"/>
  <c r="DX226" i="1"/>
  <c r="BM233" i="1"/>
  <c r="DM198" i="1"/>
  <c r="BZ189" i="1"/>
  <c r="BX190" i="1"/>
  <c r="AY168" i="1"/>
  <c r="DW215" i="1"/>
  <c r="BY226" i="1"/>
  <c r="DV232" i="1"/>
  <c r="BE201" i="1"/>
  <c r="CM210" i="1"/>
  <c r="BM206" i="1"/>
  <c r="DC229" i="1"/>
  <c r="CV217" i="1"/>
  <c r="BN169" i="1"/>
  <c r="DW202" i="1"/>
  <c r="AY210" i="1"/>
  <c r="BE189" i="1"/>
  <c r="DT221" i="1"/>
  <c r="BR212" i="1"/>
  <c r="AN188" i="1"/>
  <c r="DG195" i="1"/>
  <c r="BN188" i="1"/>
  <c r="AL202" i="1"/>
  <c r="AQ239" i="1"/>
  <c r="DZ163" i="1"/>
  <c r="DA170" i="1"/>
  <c r="BZ241" i="1"/>
  <c r="BU226" i="1"/>
  <c r="BO190" i="1"/>
  <c r="AV210" i="1"/>
  <c r="BN190" i="1"/>
  <c r="AY200" i="1"/>
  <c r="BA198" i="1"/>
  <c r="DV212" i="1"/>
  <c r="DN233" i="1"/>
  <c r="DR202" i="1"/>
  <c r="DC180" i="1"/>
  <c r="AM168" i="1"/>
  <c r="AZ211" i="1"/>
  <c r="CU202" i="1"/>
  <c r="CI180" i="1"/>
  <c r="DL173" i="1"/>
  <c r="BY197" i="1"/>
  <c r="BV200" i="1"/>
  <c r="DH200" i="1"/>
  <c r="AH207" i="1"/>
  <c r="DQ190" i="1"/>
  <c r="AQ223" i="1"/>
  <c r="AY185" i="1"/>
  <c r="CN196" i="1"/>
  <c r="DS210" i="1"/>
  <c r="AS168" i="1"/>
  <c r="DB193" i="1"/>
  <c r="AW240" i="1"/>
  <c r="BV233" i="1"/>
  <c r="DU169" i="1"/>
  <c r="DV197" i="1"/>
  <c r="DP237" i="1"/>
  <c r="DL170" i="1"/>
  <c r="CQ182" i="1"/>
  <c r="BD168" i="1"/>
  <c r="AO234" i="1"/>
  <c r="BY192" i="1"/>
  <c r="EA200" i="1"/>
  <c r="BR163" i="1"/>
  <c r="BY230" i="1"/>
  <c r="AW193" i="1"/>
  <c r="BH242" i="1"/>
  <c r="DK228" i="1"/>
  <c r="AX191" i="1"/>
  <c r="CO184" i="1"/>
  <c r="BW205" i="1"/>
  <c r="BM235" i="1"/>
  <c r="DM178" i="1"/>
  <c r="CU174" i="1"/>
  <c r="AP177" i="1"/>
  <c r="CM219" i="1"/>
  <c r="DI198" i="1"/>
  <c r="CO172" i="1"/>
  <c r="BL239" i="1"/>
  <c r="CI175" i="1"/>
  <c r="AS204" i="1"/>
  <c r="BT200" i="1"/>
  <c r="CW215" i="1"/>
  <c r="AI206" i="1"/>
  <c r="DO167" i="1"/>
  <c r="CU198" i="1"/>
  <c r="BK211" i="1"/>
  <c r="BY164" i="1"/>
  <c r="CF204" i="1"/>
  <c r="BZ233" i="1"/>
  <c r="AO221" i="1"/>
  <c r="CA226" i="1"/>
  <c r="DM238" i="1"/>
  <c r="BM218" i="1"/>
  <c r="BK238" i="1"/>
  <c r="BT206" i="1"/>
  <c r="BD190" i="1"/>
  <c r="AQ205" i="1"/>
  <c r="CN230" i="1"/>
  <c r="DM202" i="1"/>
  <c r="AZ213" i="1"/>
  <c r="BB190" i="1"/>
  <c r="CC233" i="1"/>
  <c r="AN182" i="1"/>
  <c r="CX226" i="1"/>
  <c r="CE180" i="1"/>
  <c r="BK169" i="1"/>
  <c r="CH162" i="1"/>
  <c r="AQ184" i="1"/>
  <c r="AO203" i="1"/>
  <c r="DT237" i="1"/>
  <c r="BG168" i="1"/>
  <c r="DT240" i="1"/>
  <c r="CO242" i="1"/>
  <c r="AL219" i="1"/>
  <c r="CN166" i="1"/>
  <c r="AR169" i="1"/>
  <c r="AN237" i="1"/>
  <c r="CL170" i="1"/>
  <c r="DD200" i="1"/>
  <c r="CE221" i="1"/>
  <c r="CW190" i="1"/>
  <c r="BC195" i="1"/>
  <c r="AT226" i="1"/>
  <c r="AI204" i="1"/>
  <c r="CA187" i="1"/>
  <c r="BL220" i="1"/>
  <c r="AP215" i="1"/>
  <c r="BW186" i="1"/>
  <c r="AM239" i="1"/>
  <c r="DJ240" i="1"/>
  <c r="AU239" i="1"/>
  <c r="BT241" i="1"/>
  <c r="AJ225" i="1"/>
  <c r="BG171" i="1"/>
  <c r="AI193" i="1"/>
  <c r="AY198" i="1"/>
  <c r="CJ170" i="1"/>
  <c r="BE196" i="1"/>
  <c r="AM199" i="1"/>
  <c r="BZ168" i="1"/>
  <c r="DD215" i="1"/>
  <c r="AL206" i="1"/>
  <c r="BS228" i="1"/>
  <c r="AS197" i="1"/>
  <c r="CS172" i="1"/>
  <c r="BP192" i="1"/>
  <c r="DN194" i="1"/>
  <c r="AS179" i="1"/>
  <c r="BA197" i="1"/>
  <c r="DL162" i="1"/>
  <c r="DT213" i="1"/>
  <c r="DO208" i="1"/>
  <c r="CN178" i="1"/>
  <c r="BJ178" i="1"/>
  <c r="BO218" i="1"/>
  <c r="CZ164" i="1"/>
  <c r="DE207" i="1"/>
  <c r="AH227" i="1"/>
  <c r="BN187" i="1"/>
  <c r="DK229" i="1"/>
  <c r="BJ175" i="1"/>
  <c r="AO225" i="1"/>
  <c r="DG225" i="1"/>
  <c r="AK177" i="1"/>
  <c r="DN189" i="1"/>
  <c r="BS192" i="1"/>
  <c r="BZ211" i="1"/>
  <c r="DQ237" i="1"/>
  <c r="AN201" i="1"/>
  <c r="CK204" i="1"/>
  <c r="BI189" i="1"/>
  <c r="BX192" i="1"/>
  <c r="BS174" i="1"/>
  <c r="CW185" i="1"/>
  <c r="AH167" i="1"/>
  <c r="BZ221" i="1"/>
  <c r="BK233" i="1"/>
  <c r="DB229" i="1"/>
  <c r="AO172" i="1"/>
  <c r="DV207" i="1"/>
  <c r="AW169" i="1"/>
  <c r="DS177" i="1"/>
  <c r="DW172" i="1"/>
  <c r="AT218" i="1"/>
  <c r="BG225" i="1"/>
  <c r="BF190" i="1"/>
  <c r="DK185" i="1"/>
  <c r="BE229" i="1"/>
  <c r="AM180" i="1"/>
  <c r="DG221" i="1"/>
  <c r="CD202" i="1"/>
  <c r="EA207" i="1"/>
  <c r="DC207" i="1"/>
  <c r="BD231" i="1"/>
  <c r="DH175" i="1"/>
  <c r="DH180" i="1"/>
  <c r="AZ240" i="1"/>
  <c r="CC175" i="1"/>
  <c r="CJ168" i="1"/>
  <c r="BS231" i="1"/>
  <c r="DQ230" i="1"/>
  <c r="CA180" i="1"/>
  <c r="CA223" i="1"/>
  <c r="DD241" i="1"/>
  <c r="CW228" i="1"/>
  <c r="BW182" i="1"/>
  <c r="AZ169" i="1"/>
  <c r="DH162" i="1"/>
  <c r="CT241" i="1"/>
  <c r="CH180" i="1"/>
  <c r="CS215" i="1"/>
  <c r="CN162" i="1"/>
  <c r="CW187" i="1"/>
  <c r="BY194" i="1"/>
  <c r="BV239" i="1"/>
  <c r="DN174" i="1"/>
  <c r="AQ234" i="1"/>
  <c r="DB240" i="1"/>
  <c r="CT187" i="1"/>
  <c r="BY181" i="1"/>
  <c r="DE187" i="1"/>
  <c r="BK197" i="1"/>
  <c r="EB232" i="1"/>
  <c r="AL180" i="1"/>
  <c r="BL213" i="1"/>
  <c r="AY199" i="1"/>
  <c r="AL220" i="1"/>
  <c r="CT169" i="1"/>
  <c r="AU230" i="1"/>
  <c r="AH196" i="1"/>
  <c r="BY200" i="1"/>
  <c r="CV190" i="1"/>
  <c r="BY188" i="1"/>
  <c r="CU237" i="1"/>
  <c r="BK164" i="1"/>
  <c r="DW168" i="1"/>
  <c r="DC176" i="1"/>
  <c r="DA240" i="1"/>
  <c r="EC207" i="1"/>
  <c r="CG178" i="1"/>
  <c r="CC184" i="1"/>
  <c r="DN195" i="1"/>
  <c r="DL182" i="1"/>
  <c r="AI175" i="1"/>
  <c r="AQ196" i="1"/>
  <c r="DM195" i="1"/>
  <c r="CM223" i="1"/>
  <c r="DJ170" i="1"/>
  <c r="DH173" i="1"/>
  <c r="AR228" i="1"/>
  <c r="DW197" i="1"/>
  <c r="BN221" i="1"/>
  <c r="BL226" i="1"/>
  <c r="CL211" i="1"/>
  <c r="AH195" i="1"/>
  <c r="BF233" i="1"/>
  <c r="BX236" i="1"/>
  <c r="DJ239" i="1"/>
  <c r="AP207" i="1"/>
  <c r="CA234" i="1"/>
  <c r="AJ240" i="1"/>
  <c r="BP183" i="1"/>
  <c r="CA225" i="1"/>
  <c r="CK218" i="1"/>
  <c r="CA193" i="1"/>
  <c r="CB213" i="1"/>
  <c r="BY234" i="1"/>
  <c r="BZ199" i="1"/>
  <c r="DK172" i="1"/>
  <c r="CV168" i="1"/>
  <c r="CA182" i="1"/>
  <c r="AY189" i="1"/>
  <c r="BM195" i="1"/>
  <c r="DQ208" i="1"/>
  <c r="BT230" i="1"/>
  <c r="DN229" i="1"/>
  <c r="AQ194" i="1"/>
  <c r="DE221" i="1"/>
  <c r="CF168" i="1"/>
  <c r="BH215" i="1"/>
  <c r="DI197" i="1"/>
  <c r="BP238" i="1"/>
  <c r="AZ231" i="1"/>
  <c r="BJ203" i="1"/>
  <c r="CS203" i="1"/>
  <c r="DP210" i="1"/>
  <c r="BA184" i="1"/>
  <c r="BQ187" i="1"/>
  <c r="BO180" i="1"/>
  <c r="CV222" i="1"/>
  <c r="CF163" i="1"/>
  <c r="BC189" i="1"/>
  <c r="BM215" i="1"/>
  <c r="EC240" i="1"/>
  <c r="CH215" i="1"/>
  <c r="CM206" i="1"/>
  <c r="BG238" i="1"/>
  <c r="BH193" i="1"/>
  <c r="CZ190" i="1"/>
  <c r="BC222" i="1"/>
  <c r="BQ180" i="1"/>
  <c r="EA214" i="1"/>
  <c r="EA215" i="1"/>
  <c r="DX190" i="1"/>
  <c r="BZ188" i="1"/>
  <c r="CW173" i="1"/>
  <c r="CQ218" i="1"/>
  <c r="DO214" i="1"/>
  <c r="CT237" i="1"/>
  <c r="BR234" i="1"/>
  <c r="EA184" i="1"/>
  <c r="BQ232" i="1"/>
  <c r="DJ190" i="1"/>
  <c r="BH230" i="1"/>
  <c r="DQ225" i="1"/>
  <c r="CS233" i="1"/>
  <c r="BG197" i="1"/>
  <c r="CH233" i="1"/>
  <c r="BR182" i="1"/>
  <c r="DH234" i="1"/>
  <c r="CS213" i="1"/>
  <c r="AO200" i="1"/>
  <c r="CB207" i="1"/>
  <c r="AU197" i="1"/>
  <c r="CD165" i="1"/>
  <c r="AQ188" i="1"/>
  <c r="CY184" i="1"/>
  <c r="CN195" i="1"/>
  <c r="EB216" i="1"/>
  <c r="DP176" i="1"/>
  <c r="CF176" i="1"/>
  <c r="DR170" i="1"/>
  <c r="DU194" i="1"/>
  <c r="CX208" i="1"/>
  <c r="CU193" i="1"/>
  <c r="CB176" i="1"/>
  <c r="CG212" i="1"/>
  <c r="AQ202" i="1"/>
  <c r="BP172" i="1"/>
  <c r="BY223" i="1"/>
  <c r="BX170" i="1"/>
  <c r="BU194" i="1"/>
  <c r="DF230" i="1"/>
  <c r="AI167" i="1"/>
  <c r="AV182" i="1"/>
  <c r="CS194" i="1"/>
  <c r="DF202" i="1"/>
  <c r="CL176" i="1"/>
  <c r="CF240" i="1"/>
  <c r="BM199" i="1"/>
  <c r="CK200" i="1"/>
  <c r="BY214" i="1"/>
  <c r="CQ165" i="1"/>
  <c r="AU213" i="1"/>
  <c r="DH195" i="1"/>
  <c r="BT218" i="1"/>
  <c r="CC207" i="1"/>
  <c r="BV193" i="1"/>
  <c r="DT203" i="1"/>
  <c r="CC193" i="1"/>
  <c r="DI202" i="1"/>
  <c r="CR225" i="1"/>
  <c r="BN172" i="1"/>
  <c r="DA204" i="1"/>
  <c r="CB196" i="1"/>
  <c r="DF185" i="1"/>
  <c r="DS187" i="1"/>
  <c r="BT210" i="1"/>
  <c r="EB170" i="1"/>
  <c r="AR238" i="1"/>
  <c r="DU210" i="1"/>
  <c r="CK194" i="1"/>
  <c r="CH204" i="1"/>
  <c r="CO230" i="1"/>
  <c r="CO224" i="1"/>
  <c r="DM193" i="1"/>
  <c r="DF223" i="1"/>
  <c r="BZ177" i="1"/>
  <c r="DJ237" i="1"/>
  <c r="DY180" i="1"/>
  <c r="BX221" i="1"/>
  <c r="DA189" i="1"/>
  <c r="DD240" i="1"/>
  <c r="AP230" i="1"/>
  <c r="DY214" i="1"/>
  <c r="BE167" i="1"/>
  <c r="CJ227" i="1"/>
  <c r="AK178" i="1"/>
  <c r="CO193" i="1"/>
  <c r="CP163" i="1"/>
  <c r="AZ223" i="1"/>
  <c r="DI168" i="1"/>
  <c r="BL198" i="1"/>
  <c r="BH192" i="1"/>
  <c r="DK181" i="1"/>
  <c r="DI209" i="1"/>
  <c r="CG182" i="1"/>
  <c r="DC175" i="1"/>
  <c r="BO194" i="1"/>
  <c r="AM238" i="1"/>
  <c r="AH233" i="1"/>
  <c r="BC164" i="1"/>
  <c r="BE240" i="1"/>
  <c r="BB169" i="1"/>
  <c r="CJ199" i="1"/>
  <c r="DI237" i="1"/>
  <c r="CY233" i="1"/>
  <c r="DI163" i="1"/>
  <c r="DW207" i="1"/>
  <c r="BT166" i="1"/>
  <c r="BZ209" i="1"/>
  <c r="BJ168" i="1"/>
  <c r="DG173" i="1"/>
  <c r="DP212" i="1"/>
  <c r="DZ182" i="1"/>
  <c r="BM184" i="1"/>
  <c r="EC193" i="1"/>
  <c r="CJ185" i="1"/>
  <c r="AU164" i="1"/>
  <c r="BN230" i="1"/>
  <c r="CD195" i="1"/>
  <c r="DU181" i="1"/>
  <c r="DI188" i="1"/>
  <c r="CR234" i="1"/>
  <c r="EC205" i="1"/>
  <c r="AK230" i="1"/>
  <c r="CH195" i="1"/>
  <c r="CU187" i="1"/>
  <c r="CJ190" i="1"/>
  <c r="DS169" i="1"/>
  <c r="DT168" i="1"/>
  <c r="BU167" i="1"/>
  <c r="BX162" i="1"/>
  <c r="AM233" i="1"/>
  <c r="DJ217" i="1"/>
  <c r="BK177" i="1"/>
  <c r="DM214" i="1"/>
  <c r="CG211" i="1"/>
  <c r="BN217" i="1"/>
  <c r="CV233" i="1"/>
  <c r="CZ195" i="1"/>
  <c r="DP163" i="1"/>
  <c r="DO183" i="1"/>
  <c r="BM198" i="1"/>
  <c r="AL229" i="1"/>
  <c r="DD230" i="1"/>
  <c r="BB218" i="1"/>
  <c r="BF211" i="1"/>
  <c r="AQ210" i="1"/>
  <c r="CW201" i="1"/>
  <c r="DB239" i="1"/>
  <c r="DK167" i="1"/>
  <c r="DH184" i="1"/>
  <c r="BF225" i="1"/>
  <c r="BL170" i="1"/>
  <c r="DC195" i="1"/>
  <c r="CY221" i="1"/>
  <c r="BH234" i="1"/>
  <c r="BP234" i="1"/>
  <c r="BF188" i="1"/>
  <c r="DI164" i="1"/>
  <c r="CN205" i="1"/>
  <c r="BK191" i="1"/>
  <c r="DM204" i="1"/>
  <c r="CT209" i="1"/>
  <c r="CB194" i="1"/>
  <c r="DZ165" i="1"/>
  <c r="DT192" i="1"/>
  <c r="DI194" i="1"/>
  <c r="CT199" i="1"/>
  <c r="CT224" i="1"/>
  <c r="CJ237" i="1"/>
  <c r="DQ182" i="1"/>
  <c r="DH190" i="1"/>
  <c r="DW210" i="1"/>
  <c r="BA200" i="1"/>
  <c r="DL197" i="1"/>
  <c r="AP227" i="1"/>
  <c r="AP175" i="1"/>
  <c r="BS181" i="1"/>
  <c r="DA232" i="1"/>
  <c r="CX231" i="1"/>
  <c r="DF227" i="1"/>
  <c r="DI181" i="1"/>
  <c r="DE164" i="1"/>
  <c r="CV198" i="1"/>
  <c r="BE171" i="1"/>
  <c r="BE163" i="1"/>
  <c r="CY197" i="1"/>
  <c r="BZ192" i="1"/>
  <c r="AV173" i="1"/>
  <c r="EC230" i="1"/>
  <c r="BB197" i="1"/>
  <c r="CP206" i="1"/>
  <c r="CJ163" i="1"/>
  <c r="AZ212" i="1"/>
  <c r="BX163" i="1"/>
  <c r="CC215" i="1"/>
  <c r="DI214" i="1"/>
  <c r="DY239" i="1"/>
  <c r="AQ212" i="1"/>
  <c r="DM234" i="1"/>
  <c r="DG201" i="1"/>
  <c r="DO181" i="1"/>
  <c r="AH176" i="1"/>
  <c r="AN219" i="1"/>
  <c r="BA171" i="1"/>
  <c r="BX184" i="1"/>
  <c r="DT163" i="1"/>
  <c r="DE232" i="1"/>
  <c r="DC198" i="1"/>
  <c r="BV232" i="1"/>
  <c r="CA214" i="1"/>
  <c r="BE236" i="1"/>
  <c r="BV163" i="1"/>
  <c r="DC201" i="1"/>
  <c r="AV179" i="1"/>
  <c r="CZ188" i="1"/>
  <c r="DI233" i="1"/>
  <c r="CS180" i="1"/>
  <c r="EA238" i="1"/>
  <c r="AJ221" i="1"/>
  <c r="AJ209" i="1"/>
  <c r="BH210" i="1"/>
  <c r="AK229" i="1"/>
  <c r="CD209" i="1"/>
  <c r="AW227" i="1"/>
  <c r="BW162" i="1"/>
  <c r="DC163" i="1"/>
  <c r="AW196" i="1"/>
  <c r="DO206" i="1"/>
  <c r="AX237" i="1"/>
  <c r="DQ184" i="1"/>
  <c r="BK201" i="1"/>
  <c r="CV201" i="1"/>
  <c r="CH168" i="1"/>
  <c r="BR238" i="1"/>
  <c r="CW238" i="1"/>
  <c r="CD163" i="1"/>
  <c r="CO243" i="1"/>
  <c r="CY212" i="1"/>
  <c r="CI218" i="1"/>
  <c r="DW170" i="1"/>
  <c r="DQ234" i="1"/>
  <c r="EB198" i="1"/>
  <c r="DD211" i="1"/>
  <c r="EC223" i="1"/>
  <c r="CZ178" i="1"/>
  <c r="CL234" i="1"/>
  <c r="BG230" i="1"/>
  <c r="EC169" i="1"/>
  <c r="BW222" i="1"/>
  <c r="BS221" i="1"/>
  <c r="AU169" i="1"/>
  <c r="DE213" i="1"/>
  <c r="BP229" i="1"/>
  <c r="EB176" i="1"/>
  <c r="BX176" i="1"/>
  <c r="AT241" i="1"/>
  <c r="CB180" i="1"/>
  <c r="BS187" i="1"/>
  <c r="BK234" i="1"/>
  <c r="AX240" i="1"/>
  <c r="CL172" i="1"/>
  <c r="BB194" i="1"/>
  <c r="CE214" i="1"/>
  <c r="DA213" i="1"/>
  <c r="DE222" i="1"/>
  <c r="AQ219" i="1"/>
  <c r="AL184" i="1"/>
  <c r="DR164" i="1"/>
  <c r="BX206" i="1"/>
  <c r="AS237" i="1"/>
  <c r="AM198" i="1"/>
  <c r="AP241" i="1"/>
  <c r="DM189" i="1"/>
  <c r="CY200" i="1"/>
  <c r="AO230" i="1"/>
  <c r="DJ176" i="1"/>
  <c r="BS238" i="1"/>
  <c r="DM213" i="1"/>
  <c r="AR188" i="1"/>
  <c r="AO192" i="1"/>
  <c r="AI242" i="1"/>
  <c r="DG171" i="1"/>
  <c r="CX192" i="1"/>
  <c r="BF184" i="1"/>
  <c r="BX178" i="1"/>
  <c r="CR230" i="1"/>
  <c r="DM207" i="1"/>
  <c r="EC168" i="1"/>
  <c r="CG239" i="1"/>
  <c r="BB236" i="1"/>
  <c r="DL241" i="1"/>
  <c r="CT173" i="1"/>
  <c r="DF197" i="1"/>
  <c r="AV205" i="1"/>
  <c r="BI176" i="1"/>
  <c r="BV178" i="1"/>
  <c r="CJ187" i="1"/>
  <c r="DT217" i="1"/>
  <c r="BQ199" i="1"/>
  <c r="CB192" i="1"/>
  <c r="CJ171" i="1"/>
  <c r="CE226" i="1"/>
  <c r="EB192" i="1"/>
  <c r="CX203" i="1"/>
  <c r="DM239" i="1"/>
  <c r="BM176" i="1"/>
  <c r="BC167" i="1"/>
  <c r="DU163" i="1"/>
  <c r="AR200" i="1"/>
  <c r="AL241" i="1"/>
  <c r="BF232" i="1"/>
  <c r="DG175" i="1"/>
  <c r="CJ232" i="1"/>
  <c r="BT212" i="1"/>
  <c r="AY221" i="1"/>
  <c r="CU196" i="1"/>
  <c r="DB214" i="1"/>
  <c r="DQ212" i="1"/>
  <c r="CQ201" i="1"/>
  <c r="BN168" i="1"/>
  <c r="CM185" i="1"/>
  <c r="CO215" i="1"/>
  <c r="BK176" i="1"/>
  <c r="AR212" i="1"/>
  <c r="BX193" i="1"/>
  <c r="CR239" i="1"/>
  <c r="CB233" i="1"/>
  <c r="CK206" i="1"/>
  <c r="CZ180" i="1"/>
  <c r="AZ175" i="1"/>
  <c r="DG187" i="1"/>
  <c r="AS175" i="1"/>
  <c r="BC206" i="1"/>
  <c r="DO226" i="1"/>
  <c r="DN236" i="1"/>
  <c r="EA241" i="1"/>
  <c r="DB200" i="1"/>
  <c r="BJ241" i="1"/>
  <c r="CY207" i="1"/>
  <c r="CT193" i="1"/>
  <c r="DD229" i="1"/>
  <c r="BV195" i="1"/>
  <c r="AX175" i="1"/>
  <c r="BS230" i="1"/>
  <c r="CN181" i="1"/>
  <c r="BR194" i="1"/>
  <c r="CR227" i="1"/>
  <c r="DE194" i="1"/>
  <c r="DP200" i="1"/>
  <c r="AT217" i="1"/>
  <c r="DM206" i="1"/>
  <c r="DK188" i="1"/>
  <c r="BL219" i="1"/>
  <c r="BM213" i="1"/>
  <c r="BH189" i="1"/>
  <c r="AN176" i="1"/>
  <c r="CK232" i="1"/>
  <c r="DI177" i="1"/>
  <c r="BA219" i="1"/>
  <c r="BI193" i="1"/>
  <c r="CP193" i="1"/>
  <c r="CM197" i="1"/>
  <c r="DF204" i="1"/>
  <c r="DX185" i="1"/>
  <c r="BY177" i="1"/>
  <c r="CC210" i="1"/>
  <c r="CC211" i="1"/>
  <c r="DN231" i="1"/>
  <c r="CO205" i="1"/>
  <c r="DY204" i="1"/>
  <c r="AQ221" i="1"/>
  <c r="BC234" i="1"/>
  <c r="DM210" i="1"/>
  <c r="DW206" i="1"/>
  <c r="CH218" i="1"/>
  <c r="AR184" i="1"/>
  <c r="CC226" i="1"/>
  <c r="BT215" i="1"/>
  <c r="AV220" i="1"/>
  <c r="BI172" i="1"/>
  <c r="DL177" i="1"/>
  <c r="CG200" i="1"/>
  <c r="AL237" i="1"/>
  <c r="BT211" i="1"/>
  <c r="AN216" i="1"/>
  <c r="CH207" i="1"/>
  <c r="CT170" i="1"/>
  <c r="CW210" i="1"/>
  <c r="CF230" i="1"/>
  <c r="AU181" i="1"/>
  <c r="CN212" i="1"/>
  <c r="BU201" i="1"/>
  <c r="AX219" i="1"/>
  <c r="AS199" i="1"/>
  <c r="CZ238" i="1"/>
  <c r="AT222" i="1"/>
  <c r="CN223" i="1"/>
  <c r="AZ166" i="1"/>
  <c r="DQ202" i="1"/>
  <c r="BH199" i="1"/>
  <c r="EB234" i="1"/>
  <c r="CD224" i="1"/>
  <c r="CZ184" i="1"/>
  <c r="DO199" i="1"/>
  <c r="BN189" i="1"/>
  <c r="CZ194" i="1"/>
  <c r="DD238" i="1"/>
  <c r="AK198" i="1"/>
  <c r="BG187" i="1"/>
  <c r="AQ176" i="1"/>
  <c r="BD219" i="1"/>
  <c r="BG194" i="1"/>
  <c r="BJ204" i="1"/>
  <c r="BQ229" i="1"/>
  <c r="CH174" i="1"/>
  <c r="BT175" i="1"/>
  <c r="BU239" i="1"/>
  <c r="AV222" i="1"/>
  <c r="BC190" i="1"/>
  <c r="EA236" i="1"/>
  <c r="AU172" i="1"/>
  <c r="DU189" i="1"/>
  <c r="CD223" i="1"/>
  <c r="CL197" i="1"/>
  <c r="AP180" i="1"/>
  <c r="BF226" i="1"/>
  <c r="CW214" i="1"/>
  <c r="AQ229" i="1"/>
  <c r="CS193" i="1"/>
  <c r="CY213" i="1"/>
  <c r="BC175" i="1"/>
  <c r="AP221" i="1"/>
  <c r="DJ233" i="1"/>
  <c r="BR216" i="1"/>
  <c r="CP170" i="1"/>
  <c r="CF213" i="1"/>
  <c r="CM190" i="1"/>
  <c r="BF230" i="1"/>
  <c r="DE169" i="1"/>
  <c r="CU203" i="1"/>
  <c r="BS239" i="1"/>
  <c r="BB215" i="1"/>
  <c r="BN185" i="1"/>
  <c r="AR195" i="1"/>
  <c r="AJ178" i="1"/>
  <c r="DN213" i="1"/>
  <c r="CK240" i="1"/>
  <c r="AI202" i="1"/>
  <c r="AL234" i="1"/>
  <c r="AJ237" i="1"/>
  <c r="CD192" i="1"/>
  <c r="DZ188" i="1"/>
  <c r="DM177" i="1"/>
  <c r="CV203" i="1"/>
  <c r="BD181" i="1"/>
  <c r="DJ223" i="1"/>
  <c r="DS239" i="1"/>
  <c r="CA201" i="1"/>
  <c r="CF198" i="1"/>
  <c r="BY198" i="1"/>
  <c r="DE204" i="1"/>
  <c r="CZ221" i="1"/>
  <c r="CP225" i="1"/>
  <c r="DV229" i="1"/>
  <c r="BP220" i="1"/>
  <c r="BA180" i="1"/>
  <c r="BH229" i="1"/>
  <c r="AX230" i="1"/>
  <c r="BO187" i="1"/>
  <c r="BX226" i="1"/>
  <c r="BW167" i="1"/>
  <c r="BA185" i="1"/>
  <c r="BJ187" i="1"/>
  <c r="DN205" i="1"/>
  <c r="DU223" i="1"/>
  <c r="DA175" i="1"/>
  <c r="BT233" i="1"/>
  <c r="BS223" i="1"/>
  <c r="AN172" i="1"/>
  <c r="BQ216" i="1"/>
  <c r="CA202" i="1"/>
  <c r="DW166" i="1"/>
  <c r="AV188" i="1"/>
  <c r="BU208" i="1"/>
  <c r="AN162" i="1"/>
  <c r="DX176" i="1"/>
  <c r="BE219" i="1"/>
  <c r="DT180" i="1"/>
  <c r="EB171" i="1"/>
  <c r="DZ179" i="1"/>
  <c r="BF185" i="1"/>
  <c r="AP195" i="1"/>
  <c r="DK202" i="1"/>
  <c r="CW219" i="1"/>
  <c r="CV188" i="1"/>
  <c r="DK241" i="1"/>
  <c r="DF166" i="1"/>
  <c r="CL178" i="1"/>
  <c r="AJ201" i="1"/>
  <c r="DX229" i="1"/>
  <c r="AZ168" i="1"/>
  <c r="DL223" i="1"/>
  <c r="CP239" i="1"/>
  <c r="DT224" i="1"/>
  <c r="BL228" i="1"/>
  <c r="CJ183" i="1"/>
  <c r="AY239" i="1"/>
  <c r="CO241" i="1"/>
  <c r="CJ206" i="1"/>
  <c r="BG223" i="1"/>
  <c r="BH206" i="1"/>
  <c r="DV170" i="1"/>
  <c r="CO206" i="1"/>
  <c r="AN180" i="1"/>
  <c r="BR210" i="1"/>
  <c r="BW197" i="1"/>
  <c r="CQ223" i="1"/>
  <c r="BS237" i="1"/>
  <c r="DN176" i="1"/>
  <c r="BO233" i="1"/>
  <c r="BJ163" i="1"/>
  <c r="DL172" i="1"/>
  <c r="CR187" i="1"/>
  <c r="AH177" i="1"/>
  <c r="DF241" i="1"/>
  <c r="BG236" i="1"/>
  <c r="DH216" i="1"/>
  <c r="CM204" i="1"/>
  <c r="BZ239" i="1"/>
  <c r="AM164" i="1"/>
  <c r="CB181" i="1"/>
  <c r="DC225" i="1"/>
  <c r="BP226" i="1"/>
  <c r="BW218" i="1"/>
  <c r="CH238" i="1"/>
  <c r="BA225" i="1"/>
  <c r="CA230" i="1"/>
  <c r="BV168" i="1"/>
  <c r="CE202" i="1"/>
  <c r="CQ188" i="1"/>
  <c r="DN210" i="1"/>
  <c r="BI167" i="1"/>
  <c r="AY170" i="1"/>
  <c r="CP198" i="1"/>
  <c r="BA237" i="1"/>
  <c r="BN207" i="1"/>
  <c r="CW232" i="1"/>
  <c r="BT214" i="1"/>
  <c r="BY162" i="1"/>
  <c r="BH163" i="1"/>
  <c r="CQ172" i="1"/>
  <c r="CQ166" i="1"/>
  <c r="DR197" i="1"/>
  <c r="DF175" i="1"/>
  <c r="DW176" i="1"/>
  <c r="CJ197" i="1"/>
  <c r="AR218" i="1"/>
  <c r="CH216" i="1"/>
  <c r="AP217" i="1"/>
  <c r="BC230" i="1"/>
  <c r="DH197" i="1"/>
  <c r="CM237" i="1"/>
  <c r="CE230" i="1"/>
  <c r="AU187" i="1"/>
  <c r="BT226" i="1"/>
  <c r="CC239" i="1"/>
  <c r="DF238" i="1"/>
  <c r="DR194" i="1"/>
  <c r="DA185" i="1"/>
  <c r="BM181" i="1"/>
  <c r="BD177" i="1"/>
  <c r="BV188" i="1"/>
  <c r="DV187" i="1"/>
  <c r="EA172" i="1"/>
  <c r="DC206" i="1"/>
  <c r="AV235" i="1"/>
  <c r="CO181" i="1"/>
  <c r="BK188" i="1"/>
  <c r="BF241" i="1"/>
  <c r="CL162" i="1"/>
  <c r="AZ193" i="1"/>
  <c r="CH242" i="1"/>
  <c r="BZ219" i="1"/>
  <c r="CC204" i="1"/>
  <c r="DT181" i="1"/>
  <c r="DP172" i="1"/>
  <c r="DT178" i="1"/>
  <c r="DX218" i="1"/>
  <c r="AS178" i="1"/>
  <c r="BH191" i="1"/>
  <c r="CO189" i="1"/>
  <c r="DX172" i="1"/>
  <c r="BP193" i="1"/>
  <c r="DJ185" i="1"/>
  <c r="BH221" i="1"/>
  <c r="CN202" i="1"/>
  <c r="BW169" i="1"/>
  <c r="BW168" i="1"/>
  <c r="CN194" i="1"/>
  <c r="DA164" i="1"/>
  <c r="AU203" i="1"/>
  <c r="BE191" i="1"/>
  <c r="CS177" i="1"/>
  <c r="AW167" i="1"/>
  <c r="CN204" i="1"/>
  <c r="BK174" i="1"/>
  <c r="BY232" i="1"/>
  <c r="CC198" i="1"/>
  <c r="DJ181" i="1"/>
  <c r="CB228" i="1"/>
  <c r="BY207" i="1"/>
  <c r="DH199" i="1"/>
  <c r="DU206" i="1"/>
  <c r="DK238" i="1"/>
  <c r="BE215" i="1"/>
  <c r="CW234" i="1"/>
  <c r="AN241" i="1"/>
  <c r="AW208" i="1"/>
  <c r="BC169" i="1"/>
  <c r="DP239" i="1"/>
  <c r="CH240" i="1"/>
  <c r="BV186" i="1"/>
  <c r="DI190" i="1"/>
  <c r="CG216" i="1"/>
  <c r="BM163" i="1"/>
  <c r="CJ234" i="1"/>
  <c r="CD189" i="1"/>
  <c r="BN170" i="1"/>
  <c r="CE239" i="1"/>
  <c r="BI208" i="1"/>
  <c r="AN240" i="1"/>
  <c r="EB194" i="1"/>
  <c r="DC168" i="1"/>
  <c r="DJ215" i="1"/>
  <c r="DE230" i="1"/>
  <c r="DA221" i="1"/>
  <c r="DA200" i="1"/>
  <c r="CH186" i="1"/>
  <c r="DU238" i="1"/>
  <c r="CD169" i="1"/>
  <c r="BK175" i="1"/>
  <c r="AT208" i="1"/>
  <c r="BG237" i="1"/>
  <c r="BH185" i="1"/>
  <c r="DJ213" i="1"/>
  <c r="BX197" i="1"/>
  <c r="BA230" i="1"/>
  <c r="DG191" i="1"/>
  <c r="AJ185" i="1"/>
  <c r="AL193" i="1"/>
  <c r="BD173" i="1"/>
  <c r="CC170" i="1"/>
  <c r="BM226" i="1"/>
  <c r="DG229" i="1"/>
  <c r="CO174" i="1"/>
  <c r="DN234" i="1"/>
  <c r="AU192" i="1"/>
  <c r="CQ197" i="1"/>
  <c r="DE200" i="1"/>
  <c r="CQ210" i="1"/>
  <c r="DY181" i="1"/>
  <c r="DN170" i="1"/>
  <c r="DK204" i="1"/>
  <c r="BE176" i="1"/>
  <c r="DR183" i="1"/>
  <c r="CH173" i="1"/>
  <c r="CO225" i="1"/>
  <c r="AH194" i="1"/>
  <c r="DA198" i="1"/>
  <c r="CN168" i="1"/>
  <c r="CE223" i="1"/>
  <c r="BV180" i="1"/>
  <c r="AM211" i="1"/>
  <c r="CX236" i="1"/>
  <c r="BV212" i="1"/>
  <c r="BU166" i="1"/>
  <c r="DH212" i="1"/>
  <c r="DM203" i="1"/>
  <c r="CL210" i="1"/>
  <c r="BS188" i="1"/>
  <c r="EA175" i="1"/>
  <c r="BS241" i="1"/>
  <c r="CI223" i="1"/>
  <c r="BZ218" i="1"/>
  <c r="CF195" i="1"/>
  <c r="BZ171" i="1"/>
  <c r="AU237" i="1"/>
  <c r="BF169" i="1"/>
  <c r="DP191" i="1"/>
  <c r="CV194" i="1"/>
  <c r="DG185" i="1"/>
  <c r="BR178" i="1"/>
  <c r="DQ188" i="1"/>
  <c r="CV216" i="1"/>
  <c r="CU241" i="1"/>
  <c r="BJ177" i="1"/>
  <c r="CZ197" i="1"/>
  <c r="DQ166" i="1"/>
  <c r="AI239" i="1"/>
  <c r="DF169" i="1"/>
  <c r="DA223" i="1"/>
  <c r="AO240" i="1"/>
  <c r="DP193" i="1"/>
  <c r="CP220" i="1"/>
  <c r="CW221" i="1"/>
  <c r="AK220" i="1"/>
  <c r="DQ229" i="1"/>
  <c r="DX173" i="1"/>
  <c r="CT218" i="1"/>
  <c r="CG204" i="1"/>
  <c r="CI219" i="1"/>
  <c r="BC226" i="1"/>
  <c r="AM228" i="1"/>
  <c r="DM188" i="1"/>
  <c r="EC219" i="1"/>
  <c r="CQ219" i="1"/>
  <c r="CZ175" i="1"/>
  <c r="CU221" i="1"/>
  <c r="CI230" i="1"/>
  <c r="AY187" i="1"/>
  <c r="CE242" i="1"/>
  <c r="BN213" i="1"/>
  <c r="BM211" i="1"/>
  <c r="BS234" i="1"/>
  <c r="CA172" i="1"/>
  <c r="DX212" i="1"/>
  <c r="CA177" i="1"/>
  <c r="DV176" i="1"/>
  <c r="BS172" i="1"/>
  <c r="AU178" i="1"/>
  <c r="AQ231" i="1"/>
  <c r="BW230" i="1"/>
  <c r="CM177" i="1"/>
  <c r="AL188" i="1"/>
  <c r="DU231" i="1"/>
  <c r="CQ225" i="1"/>
  <c r="BT187" i="1"/>
  <c r="BM162" i="1"/>
  <c r="AP187" i="1"/>
  <c r="BV177" i="1"/>
  <c r="CB175" i="1"/>
  <c r="CX223" i="1"/>
  <c r="AS180" i="1"/>
  <c r="DF218" i="1"/>
  <c r="BR170" i="1"/>
  <c r="BX177" i="1"/>
  <c r="AM226" i="1"/>
  <c r="CL230" i="1"/>
  <c r="BR230" i="1"/>
  <c r="CT210" i="1"/>
  <c r="BC178" i="1"/>
  <c r="CH182" i="1"/>
  <c r="AR225" i="1"/>
  <c r="DX202" i="1"/>
  <c r="DJ197" i="1"/>
  <c r="AL199" i="1"/>
  <c r="CH212" i="1"/>
  <c r="DH203" i="1"/>
  <c r="DH202" i="1"/>
  <c r="DX198" i="1"/>
  <c r="DQ223" i="1"/>
  <c r="DR163" i="1"/>
  <c r="AT230" i="1"/>
  <c r="AS215" i="1"/>
  <c r="CP213" i="1"/>
  <c r="CD188" i="1"/>
  <c r="DV193" i="1"/>
  <c r="AT219" i="1"/>
  <c r="BD240" i="1"/>
  <c r="DC241" i="1"/>
  <c r="AV189" i="1"/>
  <c r="BC232" i="1"/>
  <c r="DF206" i="1"/>
  <c r="BF174" i="1"/>
  <c r="AI219" i="1"/>
  <c r="AP238" i="1"/>
  <c r="CX174" i="1"/>
  <c r="AK219" i="1"/>
  <c r="DY173" i="1"/>
  <c r="CY163" i="1"/>
  <c r="DD163" i="1"/>
  <c r="AY174" i="1"/>
  <c r="BI179" i="1"/>
  <c r="CY234" i="1"/>
  <c r="AY190" i="1"/>
  <c r="CZ229" i="1"/>
  <c r="BK209" i="1"/>
  <c r="EC204" i="1"/>
  <c r="CM182" i="1"/>
  <c r="AW226" i="1"/>
  <c r="CI163" i="1"/>
  <c r="DR232" i="1"/>
  <c r="DQ193" i="1"/>
  <c r="DQ233" i="1"/>
  <c r="BS194" i="1"/>
  <c r="CE232" i="1"/>
  <c r="CE235" i="1"/>
  <c r="BZ186" i="1"/>
  <c r="AM172" i="1"/>
  <c r="CU222" i="1"/>
  <c r="DW239" i="1"/>
  <c r="DM230" i="1"/>
  <c r="DF172" i="1"/>
  <c r="DK174" i="1"/>
  <c r="BV231" i="1"/>
  <c r="BX167" i="1"/>
  <c r="BN216" i="1"/>
  <c r="AZ186" i="1"/>
  <c r="DS215" i="1"/>
  <c r="BW206" i="1"/>
  <c r="DX230" i="1"/>
  <c r="AR190" i="1"/>
  <c r="BJ210" i="1"/>
  <c r="CW226" i="1"/>
  <c r="AJ182" i="1"/>
  <c r="DW164" i="1"/>
  <c r="DG226" i="1"/>
  <c r="CS163" i="1"/>
  <c r="BI187" i="1"/>
  <c r="BA218" i="1"/>
  <c r="DJ162" i="1"/>
  <c r="DO234" i="1"/>
  <c r="BS182" i="1"/>
  <c r="CI217" i="1"/>
  <c r="BN164" i="1"/>
  <c r="AR235" i="1"/>
  <c r="DK177" i="1"/>
  <c r="DN221" i="1"/>
  <c r="DM199" i="1"/>
  <c r="CL168" i="1"/>
  <c r="DB190" i="1"/>
  <c r="BO184" i="1"/>
  <c r="DS221" i="1"/>
  <c r="BR223" i="1"/>
  <c r="AM201" i="1"/>
  <c r="DR179" i="1"/>
  <c r="BM210" i="1"/>
  <c r="DV185" i="1"/>
  <c r="AH226" i="1"/>
  <c r="AM208" i="1"/>
  <c r="BQ175" i="1"/>
  <c r="DR193" i="1"/>
  <c r="BM164" i="1"/>
  <c r="DX192" i="1"/>
  <c r="AX171" i="1"/>
  <c r="DJ200" i="1"/>
  <c r="AS169" i="1"/>
  <c r="BY225" i="1"/>
  <c r="DJ202" i="1"/>
  <c r="DE170" i="1"/>
  <c r="BT201" i="1"/>
  <c r="CX162" i="1"/>
  <c r="BS197" i="1"/>
  <c r="DA188" i="1"/>
  <c r="CI193" i="1"/>
  <c r="CA168" i="1"/>
  <c r="AX172" i="1"/>
  <c r="CS212" i="1"/>
  <c r="DN199" i="1"/>
  <c r="DE182" i="1"/>
  <c r="BA210" i="1"/>
  <c r="CG193" i="1"/>
  <c r="AU241" i="1"/>
  <c r="DM166" i="1"/>
  <c r="CL183" i="1"/>
  <c r="DT193" i="1"/>
  <c r="BB203" i="1"/>
  <c r="DH172" i="1"/>
  <c r="CS199" i="1"/>
  <c r="CC172" i="1"/>
  <c r="CQ198" i="1"/>
  <c r="EA212" i="1"/>
  <c r="DX206" i="1"/>
  <c r="BU223" i="1"/>
  <c r="CP199" i="1"/>
  <c r="CX228" i="1"/>
  <c r="CF207" i="1"/>
  <c r="BW178" i="1"/>
  <c r="BG220" i="1"/>
  <c r="BY190" i="1"/>
  <c r="AT175" i="1"/>
  <c r="CY162" i="1"/>
  <c r="BL206" i="1"/>
  <c r="BT192" i="1"/>
  <c r="CZ203" i="1"/>
  <c r="CC163" i="1"/>
  <c r="DY235" i="1"/>
  <c r="AW213" i="1"/>
  <c r="CH169" i="1"/>
  <c r="BH168" i="1"/>
  <c r="CQ187" i="1"/>
  <c r="BQ212" i="1"/>
  <c r="DO215" i="1"/>
  <c r="CS225" i="1"/>
  <c r="DM205" i="1"/>
  <c r="DA218" i="1"/>
  <c r="AQ243" i="1"/>
  <c r="DN240" i="1"/>
  <c r="DO178" i="1"/>
  <c r="BT221" i="1"/>
  <c r="BO234" i="1"/>
  <c r="DD193" i="1"/>
  <c r="AV175" i="1"/>
  <c r="CD212" i="1"/>
  <c r="AT181" i="1"/>
  <c r="AZ190" i="1"/>
  <c r="BP185" i="1"/>
  <c r="DM163" i="1"/>
  <c r="AM213" i="1"/>
  <c r="BB193" i="1"/>
  <c r="CJ169" i="1"/>
  <c r="DG178" i="1"/>
  <c r="BM170" i="1"/>
  <c r="BE175" i="1"/>
  <c r="CG230" i="1"/>
  <c r="AR163" i="1"/>
  <c r="BU168" i="1"/>
  <c r="DN177" i="1"/>
  <c r="DO201" i="1"/>
  <c r="CV192" i="1"/>
  <c r="DC232" i="1"/>
  <c r="BC176" i="1"/>
  <c r="AL172" i="1"/>
  <c r="DI219" i="1"/>
  <c r="BI238" i="1"/>
  <c r="AX199" i="1"/>
  <c r="AV241" i="1"/>
  <c r="BS202" i="1"/>
  <c r="DX167" i="1"/>
  <c r="DA219" i="1"/>
  <c r="BI233" i="1"/>
  <c r="BD182" i="1"/>
  <c r="BD226" i="1"/>
  <c r="CJ212" i="1"/>
  <c r="BL225" i="1"/>
  <c r="BH203" i="1"/>
  <c r="DS230" i="1"/>
  <c r="CX219" i="1"/>
  <c r="BW213" i="1"/>
  <c r="BU203" i="1"/>
  <c r="CO200" i="1"/>
  <c r="EB185" i="1"/>
  <c r="AW177" i="1"/>
  <c r="AV231" i="1"/>
  <c r="DT238" i="1"/>
  <c r="AT223" i="1"/>
  <c r="DO236" i="1"/>
  <c r="AU171" i="1"/>
  <c r="BO237" i="1"/>
  <c r="DF167" i="1"/>
  <c r="CS190" i="1"/>
  <c r="DO213" i="1"/>
  <c r="DB223" i="1"/>
  <c r="BH223" i="1"/>
  <c r="DG210" i="1"/>
  <c r="AM214" i="1"/>
  <c r="DJ234" i="1"/>
  <c r="BW216" i="1"/>
  <c r="AZ176" i="1"/>
  <c r="BJ238" i="1"/>
  <c r="BV166" i="1"/>
  <c r="BF229" i="1"/>
  <c r="DW177" i="1"/>
  <c r="AK238" i="1"/>
  <c r="DJ173" i="1"/>
  <c r="DM232" i="1"/>
  <c r="AK210" i="1"/>
  <c r="DQ199" i="1"/>
  <c r="CS201" i="1"/>
  <c r="BB186" i="1"/>
  <c r="AQ213" i="1"/>
  <c r="EC162" i="1"/>
  <c r="AN194" i="1"/>
  <c r="CH197" i="1"/>
  <c r="DN239" i="1"/>
  <c r="CR192" i="1"/>
  <c r="AW219" i="1"/>
  <c r="CW164" i="1"/>
  <c r="DN216" i="1"/>
  <c r="DU218" i="1"/>
  <c r="CK238" i="1"/>
  <c r="AS223" i="1"/>
  <c r="DX187" i="1"/>
  <c r="BQ220" i="1"/>
  <c r="BG224" i="1"/>
  <c r="BS190" i="1"/>
  <c r="BP224" i="1"/>
  <c r="CE229" i="1"/>
  <c r="BR193" i="1"/>
  <c r="BW198" i="1"/>
  <c r="BX215" i="1"/>
  <c r="DH239" i="1"/>
  <c r="CN177" i="1"/>
  <c r="BP181" i="1"/>
  <c r="BR232" i="1"/>
  <c r="CK173" i="1"/>
  <c r="CU162" i="1"/>
  <c r="BC218" i="1"/>
  <c r="DX233" i="1"/>
  <c r="CL194" i="1"/>
  <c r="DG223" i="1"/>
  <c r="CQ169" i="1"/>
  <c r="DP213" i="1"/>
  <c r="CM212" i="1"/>
  <c r="AL166" i="1"/>
  <c r="DG212" i="1"/>
  <c r="AT172" i="1"/>
  <c r="DF177" i="1"/>
  <c r="AN167" i="1"/>
  <c r="AQ237" i="1"/>
  <c r="CZ232" i="1"/>
  <c r="BU225" i="1"/>
  <c r="CR204" i="1"/>
  <c r="CI181" i="1"/>
  <c r="BV234" i="1"/>
  <c r="CY169" i="1"/>
  <c r="AT167" i="1"/>
  <c r="BE198" i="1"/>
  <c r="BB175" i="1"/>
  <c r="DU193" i="1"/>
  <c r="DO223" i="1"/>
  <c r="DG204" i="1"/>
  <c r="EB241" i="1"/>
  <c r="BO175" i="1"/>
  <c r="BM178" i="1"/>
  <c r="CA229" i="1"/>
  <c r="AR187" i="1"/>
  <c r="CR205" i="1"/>
  <c r="CZ172" i="1"/>
  <c r="EB178" i="1"/>
  <c r="DL198" i="1"/>
  <c r="AT199" i="1"/>
  <c r="BI188" i="1"/>
  <c r="CI212" i="1"/>
  <c r="CB237" i="1"/>
  <c r="DO219" i="1"/>
  <c r="AL175" i="1"/>
  <c r="AN239" i="1"/>
  <c r="DY203" i="1"/>
  <c r="CQ178" i="1"/>
  <c r="AL178" i="1"/>
  <c r="EA204" i="1"/>
  <c r="BW236" i="1"/>
  <c r="BH197" i="1"/>
  <c r="CU175" i="1"/>
  <c r="BR172" i="1"/>
  <c r="AJ234" i="1"/>
  <c r="DG198" i="1"/>
  <c r="DQ196" i="1"/>
  <c r="DJ180" i="1"/>
  <c r="BF239" i="1"/>
  <c r="CX187" i="1"/>
  <c r="BF213" i="1"/>
  <c r="BR222" i="1"/>
  <c r="DG170" i="1"/>
  <c r="BR228" i="1"/>
  <c r="DK175" i="1"/>
  <c r="AM197" i="1"/>
  <c r="CD181" i="1"/>
  <c r="AN187" i="1"/>
  <c r="AX221" i="1"/>
  <c r="DZ226" i="1"/>
  <c r="CT167" i="1"/>
  <c r="CF221" i="1"/>
  <c r="DT229" i="1"/>
  <c r="DW175" i="1"/>
  <c r="BJ172" i="1"/>
  <c r="CS204" i="1"/>
  <c r="BD163" i="1"/>
  <c r="DE181" i="1"/>
  <c r="CP192" i="1"/>
  <c r="AW166" i="1"/>
  <c r="CH175" i="1"/>
  <c r="CZ199" i="1"/>
  <c r="CV231" i="1"/>
  <c r="CE196" i="1"/>
  <c r="CU163" i="1"/>
  <c r="CB177" i="1"/>
  <c r="DJ192" i="1"/>
  <c r="DJ229" i="1"/>
  <c r="AR181" i="1"/>
  <c r="DX170" i="1"/>
  <c r="DD185" i="1"/>
  <c r="DG176" i="1"/>
  <c r="AS213" i="1"/>
  <c r="CC214" i="1"/>
  <c r="CK214" i="1"/>
  <c r="CT223" i="1"/>
  <c r="AL213" i="1"/>
  <c r="AL226" i="1"/>
  <c r="CL188" i="1"/>
  <c r="AI223" i="1"/>
  <c r="AM190" i="1"/>
  <c r="CX217" i="1"/>
  <c r="DR166" i="1"/>
  <c r="CI224" i="1"/>
  <c r="DY241" i="1"/>
  <c r="AR213" i="1"/>
  <c r="AQ204" i="1"/>
  <c r="BO210" i="1"/>
  <c r="AH169" i="1"/>
  <c r="BY212" i="1"/>
  <c r="DB210" i="1"/>
  <c r="BB229" i="1"/>
  <c r="CD218" i="1"/>
  <c r="BU234" i="1"/>
  <c r="EB213" i="1"/>
  <c r="DN183" i="1"/>
  <c r="CJ167" i="1"/>
  <c r="BG204" i="1"/>
  <c r="CZ231" i="1"/>
  <c r="CS185" i="1"/>
  <c r="AM166" i="1"/>
  <c r="BN234" i="1"/>
  <c r="DH170" i="1"/>
  <c r="BM190" i="1"/>
  <c r="CP203" i="1"/>
  <c r="BG212" i="1"/>
  <c r="CT235" i="1"/>
  <c r="BE168" i="1"/>
  <c r="AU200" i="1"/>
  <c r="BI239" i="1"/>
  <c r="DL225" i="1"/>
  <c r="DK242" i="1"/>
  <c r="AL163" i="1"/>
  <c r="EA170" i="1"/>
  <c r="BT177" i="1"/>
  <c r="AQ178" i="1"/>
  <c r="CH200" i="1"/>
  <c r="AJ206" i="1"/>
  <c r="DS199" i="1"/>
  <c r="CM172" i="1"/>
  <c r="BG166" i="1"/>
  <c r="AI182" i="1"/>
  <c r="DZ167" i="1"/>
  <c r="BF223" i="1"/>
  <c r="CD177" i="1"/>
  <c r="DU234" i="1"/>
  <c r="DL185" i="1"/>
  <c r="BY239" i="1"/>
  <c r="CR162" i="1"/>
  <c r="BH170" i="1"/>
  <c r="DF212" i="1"/>
  <c r="DS173" i="1"/>
  <c r="DZ172" i="1"/>
  <c r="BX230" i="1"/>
  <c r="DL231" i="1"/>
  <c r="CC194" i="1"/>
  <c r="CB187" i="1"/>
  <c r="CW216" i="1"/>
  <c r="BB176" i="1"/>
  <c r="AQ170" i="1"/>
  <c r="DC204" i="1"/>
  <c r="CP215" i="1"/>
  <c r="BC231" i="1"/>
  <c r="DR177" i="1"/>
  <c r="AP170" i="1"/>
  <c r="DG215" i="1"/>
  <c r="BI235" i="1"/>
  <c r="BK213" i="1"/>
  <c r="DQ215" i="1"/>
  <c r="AO179" i="1"/>
  <c r="DO198" i="1"/>
  <c r="EA163" i="1"/>
  <c r="DH188" i="1"/>
  <c r="AU219" i="1"/>
  <c r="AS177" i="1"/>
  <c r="DE229" i="1"/>
  <c r="CF223" i="1"/>
  <c r="CG169" i="1"/>
  <c r="DN242" i="1"/>
  <c r="DE171" i="1"/>
  <c r="BO177" i="1"/>
  <c r="DY230" i="1"/>
  <c r="BX240" i="1"/>
  <c r="CU239" i="1"/>
  <c r="CJ219" i="1"/>
  <c r="CR174" i="1"/>
  <c r="BN225" i="1"/>
  <c r="CZ171" i="1"/>
  <c r="BE194" i="1"/>
  <c r="CB221" i="1"/>
  <c r="BY222" i="1"/>
  <c r="BZ176" i="1"/>
  <c r="CB170" i="1"/>
  <c r="CV180" i="1"/>
  <c r="DE166" i="1"/>
  <c r="AL190" i="1"/>
  <c r="DD170" i="1"/>
  <c r="DJ184" i="1"/>
  <c r="AV204" i="1"/>
  <c r="AN238" i="1"/>
  <c r="CW177" i="1"/>
  <c r="DR187" i="1"/>
  <c r="CS219" i="1"/>
  <c r="BP190" i="1"/>
  <c r="BF170" i="1"/>
  <c r="DT204" i="1"/>
  <c r="CQ180" i="1"/>
  <c r="DZ232" i="1"/>
  <c r="BM214" i="1"/>
  <c r="DM176" i="1"/>
  <c r="DC194" i="1"/>
  <c r="CB186" i="1"/>
  <c r="BN232" i="1"/>
  <c r="CG232" i="1"/>
  <c r="DN200" i="1"/>
  <c r="EB215" i="1"/>
  <c r="EA237" i="1"/>
  <c r="DZ204" i="1"/>
  <c r="EA167" i="1"/>
  <c r="CV215" i="1"/>
  <c r="DR215" i="1"/>
  <c r="AK181" i="1"/>
  <c r="AW229" i="1"/>
  <c r="BP208" i="1"/>
  <c r="BP164" i="1"/>
  <c r="BD213" i="1"/>
  <c r="DB213" i="1"/>
  <c r="EA213" i="1"/>
  <c r="AX228" i="1"/>
  <c r="AK205" i="1"/>
  <c r="BQ170" i="1"/>
  <c r="DM197" i="1"/>
  <c r="CA238" i="1"/>
  <c r="CP180" i="1"/>
  <c r="BC162" i="1"/>
  <c r="AU170" i="1"/>
  <c r="BX229" i="1"/>
  <c r="AL168" i="1"/>
  <c r="AM219" i="1"/>
  <c r="CH213" i="1"/>
  <c r="AH216" i="1"/>
  <c r="BB181" i="1"/>
  <c r="BF209" i="1"/>
  <c r="AS231" i="1"/>
  <c r="CF188" i="1"/>
  <c r="DZ234" i="1"/>
  <c r="CI169" i="1"/>
  <c r="BY186" i="1"/>
  <c r="DT212" i="1"/>
  <c r="BL230" i="1"/>
  <c r="AI170" i="1"/>
  <c r="CS183" i="1"/>
  <c r="BP240" i="1"/>
  <c r="AP192" i="1"/>
  <c r="DP228" i="1"/>
  <c r="AK180" i="1"/>
  <c r="CX167" i="1"/>
  <c r="CM232" i="1"/>
  <c r="CF234" i="1"/>
  <c r="AS172" i="1"/>
  <c r="AQ163" i="1"/>
  <c r="BS170" i="1"/>
  <c r="CQ185" i="1"/>
  <c r="BQ177" i="1"/>
  <c r="CM181" i="1"/>
  <c r="DH221" i="1"/>
  <c r="AZ208" i="1"/>
  <c r="DB186" i="1"/>
  <c r="CZ215" i="1"/>
  <c r="DU187" i="1"/>
  <c r="DO165" i="1"/>
  <c r="DD176" i="1"/>
  <c r="CX220" i="1"/>
  <c r="AX239" i="1"/>
  <c r="AP163" i="1"/>
  <c r="DJ225" i="1"/>
  <c r="DB187" i="1"/>
  <c r="DE228" i="1"/>
  <c r="DL206" i="1"/>
  <c r="CW189" i="1"/>
  <c r="DM211" i="1"/>
  <c r="CA199" i="1"/>
  <c r="CT206" i="1"/>
  <c r="DA166" i="1"/>
  <c r="BV203" i="1"/>
  <c r="BX241" i="1"/>
  <c r="DL174" i="1"/>
  <c r="BI178" i="1"/>
  <c r="DQ210" i="1"/>
  <c r="CE184" i="1"/>
  <c r="CW220" i="1"/>
  <c r="BJ192" i="1"/>
  <c r="BP198" i="1"/>
  <c r="CR224" i="1"/>
  <c r="CX178" i="1"/>
  <c r="DG190" i="1"/>
  <c r="BK216" i="1"/>
  <c r="BY179" i="1"/>
  <c r="DG230" i="1"/>
  <c r="AI165" i="1"/>
  <c r="CI190" i="1"/>
  <c r="DQ174" i="1"/>
  <c r="BP227" i="1"/>
  <c r="CU200" i="1"/>
  <c r="AY196" i="1"/>
  <c r="DS240" i="1"/>
  <c r="AT215" i="1"/>
  <c r="BW234" i="1"/>
  <c r="CY171" i="1"/>
  <c r="EC178" i="1"/>
  <c r="CJ164" i="1"/>
  <c r="AO241" i="1"/>
  <c r="CL213" i="1"/>
  <c r="EC190" i="1"/>
  <c r="CD175" i="1"/>
  <c r="BO232" i="1"/>
  <c r="DV188" i="1"/>
  <c r="DL230" i="1"/>
  <c r="BN237" i="1"/>
  <c r="BP168" i="1"/>
  <c r="AM192" i="1"/>
  <c r="CX234" i="1"/>
  <c r="AI163" i="1"/>
  <c r="AJ232" i="1"/>
  <c r="CE163" i="1"/>
  <c r="BL218" i="1"/>
  <c r="DI225" i="1"/>
  <c r="BV192" i="1"/>
  <c r="CY175" i="1"/>
  <c r="BN181" i="1"/>
  <c r="BQ241" i="1"/>
  <c r="BS163" i="1"/>
  <c r="AW168" i="1"/>
  <c r="AK189" i="1"/>
  <c r="AS193" i="1"/>
  <c r="DS219" i="1"/>
  <c r="CU229" i="1"/>
  <c r="CH188" i="1"/>
  <c r="CR218" i="1"/>
  <c r="AP216" i="1"/>
  <c r="DS190" i="1"/>
  <c r="DP229" i="1"/>
  <c r="BF242" i="1"/>
  <c r="BF198" i="1"/>
  <c r="BE217" i="1"/>
  <c r="CQ183" i="1"/>
  <c r="BV198" i="1"/>
  <c r="BT213" i="1"/>
  <c r="AU223" i="1"/>
  <c r="BK215" i="1"/>
  <c r="AL192" i="1"/>
  <c r="AJ226" i="1"/>
  <c r="CG235" i="1"/>
  <c r="DS203" i="1"/>
  <c r="EC238" i="1"/>
  <c r="BG242" i="1"/>
  <c r="BR239" i="1"/>
  <c r="CK241" i="1"/>
  <c r="AO165" i="1"/>
  <c r="DR168" i="1"/>
  <c r="AX208" i="1"/>
  <c r="BK200" i="1"/>
  <c r="BP219" i="1"/>
  <c r="BN219" i="1"/>
  <c r="AR227" i="1"/>
  <c r="DF176" i="1"/>
  <c r="DL166" i="1"/>
  <c r="BB238" i="1"/>
  <c r="AP212" i="1"/>
  <c r="CA173" i="1"/>
  <c r="BL229" i="1"/>
  <c r="DQ213" i="1"/>
  <c r="AP200" i="1"/>
  <c r="AU229" i="1"/>
  <c r="CB215" i="1"/>
  <c r="CL174" i="1"/>
  <c r="CV176" i="1"/>
  <c r="DL224" i="1"/>
  <c r="CQ163" i="1"/>
  <c r="BV170" i="1"/>
  <c r="DT231" i="1"/>
  <c r="CC192" i="1"/>
  <c r="CP175" i="1"/>
  <c r="BP166" i="1"/>
  <c r="AP167" i="1"/>
  <c r="DQ173" i="1"/>
  <c r="DV218" i="1"/>
  <c r="DW178" i="1"/>
  <c r="CH225" i="1"/>
  <c r="DA238" i="1"/>
  <c r="AZ204" i="1"/>
  <c r="DR213" i="1"/>
  <c r="BR214" i="1"/>
  <c r="BL204" i="1"/>
  <c r="CO236" i="1"/>
  <c r="AM185" i="1"/>
  <c r="CM201" i="1"/>
  <c r="DE226" i="1"/>
  <c r="CL165" i="1"/>
  <c r="DO239" i="1"/>
  <c r="AR194" i="1"/>
  <c r="AI214" i="1"/>
  <c r="AH241" i="1"/>
  <c r="AS228" i="1"/>
  <c r="BE226" i="1"/>
  <c r="DI239" i="1"/>
  <c r="CE193" i="1"/>
  <c r="AS198" i="1"/>
  <c r="DU225" i="1"/>
  <c r="CQ240" i="1"/>
  <c r="CF218" i="1"/>
  <c r="BX211" i="1"/>
  <c r="DT208" i="1"/>
  <c r="CN236" i="1"/>
  <c r="CA211" i="1"/>
  <c r="AZ214" i="1"/>
  <c r="BP236" i="1"/>
  <c r="DX216" i="1"/>
  <c r="AX170" i="1"/>
  <c r="CG225" i="1"/>
  <c r="CQ200" i="1"/>
  <c r="AL181" i="1"/>
  <c r="AV178" i="1"/>
  <c r="BP218" i="1"/>
  <c r="BB235" i="1"/>
  <c r="CZ222" i="1"/>
  <c r="AM188" i="1"/>
  <c r="DT198" i="1"/>
  <c r="DB189" i="1"/>
  <c r="AR205" i="1"/>
  <c r="BL187" i="1"/>
  <c r="AU163" i="1"/>
  <c r="DV203" i="1"/>
  <c r="DO211" i="1"/>
  <c r="BN208" i="1"/>
  <c r="BO242" i="1"/>
  <c r="CR232" i="1"/>
  <c r="BZ237" i="1"/>
  <c r="DY211" i="1"/>
  <c r="AQ172" i="1"/>
  <c r="BF192" i="1"/>
  <c r="CE224" i="1"/>
  <c r="BV228" i="1"/>
  <c r="BL209" i="1"/>
  <c r="DZ174" i="1"/>
  <c r="BW185" i="1"/>
  <c r="DT220" i="1"/>
  <c r="CA241" i="1"/>
  <c r="BM165" i="1"/>
  <c r="AZ200" i="1"/>
  <c r="DD198" i="1"/>
  <c r="DL175" i="1"/>
  <c r="CO227" i="1"/>
  <c r="AM237" i="1"/>
  <c r="AT201" i="1"/>
  <c r="AZ230" i="1"/>
  <c r="DR201" i="1"/>
  <c r="CX199" i="1"/>
  <c r="BS175" i="1"/>
  <c r="CO229" i="1"/>
  <c r="AU195" i="1"/>
  <c r="CV243" i="1"/>
  <c r="CK169" i="1"/>
  <c r="CK188" i="1"/>
  <c r="AR199" i="1"/>
  <c r="BU219" i="1"/>
  <c r="DB203" i="1"/>
  <c r="CA220" i="1"/>
  <c r="AJ193" i="1"/>
  <c r="AR210" i="1"/>
  <c r="DY212" i="1"/>
  <c r="DF232" i="1"/>
  <c r="DR238" i="1"/>
  <c r="DS181" i="1"/>
  <c r="BX228" i="1"/>
  <c r="CS189" i="1"/>
  <c r="BD214" i="1"/>
  <c r="BR180" i="1"/>
  <c r="CM199" i="1"/>
  <c r="CG234" i="1"/>
  <c r="CY219" i="1"/>
  <c r="CC218" i="1"/>
  <c r="BA208" i="1"/>
  <c r="CQ177" i="1"/>
  <c r="BS193" i="1"/>
  <c r="AT235" i="1"/>
  <c r="CB214" i="1"/>
  <c r="CC232" i="1"/>
  <c r="CW167" i="1"/>
  <c r="AI166" i="1"/>
  <c r="CV204" i="1"/>
  <c r="BV221" i="1"/>
  <c r="AH185" i="1"/>
  <c r="DD192" i="1"/>
  <c r="BT184" i="1"/>
  <c r="BM204" i="1"/>
  <c r="AH197" i="1"/>
  <c r="CK227" i="1"/>
  <c r="BH212" i="1"/>
  <c r="AK201" i="1"/>
  <c r="CS167" i="1"/>
  <c r="BY204" i="1"/>
  <c r="CQ184" i="1"/>
  <c r="DZ210" i="1"/>
  <c r="AP218" i="1"/>
  <c r="BJ166" i="1"/>
  <c r="CD231" i="1"/>
  <c r="BN210" i="1"/>
  <c r="BA163" i="1"/>
  <c r="CX200" i="1"/>
  <c r="CU215" i="1"/>
  <c r="BI217" i="1"/>
  <c r="DP217" i="1"/>
  <c r="BP210" i="1"/>
  <c r="CA219" i="1"/>
  <c r="AI215" i="1"/>
  <c r="DH225" i="1"/>
  <c r="CC212" i="1"/>
  <c r="DV242" i="1"/>
  <c r="DB166" i="1"/>
  <c r="AQ190" i="1"/>
  <c r="CH178" i="1"/>
  <c r="EB162" i="1"/>
  <c r="BD239" i="1"/>
  <c r="DQ168" i="1"/>
  <c r="AR178" i="1"/>
  <c r="CF226" i="1"/>
  <c r="DM169" i="1"/>
  <c r="CQ168" i="1"/>
  <c r="CG163" i="1"/>
  <c r="DQ211" i="1"/>
  <c r="CM205" i="1"/>
  <c r="CU167" i="1"/>
  <c r="CK192" i="1"/>
  <c r="AK241" i="1"/>
  <c r="DX227" i="1"/>
  <c r="CX225" i="1"/>
  <c r="AX177" i="1"/>
  <c r="CL198" i="1"/>
  <c r="CV177" i="1"/>
  <c r="DS164" i="1"/>
  <c r="BM234" i="1"/>
  <c r="BL235" i="1"/>
  <c r="CE211" i="1"/>
  <c r="DD218" i="1"/>
  <c r="EB193" i="1"/>
  <c r="BL223" i="1"/>
  <c r="EC234" i="1"/>
  <c r="BY174" i="1"/>
  <c r="BD229" i="1"/>
  <c r="CU220" i="1"/>
  <c r="BH227" i="1"/>
  <c r="DM241" i="1"/>
  <c r="AV165" i="1"/>
  <c r="CF192" i="1"/>
  <c r="BN241" i="1"/>
  <c r="EB218" i="1"/>
  <c r="DD225" i="1"/>
  <c r="DL212" i="1"/>
  <c r="BZ227" i="1"/>
  <c r="BI174" i="1"/>
  <c r="BM232" i="1"/>
  <c r="CI167" i="1"/>
  <c r="BS199" i="1"/>
  <c r="BQ224" i="1"/>
  <c r="AX193" i="1"/>
  <c r="DE174" i="1"/>
  <c r="DN222" i="1"/>
  <c r="AP198" i="1"/>
  <c r="DF215" i="1"/>
  <c r="CU232" i="1"/>
  <c r="BF214" i="1"/>
  <c r="DH213" i="1"/>
  <c r="AN198" i="1"/>
  <c r="CJ210" i="1"/>
  <c r="BI199" i="1"/>
  <c r="DU176" i="1"/>
  <c r="BI186" i="1"/>
  <c r="DS168" i="1"/>
  <c r="CD179" i="1"/>
  <c r="DM192" i="1"/>
  <c r="DE175" i="1"/>
  <c r="AV239" i="1"/>
  <c r="EB202" i="1"/>
  <c r="CE238" i="1"/>
  <c r="BJ243" i="1"/>
  <c r="BD178" i="1"/>
  <c r="CT191" i="1"/>
  <c r="CR198" i="1"/>
  <c r="AY180" i="1"/>
  <c r="BM166" i="1"/>
  <c r="DV204" i="1"/>
  <c r="CO221" i="1"/>
  <c r="DV241" i="1"/>
  <c r="CC234" i="1"/>
  <c r="EC215" i="1"/>
  <c r="AL210" i="1"/>
  <c r="DN230" i="1"/>
  <c r="DI203" i="1"/>
  <c r="BF224" i="1"/>
  <c r="AV170" i="1"/>
  <c r="BO163" i="1"/>
  <c r="DM235" i="1"/>
  <c r="BS177" i="1"/>
  <c r="DQ187" i="1"/>
  <c r="DT184" i="1"/>
  <c r="DD204" i="1"/>
  <c r="BQ239" i="1"/>
  <c r="BO212" i="1"/>
  <c r="DT199" i="1"/>
  <c r="DW227" i="1"/>
  <c r="AH189" i="1"/>
  <c r="CM174" i="1"/>
  <c r="DV192" i="1"/>
  <c r="BY213" i="1"/>
  <c r="DV219" i="1"/>
  <c r="BX185" i="1"/>
  <c r="DR222" i="1"/>
  <c r="BS222" i="1"/>
  <c r="BP203" i="1"/>
  <c r="BW164" i="1"/>
  <c r="DX183" i="1"/>
  <c r="BY209" i="1"/>
  <c r="BR218" i="1"/>
  <c r="AQ168" i="1"/>
  <c r="EA196" i="1"/>
  <c r="AH208" i="1"/>
  <c r="DS196" i="1"/>
  <c r="CX204" i="1"/>
  <c r="BS179" i="1"/>
  <c r="DN163" i="1"/>
  <c r="DI224" i="1"/>
  <c r="BT219" i="1"/>
  <c r="BH187" i="1"/>
  <c r="CX181" i="1"/>
  <c r="DN223" i="1"/>
  <c r="AI172" i="1"/>
  <c r="CY168" i="1"/>
  <c r="CA181" i="1"/>
  <c r="CV212" i="1"/>
  <c r="BT190" i="1"/>
  <c r="AM223" i="1"/>
  <c r="BE242" i="1"/>
  <c r="AZ217" i="1"/>
  <c r="BB230" i="1"/>
  <c r="AH184" i="1"/>
  <c r="BI181" i="1"/>
  <c r="AS239" i="1"/>
  <c r="DF239" i="1"/>
  <c r="DH183" i="1"/>
  <c r="CC168" i="1"/>
  <c r="DB217" i="1"/>
  <c r="DM224" i="1"/>
  <c r="CC227" i="1"/>
  <c r="CT201" i="1"/>
  <c r="AO215" i="1"/>
  <c r="BT197" i="1"/>
  <c r="BL185" i="1"/>
  <c r="BR237" i="1"/>
  <c r="CN169" i="1"/>
  <c r="BB222" i="1"/>
  <c r="AR239" i="1"/>
  <c r="BI192" i="1"/>
  <c r="DV221" i="1"/>
  <c r="CT233" i="1"/>
  <c r="EA232" i="1"/>
  <c r="CV185" i="1"/>
  <c r="CF190" i="1"/>
  <c r="DM162" i="1"/>
  <c r="DX235" i="1"/>
  <c r="DE193" i="1"/>
  <c r="BS216" i="1"/>
  <c r="BT186" i="1"/>
  <c r="AJ241" i="1"/>
  <c r="BY228" i="1"/>
  <c r="CA197" i="1"/>
  <c r="DL239" i="1"/>
  <c r="BA234" i="1"/>
  <c r="BS204" i="1"/>
  <c r="DK221" i="1"/>
  <c r="CX171" i="1"/>
  <c r="BA195" i="1"/>
  <c r="BZ162" i="1"/>
  <c r="DP220" i="1"/>
  <c r="AS202" i="1"/>
  <c r="BH171" i="1"/>
  <c r="CV219" i="1"/>
  <c r="BV179" i="1"/>
  <c r="BY187" i="1"/>
  <c r="BB241" i="1"/>
  <c r="DS197" i="1"/>
  <c r="BT162" i="1"/>
  <c r="AH174" i="1"/>
  <c r="DA172" i="1"/>
  <c r="CI215" i="1"/>
  <c r="DT223" i="1"/>
  <c r="CN208" i="1"/>
  <c r="CP202" i="1"/>
  <c r="AQ206" i="1"/>
  <c r="BT198" i="1"/>
  <c r="BU197" i="1"/>
  <c r="CJ224" i="1"/>
  <c r="AT233" i="1"/>
  <c r="DE163" i="1"/>
  <c r="DP205" i="1"/>
  <c r="CY183" i="1"/>
  <c r="BD204" i="1"/>
  <c r="DV239" i="1"/>
  <c r="AL174" i="1"/>
  <c r="CV178" i="1"/>
  <c r="BT172" i="1"/>
  <c r="BU238" i="1"/>
  <c r="DF170" i="1"/>
  <c r="AO204" i="1"/>
  <c r="EA188" i="1"/>
  <c r="AO199" i="1"/>
  <c r="DN187" i="1"/>
  <c r="DU208" i="1"/>
  <c r="CZ166" i="1"/>
  <c r="DO216" i="1"/>
  <c r="CG228" i="1"/>
  <c r="EA211" i="1"/>
  <c r="DQ192" i="1"/>
  <c r="CG187" i="1"/>
  <c r="CI171" i="1"/>
  <c r="DU239" i="1"/>
  <c r="BD218" i="1"/>
  <c r="CC219" i="1"/>
  <c r="CY193" i="1"/>
  <c r="BB233" i="1"/>
  <c r="DL226" i="1"/>
  <c r="DI180" i="1"/>
  <c r="DW165" i="1"/>
  <c r="DL210" i="1"/>
  <c r="DS166" i="1"/>
  <c r="DU217" i="1"/>
  <c r="DP188" i="1"/>
  <c r="CM211" i="1"/>
  <c r="CY223" i="1"/>
  <c r="EA181" i="1"/>
  <c r="BC227" i="1"/>
  <c r="BH198" i="1"/>
  <c r="BV230" i="1"/>
  <c r="CH221" i="1"/>
  <c r="DV190" i="1"/>
  <c r="DL189" i="1"/>
  <c r="BE225" i="1"/>
  <c r="DT230" i="1"/>
  <c r="DJ232" i="1"/>
  <c r="DZ175" i="1"/>
  <c r="AT225" i="1"/>
  <c r="BE211" i="1"/>
  <c r="DG166" i="1"/>
  <c r="BL200" i="1"/>
  <c r="BW211" i="1"/>
  <c r="DD196" i="1"/>
  <c r="CE183" i="1"/>
  <c r="AT192" i="1"/>
  <c r="AZ235" i="1"/>
  <c r="BM203" i="1"/>
  <c r="CW230" i="1"/>
  <c r="DR234" i="1"/>
  <c r="BB220" i="1"/>
  <c r="CQ237" i="1"/>
  <c r="BB170" i="1"/>
  <c r="CP186" i="1"/>
  <c r="CV175" i="1"/>
  <c r="DQ214" i="1"/>
  <c r="DZ195" i="1"/>
  <c r="CK225" i="1"/>
  <c r="BO166" i="1"/>
  <c r="CX206" i="1"/>
  <c r="DT175" i="1"/>
  <c r="CC237" i="1"/>
  <c r="DC199" i="1"/>
  <c r="BK221" i="1"/>
  <c r="DJ175" i="1"/>
  <c r="CT222" i="1"/>
  <c r="AW164" i="1"/>
  <c r="DL176" i="1"/>
  <c r="DC170" i="1"/>
  <c r="BB192" i="1"/>
  <c r="BZ232" i="1"/>
  <c r="AH240" i="1"/>
  <c r="CN220" i="1"/>
  <c r="EB188" i="1"/>
  <c r="CI236" i="1"/>
  <c r="DR230" i="1"/>
  <c r="AY201" i="1"/>
  <c r="DT228" i="1"/>
  <c r="CD199" i="1"/>
  <c r="AW170" i="1"/>
  <c r="BQ213" i="1"/>
  <c r="BI165" i="1"/>
  <c r="BL214" i="1"/>
  <c r="BK187" i="1"/>
  <c r="DO190" i="1"/>
  <c r="BZ215" i="1"/>
  <c r="AK197" i="1"/>
  <c r="DC167" i="1"/>
  <c r="EB199" i="1"/>
  <c r="AO213" i="1"/>
  <c r="BH226" i="1"/>
  <c r="DD199" i="1"/>
  <c r="AP211" i="1"/>
  <c r="DW232" i="1"/>
  <c r="DK213" i="1"/>
  <c r="DV172" i="1"/>
  <c r="DO212" i="1"/>
  <c r="CH190" i="1"/>
  <c r="AK237" i="1"/>
  <c r="DW203" i="1"/>
  <c r="CL186" i="1"/>
  <c r="AI198" i="1"/>
  <c r="BG191" i="1"/>
  <c r="BD201" i="1"/>
  <c r="EB172" i="1"/>
  <c r="DK170" i="1"/>
  <c r="AW188" i="1"/>
  <c r="DR219" i="1"/>
  <c r="DA214" i="1"/>
  <c r="CT172" i="1"/>
  <c r="CH239" i="1"/>
  <c r="DD180" i="1"/>
  <c r="BS191" i="1"/>
  <c r="BY166" i="1"/>
  <c r="CB163" i="1"/>
  <c r="DM167" i="1"/>
  <c r="BD215" i="1"/>
  <c r="DK198" i="1"/>
  <c r="CA174" i="1"/>
  <c r="CG180" i="1"/>
  <c r="BF172" i="1"/>
  <c r="CU225" i="1"/>
  <c r="BS227" i="1"/>
  <c r="DG197" i="1"/>
  <c r="CN237" i="1"/>
  <c r="BU170" i="1"/>
  <c r="CO210" i="1"/>
  <c r="DL183" i="1"/>
  <c r="BW238" i="1"/>
  <c r="EA219" i="1"/>
  <c r="CE175" i="1"/>
  <c r="AM189" i="1"/>
  <c r="AS229" i="1"/>
  <c r="DG177" i="1"/>
  <c r="DK194" i="1"/>
  <c r="CD243" i="1"/>
  <c r="CM227" i="1"/>
  <c r="AS181" i="1"/>
  <c r="AJ192" i="1"/>
  <c r="CG166" i="1"/>
  <c r="BA243" i="1"/>
  <c r="AP172" i="1"/>
  <c r="DY229" i="1"/>
  <c r="CE167" i="1"/>
  <c r="CB200" i="1"/>
  <c r="DD232" i="1"/>
  <c r="DF226" i="1"/>
  <c r="DE237" i="1"/>
  <c r="CS168" i="1"/>
  <c r="DY208" i="1"/>
  <c r="CA224" i="1"/>
  <c r="CH196" i="1"/>
  <c r="CN238" i="1"/>
  <c r="AY181" i="1"/>
  <c r="CO170" i="1"/>
  <c r="DX180" i="1"/>
  <c r="CR219" i="1"/>
  <c r="AK185" i="1"/>
  <c r="DW174" i="1"/>
  <c r="CK178" i="1"/>
  <c r="AT211" i="1"/>
  <c r="AL198" i="1"/>
  <c r="BD172" i="1"/>
  <c r="DF199" i="1"/>
  <c r="BB167" i="1"/>
  <c r="EA210" i="1"/>
  <c r="BR202" i="1"/>
  <c r="AM212" i="1"/>
  <c r="BQ178" i="1"/>
  <c r="CF166" i="1"/>
  <c r="DV231" i="1"/>
  <c r="DH191" i="1"/>
  <c r="BB166" i="1"/>
  <c r="BV241" i="1"/>
  <c r="CS241" i="1"/>
  <c r="BX204" i="1"/>
  <c r="CE166" i="1"/>
  <c r="AS226" i="1"/>
  <c r="CM183" i="1"/>
  <c r="CX189" i="1"/>
  <c r="CD187" i="1"/>
  <c r="CR163" i="1"/>
  <c r="BV191" i="1"/>
  <c r="CI216" i="1"/>
  <c r="CQ215" i="1"/>
  <c r="DW216" i="1"/>
  <c r="CY186" i="1"/>
  <c r="EB205" i="1"/>
  <c r="CR181" i="1"/>
  <c r="AT189" i="1"/>
  <c r="DX171" i="1"/>
  <c r="BI232" i="1"/>
  <c r="DL204" i="1"/>
  <c r="BL217" i="1"/>
  <c r="EB235" i="1"/>
  <c r="CC202" i="1"/>
  <c r="CR217" i="1"/>
  <c r="DQ204" i="1"/>
  <c r="CG189" i="1"/>
  <c r="CR170" i="1"/>
  <c r="DJ210" i="1"/>
  <c r="DZ229" i="1"/>
  <c r="AV174" i="1"/>
  <c r="DJ163" i="1"/>
  <c r="BO222" i="1"/>
  <c r="DO163" i="1"/>
  <c r="CE212" i="1"/>
  <c r="CU171" i="1"/>
  <c r="BD187" i="1"/>
  <c r="CQ226" i="1"/>
  <c r="AO162" i="1"/>
  <c r="AH172" i="1"/>
  <c r="CD228" i="1"/>
  <c r="BD192" i="1"/>
  <c r="CH234" i="1"/>
  <c r="AU199" i="1"/>
  <c r="CQ199" i="1"/>
  <c r="BK189" i="1"/>
  <c r="CL175" i="1"/>
  <c r="DX232" i="1"/>
  <c r="AZ185" i="1"/>
  <c r="CV229" i="1"/>
  <c r="CY170" i="1"/>
  <c r="DD203" i="1"/>
  <c r="DB204" i="1"/>
  <c r="DS232" i="1"/>
  <c r="DJ168" i="1"/>
  <c r="CI188" i="1"/>
  <c r="AR183" i="1"/>
  <c r="DY201" i="1"/>
  <c r="CJ216" i="1"/>
  <c r="BL189" i="1"/>
  <c r="BX237" i="1"/>
  <c r="EB165" i="1"/>
  <c r="AI229" i="1"/>
  <c r="CN188" i="1"/>
  <c r="CG227" i="1"/>
  <c r="DJ196" i="1"/>
  <c r="BU215" i="1"/>
  <c r="BR185" i="1"/>
  <c r="DR242" i="1"/>
  <c r="EB237" i="1"/>
  <c r="CQ217" i="1"/>
  <c r="AN232" i="1"/>
  <c r="BH222" i="1"/>
  <c r="AP233" i="1"/>
  <c r="AV214" i="1"/>
  <c r="BH183" i="1"/>
  <c r="CH198" i="1"/>
  <c r="BN218" i="1"/>
  <c r="EA165" i="1"/>
  <c r="DD226" i="1"/>
  <c r="BD170" i="1"/>
  <c r="DH243" i="1"/>
  <c r="CD172" i="1"/>
  <c r="BO230" i="1"/>
  <c r="CN185" i="1"/>
  <c r="AX214" i="1"/>
  <c r="CE174" i="1"/>
  <c r="AJ203" i="1"/>
  <c r="AV236" i="1"/>
  <c r="AW241" i="1"/>
  <c r="BB226" i="1"/>
  <c r="EB187" i="1"/>
  <c r="AK213" i="1"/>
  <c r="BU187" i="1"/>
  <c r="CR201" i="1"/>
  <c r="CG214" i="1"/>
  <c r="AM231" i="1"/>
  <c r="AR237" i="1"/>
  <c r="EA229" i="1"/>
  <c r="BD176" i="1"/>
  <c r="BW227" i="1"/>
  <c r="AT170" i="1"/>
  <c r="DJ169" i="1"/>
  <c r="AR206" i="1"/>
  <c r="CO226" i="1"/>
  <c r="DI166" i="1"/>
  <c r="BH218" i="1"/>
  <c r="AR221" i="1"/>
  <c r="BC233" i="1"/>
  <c r="DS223" i="1"/>
  <c r="AK212" i="1"/>
  <c r="CH223" i="1"/>
  <c r="AM205" i="1"/>
  <c r="AJ208" i="1"/>
  <c r="DJ165" i="1"/>
  <c r="DK183" i="1"/>
  <c r="CK163" i="1"/>
  <c r="DZ211" i="1"/>
  <c r="BN175" i="1"/>
  <c r="AN178" i="1"/>
  <c r="AS162" i="1"/>
  <c r="AO191" i="1"/>
  <c r="EC164" i="1"/>
  <c r="DS226" i="1"/>
  <c r="AL228" i="1"/>
  <c r="BK184" i="1"/>
  <c r="CE165" i="1"/>
  <c r="AI213" i="1"/>
  <c r="CK168" i="1"/>
  <c r="BV225" i="1"/>
  <c r="AN225" i="1"/>
  <c r="AR168" i="1"/>
  <c r="AL236" i="1"/>
  <c r="DN201" i="1"/>
  <c r="AW186" i="1"/>
  <c r="EB191" i="1"/>
  <c r="CV197" i="1"/>
  <c r="DF214" i="1"/>
  <c r="BB234" i="1"/>
  <c r="BO198" i="1"/>
  <c r="CH165" i="1"/>
  <c r="AX173" i="1"/>
  <c r="AH180" i="1"/>
  <c r="AP193" i="1"/>
  <c r="CQ209" i="1"/>
  <c r="DX191" i="1"/>
  <c r="BB163" i="1"/>
  <c r="AX206" i="1"/>
  <c r="CV214" i="1"/>
  <c r="DE217" i="1"/>
  <c r="BK239" i="1"/>
  <c r="BH216" i="1"/>
  <c r="DI229" i="1"/>
  <c r="BR215" i="1"/>
  <c r="AP188" i="1"/>
  <c r="BQ166" i="1"/>
  <c r="CO166" i="1"/>
  <c r="BZ212" i="1"/>
  <c r="CY237" i="1"/>
  <c r="BC197" i="1"/>
  <c r="BV235" i="1"/>
  <c r="CO204" i="1"/>
  <c r="DY172" i="1"/>
  <c r="AY164" i="1"/>
  <c r="CK185" i="1"/>
  <c r="BW210" i="1"/>
  <c r="DP189" i="1"/>
  <c r="CO162" i="1"/>
  <c r="BX175" i="1"/>
  <c r="EC225" i="1"/>
  <c r="CD204" i="1"/>
  <c r="BL212" i="1"/>
  <c r="CP172" i="1"/>
  <c r="BO223" i="1"/>
  <c r="BI237" i="1"/>
  <c r="BW219" i="1"/>
  <c r="CV181" i="1"/>
  <c r="BR168" i="1"/>
  <c r="CS218" i="1"/>
  <c r="AZ238" i="1"/>
  <c r="AS232" i="1"/>
  <c r="BF236" i="1"/>
  <c r="CZ225" i="1"/>
  <c r="DH168" i="1"/>
  <c r="CY176" i="1"/>
  <c r="DQ242" i="1"/>
  <c r="BY219" i="1"/>
  <c r="CC229" i="1"/>
  <c r="DS235" i="1"/>
  <c r="CL206" i="1"/>
  <c r="DI208" i="1"/>
  <c r="BX203" i="1"/>
  <c r="CN232" i="1"/>
  <c r="DT209" i="1"/>
  <c r="BM209" i="1"/>
  <c r="CB238" i="1"/>
  <c r="BC237" i="1"/>
  <c r="AY202" i="1"/>
  <c r="EA209" i="1"/>
  <c r="CN198" i="1"/>
  <c r="DB202" i="1"/>
  <c r="DB174" i="1"/>
  <c r="DQ239" i="1"/>
  <c r="DW243" i="1"/>
  <c r="BC210" i="1"/>
  <c r="DH206" i="1"/>
  <c r="CR220" i="1"/>
  <c r="CA186" i="1"/>
  <c r="BL162" i="1"/>
  <c r="AY242" i="1"/>
  <c r="CQ208" i="1"/>
  <c r="AP174" i="1"/>
  <c r="CM170" i="1"/>
  <c r="AX218" i="1"/>
  <c r="DW226" i="1"/>
  <c r="BL233" i="1"/>
  <c r="AQ222" i="1"/>
  <c r="BE185" i="1"/>
  <c r="BZ229" i="1"/>
  <c r="CH226" i="1"/>
  <c r="DZ196" i="1"/>
  <c r="CJ203" i="1"/>
  <c r="DC221" i="1"/>
  <c r="DB172" i="1"/>
  <c r="EA190" i="1"/>
  <c r="CX237" i="1"/>
  <c r="AU215" i="1"/>
  <c r="BC211" i="1"/>
  <c r="CG219" i="1"/>
  <c r="DR174" i="1"/>
  <c r="BN204" i="1"/>
  <c r="DC197" i="1"/>
  <c r="BY221" i="1"/>
  <c r="CX193" i="1"/>
  <c r="DK163" i="1"/>
  <c r="EC210" i="1"/>
  <c r="DC223" i="1"/>
  <c r="BV175" i="1"/>
  <c r="AT162" i="1"/>
  <c r="DE210" i="1"/>
  <c r="BQ167" i="1"/>
  <c r="CP171" i="1"/>
  <c r="CE187" i="1"/>
  <c r="AM210" i="1"/>
  <c r="AW163" i="1"/>
  <c r="BJ232" i="1"/>
  <c r="CR243" i="1"/>
  <c r="CO163" i="1"/>
  <c r="BJ217" i="1"/>
  <c r="DN179" i="1"/>
  <c r="DJ187" i="1"/>
  <c r="DU185" i="1"/>
  <c r="BQ171" i="1"/>
  <c r="DR210" i="1"/>
  <c r="BI219" i="1"/>
  <c r="BX202" i="1"/>
  <c r="AI211" i="1"/>
  <c r="CQ241" i="1"/>
  <c r="CF177" i="1"/>
  <c r="CI197" i="1"/>
  <c r="CV189" i="1"/>
  <c r="BX210" i="1"/>
  <c r="BA201" i="1"/>
  <c r="DR241" i="1"/>
  <c r="CS170" i="1"/>
  <c r="DR172" i="1"/>
  <c r="AS233" i="1"/>
  <c r="DC230" i="1"/>
  <c r="DG238" i="1"/>
  <c r="BD235" i="1"/>
  <c r="BX174" i="1"/>
  <c r="BE232" i="1"/>
  <c r="AX201" i="1"/>
  <c r="BK232" i="1"/>
  <c r="EB177" i="1"/>
  <c r="DX204" i="1"/>
  <c r="CF241" i="1"/>
  <c r="DY197" i="1"/>
  <c r="AO237" i="1"/>
  <c r="DS225" i="1"/>
  <c r="AN211" i="1"/>
  <c r="DM216" i="1"/>
  <c r="DP221" i="1"/>
  <c r="BK226" i="1"/>
  <c r="CO167" i="1"/>
  <c r="DA241" i="1"/>
  <c r="BA238" i="1"/>
  <c r="BM208" i="1"/>
  <c r="CY242" i="1"/>
  <c r="CT192" i="1"/>
  <c r="DR226" i="1"/>
  <c r="AQ191" i="1"/>
  <c r="BU243" i="1"/>
  <c r="CE234" i="1"/>
  <c r="DW221" i="1"/>
  <c r="BO217" i="1"/>
  <c r="BL243" i="1"/>
  <c r="DE199" i="1"/>
  <c r="AU174" i="1"/>
  <c r="BM239" i="1"/>
  <c r="AV225" i="1"/>
  <c r="CI227" i="1"/>
  <c r="BP232" i="1"/>
  <c r="DE192" i="1"/>
  <c r="AJ210" i="1"/>
  <c r="AW178" i="1"/>
  <c r="CG167" i="1"/>
  <c r="AS190" i="1"/>
  <c r="BY227" i="1"/>
  <c r="EC195" i="1"/>
  <c r="CW197" i="1"/>
  <c r="AJ175" i="1"/>
  <c r="CG241" i="1"/>
  <c r="DW201" i="1"/>
  <c r="BG211" i="1"/>
  <c r="AJ223" i="1"/>
  <c r="CT185" i="1"/>
  <c r="CP204" i="1"/>
  <c r="CT220" i="1"/>
  <c r="BW199" i="1"/>
  <c r="CS178" i="1"/>
  <c r="BQ204" i="1"/>
  <c r="BI241" i="1"/>
  <c r="EB228" i="1"/>
  <c r="CH219" i="1"/>
  <c r="CZ217" i="1"/>
  <c r="AX190" i="1"/>
  <c r="CL177" i="1"/>
  <c r="BN226" i="1"/>
  <c r="DX220" i="1"/>
  <c r="BK205" i="1"/>
  <c r="CY236" i="1"/>
  <c r="DR209" i="1"/>
  <c r="AI241" i="1"/>
  <c r="DA176" i="1"/>
  <c r="BO178" i="1"/>
  <c r="DG218" i="1"/>
  <c r="AN186" i="1"/>
  <c r="BR190" i="1"/>
  <c r="DT197" i="1"/>
  <c r="BE166" i="1"/>
  <c r="AK223" i="1"/>
  <c r="AT202" i="1"/>
  <c r="DM187" i="1"/>
  <c r="DE188" i="1"/>
  <c r="CG165" i="1"/>
  <c r="CN180" i="1"/>
  <c r="CW222" i="1"/>
  <c r="AK204" i="1"/>
  <c r="DU201" i="1"/>
  <c r="BI228" i="1"/>
  <c r="BV204" i="1"/>
  <c r="BC228" i="1"/>
  <c r="CN228" i="1"/>
  <c r="BZ178" i="1"/>
  <c r="CP201" i="1"/>
  <c r="AT232" i="1"/>
  <c r="DC211" i="1"/>
  <c r="BV236" i="1"/>
  <c r="BV189" i="1"/>
  <c r="DR228" i="1"/>
  <c r="DJ166" i="1"/>
  <c r="DS224" i="1"/>
  <c r="BX191" i="1"/>
  <c r="CP177" i="1"/>
  <c r="BF237" i="1"/>
  <c r="AM236" i="1"/>
  <c r="DY192" i="1"/>
  <c r="DW238" i="1"/>
  <c r="BI226" i="1"/>
  <c r="AJ220" i="1"/>
  <c r="CP187" i="1"/>
  <c r="DL233" i="1"/>
  <c r="AI179" i="1"/>
  <c r="AX203" i="1"/>
  <c r="CR238" i="1"/>
  <c r="AS174" i="1"/>
  <c r="BA191" i="1"/>
  <c r="CE198" i="1"/>
  <c r="CL209" i="1"/>
  <c r="CB223" i="1"/>
  <c r="CB236" i="1"/>
  <c r="BH208" i="1"/>
  <c r="CR242" i="1"/>
  <c r="CR172" i="1"/>
  <c r="DP165" i="1"/>
  <c r="BN215" i="1"/>
  <c r="DD209" i="1"/>
  <c r="AN221" i="1"/>
  <c r="CP212" i="1"/>
  <c r="BU165" i="1"/>
  <c r="DM208" i="1"/>
  <c r="BS243" i="1"/>
  <c r="CB205" i="1"/>
  <c r="DN212" i="1"/>
  <c r="CE220" i="1"/>
  <c r="DV234" i="1"/>
  <c r="BW212" i="1"/>
  <c r="CM218" i="1"/>
  <c r="DL221" i="1"/>
  <c r="CH243" i="1"/>
  <c r="BT181" i="1"/>
  <c r="DU175" i="1"/>
  <c r="CJ235" i="1"/>
  <c r="DO162" i="1"/>
  <c r="DZ218" i="1"/>
  <c r="DZ178" i="1"/>
  <c r="BF167" i="1"/>
  <c r="CK199" i="1"/>
  <c r="AI220" i="1"/>
  <c r="AJ217" i="1"/>
  <c r="DE198" i="1"/>
  <c r="BO171" i="1"/>
  <c r="DW191" i="1"/>
  <c r="DU191" i="1"/>
  <c r="BG215" i="1"/>
  <c r="AZ242" i="1"/>
  <c r="CJ194" i="1"/>
  <c r="CV172" i="1"/>
  <c r="CR221" i="1"/>
  <c r="CH232" i="1"/>
  <c r="DO189" i="1"/>
  <c r="BF199" i="1"/>
  <c r="AZ228" i="1"/>
  <c r="CM216" i="1"/>
  <c r="AL232" i="1"/>
  <c r="BB219" i="1"/>
  <c r="DK226" i="1"/>
  <c r="DH209" i="1"/>
  <c r="DI174" i="1"/>
  <c r="BV176" i="1"/>
  <c r="DQ203" i="1"/>
  <c r="BL216" i="1"/>
  <c r="BL180" i="1"/>
  <c r="EC227" i="1"/>
  <c r="BE165" i="1"/>
  <c r="BW241" i="1"/>
  <c r="CZ191" i="1"/>
  <c r="DU203" i="1"/>
  <c r="CL238" i="1"/>
  <c r="DL237" i="1"/>
  <c r="DB236" i="1"/>
  <c r="CP236" i="1"/>
  <c r="BG174" i="1"/>
  <c r="DU165" i="1"/>
  <c r="AH218" i="1"/>
  <c r="CP219" i="1"/>
  <c r="CM179" i="1"/>
  <c r="DG183" i="1"/>
  <c r="CC166" i="1"/>
  <c r="AS176" i="1"/>
  <c r="BS166" i="1"/>
  <c r="BL178" i="1"/>
  <c r="CN218" i="1"/>
  <c r="AT165" i="1"/>
  <c r="CI221" i="1"/>
  <c r="BN211" i="1"/>
  <c r="AP186" i="1"/>
  <c r="DU211" i="1"/>
  <c r="DK191" i="1"/>
  <c r="AT205" i="1"/>
  <c r="DM217" i="1"/>
  <c r="BA178" i="1"/>
  <c r="BR221" i="1"/>
  <c r="BZ202" i="1"/>
  <c r="DE178" i="1"/>
  <c r="CH201" i="1"/>
  <c r="AX209" i="1"/>
  <c r="CD240" i="1"/>
  <c r="BJ227" i="1"/>
  <c r="BA183" i="1"/>
  <c r="AX211" i="1"/>
  <c r="BC171" i="1"/>
  <c r="BS185" i="1"/>
  <c r="AK228" i="1"/>
  <c r="CZ239" i="1"/>
  <c r="BK180" i="1"/>
  <c r="DX168" i="1"/>
  <c r="DD174" i="1"/>
  <c r="DJ242" i="1"/>
  <c r="CM226" i="1"/>
  <c r="DL167" i="1"/>
  <c r="CZ219" i="1"/>
  <c r="DH218" i="1"/>
  <c r="DA179" i="1"/>
  <c r="AS225" i="1"/>
  <c r="DZ168" i="1"/>
  <c r="DM219" i="1"/>
  <c r="BP217" i="1"/>
  <c r="AQ235" i="1"/>
  <c r="DN227" i="1"/>
  <c r="DN203" i="1"/>
  <c r="CN215" i="1"/>
  <c r="DY163" i="1"/>
  <c r="DN215" i="1"/>
  <c r="CH181" i="1"/>
  <c r="CG210" i="1"/>
  <c r="BT242" i="1"/>
  <c r="BA229" i="1"/>
  <c r="DP223" i="1"/>
  <c r="BW221" i="1"/>
  <c r="BP225" i="1"/>
  <c r="CJ241" i="1"/>
  <c r="CI201" i="1"/>
  <c r="AQ192" i="1"/>
  <c r="DT190" i="1"/>
  <c r="DH176" i="1"/>
  <c r="CU211" i="1"/>
  <c r="CU236" i="1"/>
  <c r="BZ170" i="1"/>
  <c r="AX167" i="1"/>
  <c r="CE219" i="1"/>
  <c r="CB183" i="1"/>
  <c r="CF183" i="1"/>
  <c r="CA208" i="1"/>
  <c r="AR209" i="1"/>
  <c r="BG213" i="1"/>
  <c r="CB241" i="1"/>
  <c r="DD217" i="1"/>
  <c r="CL180" i="1"/>
  <c r="CY188" i="1"/>
  <c r="BD210" i="1"/>
  <c r="DT166" i="1"/>
  <c r="CV167" i="1"/>
  <c r="BY220" i="1"/>
  <c r="CT179" i="1"/>
  <c r="CT212" i="1"/>
  <c r="CY241" i="1"/>
  <c r="DN226" i="1"/>
  <c r="DV165" i="1"/>
  <c r="AM174" i="1"/>
  <c r="DS216" i="1"/>
  <c r="CF229" i="1"/>
  <c r="DG180" i="1"/>
  <c r="BP179" i="1"/>
  <c r="CW212" i="1"/>
  <c r="AN192" i="1"/>
  <c r="AO211" i="1"/>
  <c r="CQ236" i="1"/>
  <c r="CW211" i="1"/>
  <c r="DZ227" i="1"/>
  <c r="BK199" i="1"/>
  <c r="AS187" i="1"/>
  <c r="DI187" i="1"/>
  <c r="AW189" i="1"/>
  <c r="DI200" i="1"/>
  <c r="CR215" i="1"/>
  <c r="BH225" i="1"/>
  <c r="CI189" i="1"/>
  <c r="AK196" i="1"/>
  <c r="EB217" i="1"/>
  <c r="CZ193" i="1"/>
  <c r="CM221" i="1"/>
  <c r="CY181" i="1"/>
  <c r="DW163" i="1"/>
  <c r="BU188" i="1"/>
  <c r="BC172" i="1"/>
  <c r="CQ189" i="1"/>
  <c r="BH213" i="1"/>
  <c r="DF243" i="1"/>
  <c r="DI172" i="1"/>
  <c r="DL229" i="1"/>
  <c r="DG216" i="1"/>
  <c r="DP166" i="1"/>
  <c r="AV219" i="1"/>
  <c r="AT203" i="1"/>
  <c r="CS175" i="1"/>
  <c r="DI227" i="1"/>
  <c r="CH229" i="1"/>
  <c r="DZ189" i="1"/>
  <c r="BL236" i="1"/>
  <c r="DM165" i="1"/>
  <c r="DY162" i="1"/>
  <c r="DX210" i="1"/>
  <c r="CJ191" i="1"/>
  <c r="CP232" i="1"/>
  <c r="BI216" i="1"/>
  <c r="AY175" i="1"/>
  <c r="CY232" i="1"/>
  <c r="AU221" i="1"/>
  <c r="CI210" i="1"/>
  <c r="BA170" i="1"/>
  <c r="CK215" i="1"/>
  <c r="CD174" i="1"/>
  <c r="CN216" i="1"/>
  <c r="BN174" i="1"/>
  <c r="BY184" i="1"/>
  <c r="CD222" i="1"/>
  <c r="AX179" i="1"/>
  <c r="DQ219" i="1"/>
  <c r="DO166" i="1"/>
  <c r="BZ220" i="1"/>
  <c r="AV243" i="1"/>
  <c r="BU221" i="1"/>
  <c r="AH183" i="1"/>
  <c r="DS218" i="1"/>
  <c r="DC243" i="1"/>
  <c r="DY224" i="1"/>
  <c r="CT198" i="1"/>
  <c r="AU189" i="1"/>
  <c r="CH179" i="1"/>
  <c r="AL217" i="1"/>
  <c r="DZ205" i="1"/>
  <c r="AX183" i="1"/>
  <c r="BA199" i="1"/>
  <c r="CN234" i="1"/>
  <c r="CM163" i="1"/>
  <c r="BR213" i="1"/>
  <c r="DC165" i="1"/>
  <c r="DC188" i="1"/>
  <c r="DD212" i="1"/>
  <c r="DA226" i="1"/>
  <c r="CK210" i="1"/>
  <c r="CN226" i="1"/>
  <c r="BB172" i="1"/>
  <c r="DN224" i="1"/>
  <c r="CY215" i="1"/>
  <c r="AX166" i="1"/>
  <c r="CK179" i="1"/>
  <c r="BF187" i="1"/>
  <c r="DC189" i="1"/>
  <c r="AK226" i="1"/>
  <c r="CA227" i="1"/>
  <c r="CW188" i="1"/>
  <c r="AM173" i="1"/>
  <c r="DA163" i="1"/>
  <c r="CT226" i="1"/>
  <c r="DU237" i="1"/>
  <c r="DM172" i="1"/>
  <c r="DW186" i="1"/>
  <c r="CV182" i="1"/>
  <c r="AN226" i="1"/>
  <c r="CS239" i="1"/>
  <c r="DX181" i="1"/>
  <c r="DL203" i="1"/>
  <c r="CM187" i="1"/>
  <c r="DL232" i="1"/>
  <c r="AK215" i="1"/>
  <c r="DC200" i="1"/>
  <c r="BB168" i="1"/>
  <c r="DC212" i="1"/>
  <c r="CN189" i="1"/>
  <c r="BE169" i="1"/>
  <c r="AU201" i="1"/>
  <c r="BO192" i="1"/>
  <c r="BT228" i="1"/>
  <c r="CZ181" i="1"/>
  <c r="CY177" i="1"/>
  <c r="BK166" i="1"/>
  <c r="BL205" i="1"/>
  <c r="BX227" i="1"/>
  <c r="CF186" i="1"/>
  <c r="EC185" i="1"/>
  <c r="DC166" i="1"/>
  <c r="AV238" i="1"/>
  <c r="BX173" i="1"/>
  <c r="AV192" i="1"/>
  <c r="DV227" i="1"/>
  <c r="DQ241" i="1"/>
  <c r="CP241" i="1"/>
  <c r="CG198" i="1"/>
  <c r="BC243" i="1"/>
  <c r="AV208" i="1"/>
  <c r="DQ198" i="1"/>
  <c r="AR171" i="1"/>
  <c r="DH208" i="1"/>
  <c r="AI178" i="1"/>
  <c r="BI171" i="1"/>
  <c r="DH237" i="1"/>
  <c r="DR217" i="1"/>
  <c r="DO200" i="1"/>
  <c r="CQ212" i="1"/>
  <c r="DZ216" i="1"/>
  <c r="EB227" i="1"/>
  <c r="BH239" i="1"/>
  <c r="DA180" i="1"/>
  <c r="EA225" i="1"/>
  <c r="AH224" i="1"/>
  <c r="DA217" i="1"/>
  <c r="BE190" i="1"/>
  <c r="CM178" i="1"/>
  <c r="CE177" i="1"/>
  <c r="AH213" i="1"/>
  <c r="DL163" i="1"/>
  <c r="EC175" i="1"/>
  <c r="CP221" i="1"/>
  <c r="AT187" i="1"/>
  <c r="EC208" i="1"/>
  <c r="CE203" i="1"/>
  <c r="CZ187" i="1"/>
  <c r="BU218" i="1"/>
  <c r="BP189" i="1"/>
  <c r="BC196" i="1"/>
  <c r="DX241" i="1"/>
  <c r="CQ220" i="1"/>
  <c r="DA201" i="1"/>
  <c r="CN229" i="1"/>
  <c r="BF203" i="1"/>
  <c r="AM191" i="1"/>
  <c r="BM223" i="1"/>
  <c r="BT209" i="1"/>
  <c r="AP201" i="1"/>
  <c r="BD165" i="1"/>
  <c r="CM225" i="1"/>
  <c r="DJ208" i="1"/>
  <c r="CJ238" i="1"/>
  <c r="CC209" i="1"/>
  <c r="DX165" i="1"/>
  <c r="CN171" i="1"/>
  <c r="DL222" i="1"/>
  <c r="CM242" i="1"/>
  <c r="AT163" i="1"/>
  <c r="CH217" i="1"/>
  <c r="CQ213" i="1"/>
  <c r="CV166" i="1"/>
  <c r="AQ230" i="1"/>
  <c r="AI212" i="1"/>
  <c r="DI226" i="1"/>
  <c r="CT174" i="1"/>
  <c r="AI222" i="1"/>
  <c r="CR171" i="1"/>
  <c r="CI208" i="1"/>
  <c r="CK242" i="1"/>
  <c r="DZ228" i="1"/>
  <c r="AY235" i="1"/>
  <c r="CH241" i="1"/>
  <c r="AS214" i="1"/>
  <c r="DX166" i="1"/>
  <c r="CZ170" i="1"/>
  <c r="CC183" i="1"/>
  <c r="CX179" i="1"/>
  <c r="BV183" i="1"/>
  <c r="CK183" i="1"/>
  <c r="DK186" i="1"/>
  <c r="DX237" i="1"/>
  <c r="DD183" i="1"/>
  <c r="CW203" i="1"/>
  <c r="CD216" i="1"/>
  <c r="DE209" i="1"/>
  <c r="BQ218" i="1"/>
  <c r="DS163" i="1"/>
  <c r="BN235" i="1"/>
  <c r="AO181" i="1"/>
  <c r="BB179" i="1"/>
  <c r="DX178" i="1"/>
  <c r="BR197" i="1"/>
  <c r="DZ190" i="1"/>
  <c r="DF222" i="1"/>
  <c r="BO225" i="1"/>
  <c r="AV228" i="1"/>
  <c r="DK223" i="1"/>
  <c r="CS234" i="1"/>
  <c r="DC226" i="1"/>
  <c r="BR207" i="1"/>
  <c r="BC205" i="1"/>
  <c r="BD217" i="1"/>
  <c r="AL235" i="1"/>
  <c r="DO193" i="1"/>
  <c r="CL208" i="1"/>
  <c r="CG221" i="1"/>
  <c r="CB240" i="1"/>
  <c r="CD235" i="1"/>
  <c r="BY185" i="1"/>
  <c r="BD171" i="1"/>
  <c r="DW224" i="1"/>
  <c r="CE218" i="1"/>
  <c r="CV230" i="1"/>
  <c r="AV212" i="1"/>
  <c r="DG208" i="1"/>
  <c r="BO224" i="1"/>
  <c r="DM190" i="1"/>
  <c r="BS236" i="1"/>
  <c r="DO210" i="1"/>
  <c r="CB225" i="1"/>
  <c r="BV217" i="1"/>
  <c r="CV220" i="1"/>
  <c r="BB209" i="1"/>
  <c r="AX225" i="1"/>
  <c r="DP234" i="1"/>
  <c r="BK185" i="1"/>
  <c r="CO176" i="1"/>
  <c r="EC217" i="1"/>
  <c r="AK194" i="1"/>
  <c r="BY176" i="1"/>
  <c r="DO186" i="1"/>
  <c r="CT236" i="1"/>
  <c r="AX181" i="1"/>
  <c r="CT197" i="1"/>
  <c r="BR224" i="1"/>
  <c r="CZ226" i="1"/>
  <c r="AI199" i="1"/>
  <c r="DY185" i="1"/>
  <c r="BD203" i="1"/>
  <c r="AJ189" i="1"/>
  <c r="CB188" i="1"/>
  <c r="DM183" i="1"/>
  <c r="CW163" i="1"/>
  <c r="BV227" i="1"/>
  <c r="DT183" i="1"/>
  <c r="CM234" i="1"/>
  <c r="CG186" i="1"/>
  <c r="EB212" i="1"/>
  <c r="DI241" i="1"/>
  <c r="BW179" i="1"/>
  <c r="CO235" i="1"/>
  <c r="BM221" i="1"/>
  <c r="CT183" i="1"/>
  <c r="BN228" i="1"/>
  <c r="AQ182" i="1"/>
  <c r="CQ222" i="1"/>
  <c r="DD187" i="1"/>
  <c r="CJ181" i="1"/>
  <c r="BZ174" i="1"/>
  <c r="AV201" i="1"/>
  <c r="EC222" i="1"/>
  <c r="AO176" i="1"/>
  <c r="AZ179" i="1"/>
  <c r="AY191" i="1"/>
  <c r="AV191" i="1"/>
  <c r="BE210" i="1"/>
  <c r="CH209" i="1"/>
  <c r="AP203" i="1"/>
  <c r="AM187" i="1"/>
  <c r="CZ185" i="1"/>
  <c r="DB175" i="1"/>
  <c r="CC185" i="1"/>
  <c r="EA189" i="1"/>
  <c r="DS212" i="1"/>
  <c r="CS166" i="1"/>
  <c r="DL228" i="1"/>
  <c r="CP179" i="1"/>
  <c r="DY190" i="1"/>
  <c r="BX218" i="1"/>
  <c r="DS236" i="1"/>
  <c r="CL221" i="1"/>
  <c r="DI236" i="1"/>
  <c r="CS181" i="1"/>
  <c r="AV177" i="1"/>
  <c r="BX239" i="1"/>
  <c r="BR235" i="1"/>
  <c r="BV201" i="1"/>
  <c r="AU218" i="1"/>
  <c r="BG179" i="1"/>
  <c r="BY215" i="1"/>
  <c r="AZ199" i="1"/>
  <c r="BC168" i="1"/>
  <c r="AU208" i="1"/>
  <c r="DB171" i="1"/>
  <c r="AW203" i="1"/>
  <c r="BL210" i="1"/>
  <c r="BK163" i="1"/>
  <c r="DA208" i="1"/>
  <c r="BC221" i="1"/>
  <c r="BC192" i="1"/>
  <c r="BP209" i="1"/>
  <c r="CL200" i="1"/>
  <c r="AL189" i="1"/>
  <c r="AK199" i="1"/>
  <c r="CD217" i="1"/>
  <c r="DZ193" i="1"/>
  <c r="CJ236" i="1"/>
  <c r="BU163" i="1"/>
  <c r="CR203" i="1"/>
  <c r="BQ202" i="1"/>
  <c r="DP227" i="1"/>
  <c r="CF227" i="1"/>
  <c r="DA194" i="1"/>
  <c r="DU198" i="1"/>
  <c r="BM225" i="1"/>
  <c r="BN191" i="1"/>
  <c r="CQ242" i="1"/>
  <c r="DX179" i="1"/>
  <c r="BT208" i="1"/>
  <c r="DZ181" i="1"/>
  <c r="BQ223" i="1"/>
  <c r="CE213" i="1"/>
  <c r="BI169" i="1"/>
  <c r="DW219" i="1"/>
  <c r="CA192" i="1"/>
  <c r="AY205" i="1"/>
  <c r="EA193" i="1"/>
  <c r="CH211" i="1"/>
  <c r="CW165" i="1"/>
  <c r="BT224" i="1"/>
  <c r="BX164" i="1"/>
  <c r="DE168" i="1"/>
  <c r="CF174" i="1"/>
  <c r="DM237" i="1"/>
  <c r="EC163" i="1"/>
  <c r="CI238" i="1"/>
  <c r="DO174" i="1"/>
  <c r="BU193" i="1"/>
  <c r="AL240" i="1"/>
  <c r="CC190" i="1"/>
  <c r="AJ163" i="1"/>
  <c r="BA175" i="1"/>
  <c r="DY189" i="1"/>
  <c r="CS237" i="1"/>
  <c r="CQ227" i="1"/>
  <c r="CO183" i="1"/>
  <c r="DJ201" i="1"/>
  <c r="BA214" i="1"/>
  <c r="DO228" i="1"/>
  <c r="AR172" i="1"/>
  <c r="BU233" i="1"/>
  <c r="AL208" i="1"/>
  <c r="AR177" i="1"/>
  <c r="AI216" i="1"/>
  <c r="DZ238" i="1"/>
  <c r="AP225" i="1"/>
  <c r="CI199" i="1"/>
  <c r="BA215" i="1"/>
  <c r="DM215" i="1"/>
  <c r="CF224" i="1"/>
  <c r="BZ201" i="1"/>
  <c r="BE205" i="1"/>
  <c r="EB208" i="1"/>
  <c r="DC236" i="1"/>
  <c r="CK221" i="1"/>
  <c r="BQ181" i="1"/>
  <c r="DR211" i="1"/>
  <c r="BV238" i="1"/>
  <c r="DZ192" i="1"/>
  <c r="AS189" i="1"/>
  <c r="BF168" i="1"/>
  <c r="BZ185" i="1"/>
  <c r="CH170" i="1"/>
  <c r="AL179" i="1"/>
  <c r="CH235" i="1"/>
  <c r="BO181" i="1"/>
  <c r="CT181" i="1"/>
  <c r="AQ181" i="1"/>
  <c r="AZ236" i="1"/>
  <c r="BP215" i="1"/>
  <c r="BH172" i="1"/>
  <c r="EB214" i="1"/>
  <c r="BN205" i="1"/>
  <c r="AP190" i="1"/>
  <c r="BH181" i="1"/>
  <c r="BQ219" i="1"/>
  <c r="DB185" i="1"/>
  <c r="CK175" i="1"/>
  <c r="AT178" i="1"/>
  <c r="BQ211" i="1"/>
  <c r="AZ226" i="1"/>
  <c r="BN177" i="1"/>
  <c r="AW181" i="1"/>
  <c r="CN214" i="1"/>
  <c r="CA204" i="1"/>
  <c r="DF219" i="1"/>
  <c r="DE189" i="1"/>
  <c r="DJ212" i="1"/>
  <c r="CK226" i="1"/>
  <c r="EC172" i="1"/>
  <c r="DZ185" i="1"/>
  <c r="AS192" i="1"/>
  <c r="BG214" i="1"/>
  <c r="BN227" i="1"/>
  <c r="DU215" i="1"/>
  <c r="DV201" i="1"/>
  <c r="CL239" i="1"/>
  <c r="BN167" i="1"/>
  <c r="AN193" i="1"/>
  <c r="BK198" i="1"/>
  <c r="DE167" i="1"/>
  <c r="CC189" i="1"/>
  <c r="AJ214" i="1"/>
  <c r="DR198" i="1"/>
  <c r="BC201" i="1"/>
  <c r="BN186" i="1"/>
  <c r="CQ224" i="1"/>
  <c r="DY175" i="1"/>
  <c r="DN220" i="1"/>
  <c r="EA224" i="1"/>
  <c r="CP230" i="1"/>
  <c r="DJ211" i="1"/>
  <c r="DG200" i="1"/>
  <c r="AW220" i="1"/>
  <c r="CM186" i="1"/>
  <c r="DA215" i="1"/>
  <c r="DF193" i="1"/>
  <c r="BT171" i="1"/>
  <c r="CN209" i="1"/>
  <c r="BF204" i="1"/>
  <c r="CZ213" i="1"/>
  <c r="EC189" i="1"/>
  <c r="DB228" i="1"/>
  <c r="DP183" i="1"/>
  <c r="AX205" i="1"/>
  <c r="DH186" i="1"/>
  <c r="BR169" i="1"/>
  <c r="AR170" i="1"/>
  <c r="AT214" i="1"/>
  <c r="CJ200" i="1"/>
  <c r="DC213" i="1"/>
  <c r="AS242" i="1"/>
  <c r="DA183" i="1"/>
  <c r="BL201" i="1"/>
  <c r="CJ208" i="1"/>
  <c r="DT189" i="1"/>
  <c r="DQ201" i="1"/>
  <c r="CG237" i="1"/>
  <c r="DJ228" i="1"/>
  <c r="BZ214" i="1"/>
  <c r="AW179" i="1"/>
  <c r="AP171" i="1"/>
  <c r="BZ187" i="1"/>
  <c r="DV191" i="1"/>
  <c r="BI234" i="1"/>
  <c r="BE228" i="1"/>
  <c r="DM226" i="1"/>
  <c r="BH190" i="1"/>
  <c r="DG224" i="1"/>
  <c r="BQ189" i="1"/>
  <c r="BX205" i="1"/>
  <c r="DT174" i="1"/>
  <c r="BQ201" i="1"/>
  <c r="CJ175" i="1"/>
  <c r="CD242" i="1"/>
  <c r="DB232" i="1"/>
  <c r="AS186" i="1"/>
  <c r="AO183" i="1"/>
  <c r="BR191" i="1"/>
  <c r="AW215" i="1"/>
  <c r="BM175" i="1"/>
  <c r="DK224" i="1"/>
  <c r="CX213" i="1"/>
  <c r="CW218" i="1"/>
  <c r="BR165" i="1"/>
  <c r="CC217" i="1"/>
  <c r="BT203" i="1"/>
  <c r="CL201" i="1"/>
  <c r="CJ172" i="1"/>
  <c r="CM214" i="1"/>
  <c r="BS198" i="1"/>
  <c r="BF208" i="1"/>
  <c r="CB211" i="1"/>
  <c r="BX219" i="1"/>
  <c r="CO216" i="1"/>
  <c r="CJ179" i="1"/>
  <c r="BT217" i="1"/>
  <c r="AZ219" i="1"/>
  <c r="DQ169" i="1"/>
  <c r="DW229" i="1"/>
  <c r="AL218" i="1"/>
  <c r="AP169" i="1"/>
  <c r="BN239" i="1"/>
  <c r="BM193" i="1"/>
  <c r="DL202" i="1"/>
  <c r="BU171" i="1"/>
  <c r="AW242" i="1"/>
  <c r="AN199" i="1"/>
  <c r="CA162" i="1"/>
  <c r="CU212" i="1"/>
  <c r="DY177" i="1"/>
  <c r="AJ238" i="1"/>
  <c r="BK172" i="1"/>
  <c r="AJ235" i="1"/>
  <c r="BK181" i="1"/>
  <c r="DA225" i="1"/>
  <c r="DR192" i="1"/>
  <c r="EA218" i="1"/>
  <c r="CN192" i="1"/>
  <c r="EA226" i="1"/>
  <c r="AP183" i="1"/>
  <c r="CU186" i="1"/>
  <c r="DB179" i="1"/>
  <c r="AY165" i="1"/>
  <c r="BH237" i="1"/>
  <c r="DJ177" i="1"/>
  <c r="BE222" i="1"/>
  <c r="BP241" i="1"/>
  <c r="CL241" i="1"/>
  <c r="DH181" i="1"/>
  <c r="BJ179" i="1"/>
  <c r="BZ213" i="1"/>
  <c r="BF193" i="1"/>
  <c r="AZ210" i="1"/>
  <c r="CT229" i="1"/>
  <c r="CL181" i="1"/>
  <c r="AR216" i="1"/>
  <c r="CW217" i="1"/>
  <c r="DO192" i="1"/>
  <c r="BV211" i="1"/>
  <c r="EC165" i="1"/>
  <c r="BO176" i="1"/>
  <c r="DV225" i="1"/>
  <c r="DU196" i="1"/>
  <c r="DT225" i="1"/>
  <c r="CS174" i="1"/>
  <c r="BG208" i="1"/>
  <c r="DL205" i="1"/>
  <c r="CW183" i="1"/>
  <c r="BE214" i="1"/>
  <c r="CP182" i="1"/>
  <c r="BH186" i="1"/>
  <c r="DJ206" i="1"/>
  <c r="AQ214" i="1"/>
  <c r="DG219" i="1"/>
  <c r="DW235" i="1"/>
  <c r="DN191" i="1"/>
  <c r="CL240" i="1"/>
  <c r="BQ238" i="1"/>
  <c r="DF201" i="1"/>
  <c r="CD241" i="1"/>
  <c r="BA209" i="1"/>
  <c r="CL215" i="1"/>
  <c r="CO237" i="1"/>
  <c r="BR203" i="1"/>
  <c r="BJ223" i="1"/>
  <c r="DS193" i="1"/>
  <c r="CF228" i="1"/>
  <c r="BA187" i="1"/>
  <c r="BW220" i="1"/>
  <c r="AH198" i="1"/>
  <c r="CJ166" i="1"/>
  <c r="DO218" i="1"/>
  <c r="CG238" i="1"/>
  <c r="AP191" i="1"/>
  <c r="CH187" i="1"/>
  <c r="AT186" i="1"/>
  <c r="BB237" i="1"/>
  <c r="DS194" i="1"/>
  <c r="BR179" i="1"/>
  <c r="BN179" i="1"/>
  <c r="CW241" i="1"/>
  <c r="DQ236" i="1"/>
  <c r="AY203" i="1"/>
  <c r="CI209" i="1"/>
  <c r="AH165" i="1"/>
  <c r="CC176" i="1"/>
  <c r="BG181" i="1"/>
  <c r="AO235" i="1"/>
  <c r="BB216" i="1"/>
  <c r="DG196" i="1"/>
  <c r="DF203" i="1"/>
  <c r="CJ213" i="1"/>
  <c r="BO216" i="1"/>
  <c r="CK213" i="1"/>
  <c r="CS242" i="1"/>
  <c r="EA186" i="1"/>
  <c r="BW181" i="1"/>
  <c r="BI191" i="1"/>
  <c r="AX196" i="1"/>
  <c r="CF237" i="1"/>
  <c r="BO179" i="1"/>
  <c r="AQ226" i="1"/>
  <c r="BA232" i="1"/>
  <c r="BV226" i="1"/>
  <c r="BO221" i="1"/>
  <c r="AS240" i="1"/>
  <c r="DX188" i="1"/>
  <c r="DC239" i="1"/>
  <c r="CB219" i="1"/>
  <c r="BK192" i="1"/>
  <c r="AJ191" i="1"/>
  <c r="DG181" i="1"/>
  <c r="AO169" i="1"/>
  <c r="BO228" i="1"/>
  <c r="AK203" i="1"/>
  <c r="AI232" i="1"/>
  <c r="DD181" i="1"/>
  <c r="AV223" i="1"/>
  <c r="CA190" i="1"/>
  <c r="BS215" i="1"/>
  <c r="CJ189" i="1"/>
  <c r="BT223" i="1"/>
  <c r="AP226" i="1"/>
  <c r="DB237" i="1"/>
  <c r="AR211" i="1"/>
  <c r="BP204" i="1"/>
  <c r="BZ242" i="1"/>
  <c r="BF210" i="1"/>
  <c r="CY226" i="1"/>
  <c r="CU235" i="1"/>
  <c r="DY217" i="1"/>
  <c r="AL214" i="1"/>
  <c r="DA231" i="1"/>
  <c r="DP214" i="1"/>
  <c r="CT213" i="1"/>
  <c r="CU185" i="1"/>
  <c r="CM228" i="1"/>
  <c r="BQ222" i="1"/>
  <c r="DL179" i="1"/>
  <c r="EC183" i="1"/>
  <c r="CC220" i="1"/>
  <c r="BP214" i="1"/>
  <c r="AJ222" i="1"/>
  <c r="CM236" i="1"/>
  <c r="CN239" i="1"/>
  <c r="DW167" i="1"/>
  <c r="CX176" i="1"/>
  <c r="CY179" i="1"/>
  <c r="BI180" i="1"/>
  <c r="DO220" i="1"/>
  <c r="CF214" i="1"/>
  <c r="CB204" i="1"/>
  <c r="DT186" i="1"/>
  <c r="CJ242" i="1"/>
  <c r="AS209" i="1"/>
  <c r="AO218" i="1"/>
  <c r="BS214" i="1"/>
  <c r="CF171" i="1"/>
  <c r="AU186" i="1"/>
  <c r="DN192" i="1"/>
  <c r="CU192" i="1"/>
  <c r="DK201" i="1"/>
  <c r="CZ242" i="1"/>
  <c r="AV187" i="1"/>
  <c r="BE192" i="1"/>
  <c r="CN175" i="1"/>
  <c r="CB203" i="1"/>
  <c r="BV172" i="1"/>
  <c r="DW241" i="1"/>
  <c r="DD175" i="1"/>
  <c r="AX241" i="1"/>
  <c r="AN227" i="1"/>
  <c r="AZ177" i="1"/>
  <c r="CZ177" i="1"/>
  <c r="BG241" i="1"/>
  <c r="CJ193" i="1"/>
  <c r="DI189" i="1"/>
  <c r="DE212" i="1"/>
  <c r="BU177" i="1"/>
  <c r="AS218" i="1"/>
  <c r="DH167" i="1"/>
  <c r="DS191" i="1"/>
  <c r="BO215" i="1"/>
  <c r="CK189" i="1"/>
  <c r="BI222" i="1"/>
  <c r="AH242" i="1"/>
  <c r="BV222" i="1"/>
  <c r="CU227" i="1"/>
  <c r="CG176" i="1"/>
  <c r="AO186" i="1"/>
  <c r="DQ238" i="1"/>
  <c r="DI223" i="1"/>
  <c r="CS191" i="1"/>
  <c r="DE235" i="1"/>
  <c r="AP243" i="1"/>
  <c r="CZ237" i="1"/>
  <c r="DK232" i="1"/>
  <c r="DV243" i="1"/>
  <c r="DC218" i="1"/>
  <c r="AN189" i="1"/>
  <c r="BV164" i="1"/>
  <c r="AW175" i="1"/>
  <c r="CQ234" i="1"/>
  <c r="AJ167" i="1"/>
  <c r="BU189" i="1"/>
  <c r="DL187" i="1"/>
  <c r="CI211" i="1"/>
  <c r="AT171" i="1"/>
  <c r="DF179" i="1"/>
  <c r="CH210" i="1"/>
  <c r="CN197" i="1"/>
  <c r="BN238" i="1"/>
  <c r="BD232" i="1"/>
  <c r="CS171" i="1"/>
  <c r="DZ240" i="1"/>
  <c r="EC236" i="1"/>
  <c r="CN243" i="1"/>
  <c r="AY208" i="1"/>
  <c r="CS165" i="1"/>
  <c r="DC205" i="1"/>
  <c r="AS241" i="1"/>
  <c r="BA172" i="1"/>
  <c r="BC229" i="1"/>
  <c r="CE215" i="1"/>
  <c r="CC236" i="1"/>
  <c r="BJ183" i="1"/>
  <c r="DZ187" i="1"/>
  <c r="BW187" i="1"/>
  <c r="AY214" i="1"/>
  <c r="CL219" i="1"/>
  <c r="BC174" i="1"/>
  <c r="CC165" i="1"/>
  <c r="AM242" i="1"/>
  <c r="CK197" i="1"/>
  <c r="CZ201" i="1"/>
  <c r="DJ174" i="1"/>
  <c r="BG186" i="1"/>
  <c r="DB218" i="1"/>
  <c r="DK197" i="1"/>
  <c r="BE170" i="1"/>
  <c r="DG241" i="1"/>
  <c r="BJ205" i="1"/>
  <c r="AW201" i="1"/>
  <c r="AJ204" i="1"/>
  <c r="CC201" i="1"/>
  <c r="BB189" i="1"/>
  <c r="CU224" i="1"/>
  <c r="BF228" i="1"/>
  <c r="DK165" i="1"/>
  <c r="BD227" i="1"/>
  <c r="CP227" i="1"/>
  <c r="AS216" i="1"/>
  <c r="DL219" i="1"/>
  <c r="BD228" i="1"/>
  <c r="CU177" i="1"/>
  <c r="CY211" i="1"/>
  <c r="CE178" i="1"/>
  <c r="CB210" i="1"/>
  <c r="BB178" i="1"/>
  <c r="BB210" i="1"/>
  <c r="DH166" i="1"/>
  <c r="CD215" i="1"/>
  <c r="DT167" i="1"/>
  <c r="EC199" i="1"/>
  <c r="BV165" i="1"/>
  <c r="BZ190" i="1"/>
  <c r="DM200" i="1"/>
  <c r="BX234" i="1"/>
  <c r="AM229" i="1"/>
  <c r="CR175" i="1"/>
  <c r="AU183" i="1"/>
  <c r="AM243" i="1"/>
  <c r="DW213" i="1"/>
  <c r="DV171" i="1"/>
  <c r="DA237" i="1"/>
  <c r="CO198" i="1"/>
  <c r="BL221" i="1"/>
  <c r="AU225" i="1"/>
  <c r="CG175" i="1"/>
  <c r="BA242" i="1"/>
  <c r="EC186" i="1"/>
  <c r="DW223" i="1"/>
  <c r="BL190" i="1"/>
  <c r="DD197" i="1"/>
  <c r="DK179" i="1"/>
  <c r="BP228" i="1"/>
  <c r="DK235" i="1"/>
  <c r="CP237" i="1"/>
  <c r="BA165" i="1"/>
  <c r="EC226" i="1"/>
  <c r="DP235" i="1"/>
  <c r="CJ218" i="1"/>
  <c r="BJ198" i="1"/>
  <c r="AV193" i="1"/>
  <c r="AK167" i="1"/>
  <c r="DB215" i="1"/>
  <c r="CV186" i="1"/>
  <c r="CX201" i="1"/>
  <c r="AH166" i="1"/>
  <c r="CC224" i="1"/>
  <c r="AW198" i="1"/>
  <c r="BQ183" i="1"/>
  <c r="CY209" i="1"/>
  <c r="DF171" i="1"/>
  <c r="DF189" i="1"/>
  <c r="DF198" i="1"/>
  <c r="DJ227" i="1"/>
  <c r="AV168" i="1"/>
  <c r="DW228" i="1"/>
  <c r="DS170" i="1"/>
  <c r="BV209" i="1"/>
  <c r="AS230" i="1"/>
  <c r="CT232" i="1"/>
  <c r="CI214" i="1"/>
  <c r="CD234" i="1"/>
  <c r="AZ239" i="1"/>
  <c r="BA217" i="1"/>
  <c r="CZ179" i="1"/>
  <c r="CI225" i="1"/>
  <c r="DL191" i="1"/>
  <c r="AZ191" i="1"/>
  <c r="BA205" i="1"/>
  <c r="AT243" i="1"/>
  <c r="AK163" i="1"/>
  <c r="AO198" i="1"/>
  <c r="CF165" i="1"/>
  <c r="BI195" i="1"/>
  <c r="AO163" i="1"/>
  <c r="DO230" i="1"/>
  <c r="BO239" i="1"/>
  <c r="BU192" i="1"/>
  <c r="CM215" i="1"/>
  <c r="CN227" i="1"/>
  <c r="DZ225" i="1"/>
  <c r="BZ225" i="1"/>
  <c r="AT191" i="1"/>
  <c r="AV163" i="1"/>
  <c r="BF183" i="1"/>
  <c r="CV228" i="1"/>
  <c r="DE177" i="1"/>
  <c r="CC243" i="1"/>
  <c r="CD171" i="1"/>
  <c r="BG178" i="1"/>
  <c r="DH201" i="1"/>
  <c r="BC183" i="1"/>
  <c r="BI236" i="1"/>
  <c r="AM241" i="1"/>
  <c r="BA221" i="1"/>
  <c r="CN213" i="1"/>
  <c r="DI238" i="1"/>
  <c r="BY235" i="1"/>
  <c r="BK183" i="1"/>
  <c r="CE181" i="1"/>
  <c r="AR214" i="1"/>
  <c r="AN203" i="1"/>
  <c r="BP201" i="1"/>
  <c r="BQ192" i="1"/>
  <c r="AQ217" i="1"/>
  <c r="BE181" i="1"/>
  <c r="BS212" i="1"/>
  <c r="DI193" i="1"/>
  <c r="CA198" i="1"/>
  <c r="DZ166" i="1"/>
  <c r="CH205" i="1"/>
  <c r="CH208" i="1"/>
  <c r="CI202" i="1"/>
  <c r="CK174" i="1"/>
  <c r="CC174" i="1"/>
  <c r="BX217" i="1"/>
  <c r="DX242" i="1"/>
  <c r="DM174" i="1"/>
  <c r="AO243" i="1"/>
  <c r="EA201" i="1"/>
  <c r="DP197" i="1"/>
  <c r="CW170" i="1"/>
  <c r="BN220" i="1"/>
  <c r="AV167" i="1"/>
  <c r="BJ193" i="1"/>
  <c r="AN243" i="1"/>
  <c r="CM189" i="1"/>
  <c r="DW233" i="1"/>
  <c r="BA213" i="1"/>
  <c r="BF163" i="1"/>
  <c r="BD183" i="1"/>
  <c r="BZ205" i="1"/>
  <c r="BR217" i="1"/>
  <c r="DV233" i="1"/>
  <c r="DU224" i="1"/>
  <c r="AM209" i="1"/>
  <c r="CC208" i="1"/>
  <c r="DR216" i="1"/>
  <c r="DL193" i="1"/>
  <c r="DW204" i="1"/>
  <c r="DF191" i="1"/>
  <c r="CI226" i="1"/>
  <c r="AI224" i="1"/>
  <c r="EB220" i="1"/>
  <c r="BO191" i="1"/>
  <c r="CZ224" i="1"/>
  <c r="CF212" i="1"/>
  <c r="CM220" i="1"/>
  <c r="AU204" i="1"/>
  <c r="CM209" i="1"/>
  <c r="BU183" i="1"/>
  <c r="DI212" i="1"/>
  <c r="CM217" i="1"/>
  <c r="CN165" i="1"/>
  <c r="DD179" i="1"/>
  <c r="CG215" i="1"/>
  <c r="CW180" i="1"/>
  <c r="AH175" i="1"/>
  <c r="DP181" i="1"/>
  <c r="DU222" i="1"/>
  <c r="BX243" i="1"/>
  <c r="BW192" i="1"/>
  <c r="AL205" i="1"/>
  <c r="DS182" i="1"/>
  <c r="BO185" i="1"/>
  <c r="AY215" i="1"/>
  <c r="BA220" i="1"/>
  <c r="BY169" i="1"/>
  <c r="BQ162" i="1"/>
  <c r="DW187" i="1"/>
  <c r="AJ212" i="1"/>
  <c r="CJ201" i="1"/>
  <c r="DH238" i="1"/>
  <c r="DF194" i="1"/>
  <c r="AU191" i="1"/>
  <c r="CZ176" i="1"/>
  <c r="AY218" i="1"/>
  <c r="BF222" i="1"/>
  <c r="CM203" i="1"/>
  <c r="AM227" i="1"/>
  <c r="BW172" i="1"/>
  <c r="DR165" i="1"/>
  <c r="BF189" i="1"/>
  <c r="AU236" i="1"/>
  <c r="AY234" i="1"/>
  <c r="DI192" i="1"/>
  <c r="CX175" i="1"/>
  <c r="BK227" i="1"/>
  <c r="AX176" i="1"/>
  <c r="CK216" i="1"/>
  <c r="CO231" i="1"/>
  <c r="DN218" i="1"/>
  <c r="AI171" i="1"/>
  <c r="AH186" i="1"/>
  <c r="DW218" i="1"/>
  <c r="BY237" i="1"/>
  <c r="AH209" i="1"/>
  <c r="DG199" i="1"/>
  <c r="BJ228" i="1"/>
  <c r="AZ216" i="1"/>
  <c r="AL186" i="1"/>
  <c r="BA167" i="1"/>
  <c r="AN205" i="1"/>
  <c r="AH223" i="1"/>
  <c r="DG236" i="1"/>
  <c r="BX235" i="1"/>
  <c r="DJ224" i="1"/>
  <c r="DJ219" i="1"/>
  <c r="BY163" i="1"/>
  <c r="DV235" i="1"/>
  <c r="AZ237" i="1"/>
  <c r="CT243" i="1"/>
  <c r="AN235" i="1"/>
  <c r="AK186" i="1"/>
  <c r="AV227" i="1"/>
  <c r="CR226" i="1"/>
  <c r="BZ228" i="1"/>
  <c r="DM243" i="1"/>
  <c r="CL216" i="1"/>
  <c r="CJ195" i="1"/>
  <c r="CH222" i="1"/>
  <c r="DM179" i="1"/>
  <c r="AL239" i="1"/>
  <c r="AR243" i="1"/>
  <c r="DT235" i="1"/>
  <c r="BB191" i="1"/>
  <c r="AV183" i="1"/>
  <c r="DD186" i="1"/>
  <c r="CF208" i="1"/>
  <c r="CA169" i="1"/>
  <c r="BB206" i="1"/>
  <c r="DS207" i="1"/>
  <c r="BD179" i="1"/>
  <c r="CU195" i="1"/>
  <c r="BL182" i="1"/>
  <c r="EB190" i="1"/>
  <c r="DA211" i="1"/>
  <c r="CI235" i="1"/>
  <c r="BJ218" i="1"/>
  <c r="AV213" i="1"/>
  <c r="AL182" i="1"/>
  <c r="CL236" i="1"/>
  <c r="DX175" i="1"/>
  <c r="CK201" i="1"/>
  <c r="CE241" i="1"/>
  <c r="DJ171" i="1"/>
  <c r="DJ203" i="1"/>
  <c r="DB169" i="1"/>
  <c r="CB234" i="1"/>
  <c r="CX164" i="1"/>
  <c r="AL195" i="1"/>
  <c r="BW215" i="1"/>
  <c r="CC200" i="1"/>
  <c r="DT243" i="1"/>
  <c r="BK206" i="1"/>
  <c r="DA212" i="1"/>
  <c r="BX166" i="1"/>
  <c r="BG222" i="1"/>
  <c r="DX163" i="1"/>
  <c r="CP240" i="1"/>
  <c r="CP222" i="1"/>
  <c r="AR201" i="1"/>
  <c r="AH178" i="1"/>
  <c r="DR190" i="1"/>
  <c r="DA193" i="1"/>
  <c r="AO219" i="1"/>
  <c r="DZ203" i="1"/>
  <c r="AO224" i="1"/>
  <c r="CP238" i="1"/>
  <c r="CW174" i="1"/>
  <c r="DA181" i="1"/>
  <c r="AT197" i="1"/>
  <c r="AV217" i="1"/>
  <c r="AQ227" i="1"/>
  <c r="CG224" i="1"/>
  <c r="AU184" i="1"/>
  <c r="DN219" i="1"/>
  <c r="AT204" i="1"/>
  <c r="CF236" i="1"/>
  <c r="DA199" i="1"/>
  <c r="BK229" i="1"/>
  <c r="BJ209" i="1"/>
  <c r="CT214" i="1"/>
  <c r="DV164" i="1"/>
  <c r="CX212" i="1"/>
  <c r="BL211" i="1"/>
  <c r="BV182" i="1"/>
  <c r="DH174" i="1"/>
  <c r="DP218" i="1"/>
  <c r="DM218" i="1"/>
  <c r="BV223" i="1"/>
  <c r="DG192" i="1"/>
  <c r="CI237" i="1"/>
  <c r="DB220" i="1"/>
  <c r="CL242" i="1"/>
  <c r="DP241" i="1"/>
  <c r="DB201" i="1"/>
  <c r="AI227" i="1"/>
  <c r="CY235" i="1"/>
  <c r="BO220" i="1"/>
  <c r="BJ215" i="1"/>
  <c r="BB211" i="1"/>
  <c r="AJ199" i="1"/>
  <c r="DX194" i="1"/>
  <c r="AW211" i="1"/>
  <c r="BZ181" i="1"/>
  <c r="CU199" i="1"/>
  <c r="BF165" i="1"/>
  <c r="CH191" i="1"/>
  <c r="AO220" i="1"/>
  <c r="BK214" i="1"/>
  <c r="BV187" i="1"/>
  <c r="DA209" i="1"/>
  <c r="CW178" i="1"/>
  <c r="DX209" i="1"/>
  <c r="CH183" i="1"/>
  <c r="DB165" i="1"/>
  <c r="DT194" i="1"/>
  <c r="AL177" i="1"/>
  <c r="AY220" i="1"/>
  <c r="BT202" i="1"/>
  <c r="CX186" i="1"/>
  <c r="CY238" i="1"/>
  <c r="AU224" i="1"/>
  <c r="CO217" i="1"/>
  <c r="AH221" i="1"/>
  <c r="BK241" i="1"/>
  <c r="BE177" i="1"/>
  <c r="BZ193" i="1"/>
  <c r="AY172" i="1"/>
  <c r="AZ195" i="1"/>
  <c r="DV209" i="1"/>
  <c r="DZ199" i="1"/>
  <c r="BJ202" i="1"/>
  <c r="CJ243" i="1"/>
  <c r="AM224" i="1"/>
  <c r="CT215" i="1"/>
  <c r="BQ217" i="1"/>
  <c r="AH201" i="1"/>
  <c r="EA208" i="1"/>
  <c r="AU228" i="1"/>
  <c r="BK219" i="1"/>
  <c r="CG218" i="1"/>
  <c r="DT179" i="1"/>
  <c r="CA222" i="1"/>
  <c r="CP166" i="1"/>
  <c r="BZ164" i="1"/>
  <c r="BX225" i="1"/>
  <c r="AW214" i="1"/>
  <c r="EB186" i="1"/>
  <c r="BF212" i="1"/>
  <c r="BX168" i="1"/>
  <c r="BG205" i="1"/>
  <c r="AQ189" i="1"/>
  <c r="DJ216" i="1"/>
  <c r="CT240" i="1"/>
  <c r="BF201" i="1"/>
  <c r="BG163" i="1"/>
  <c r="CY243" i="1"/>
  <c r="BB228" i="1"/>
  <c r="DB181" i="1"/>
  <c r="AP179" i="1"/>
  <c r="DL214" i="1"/>
  <c r="CH228" i="1"/>
  <c r="DG228" i="1"/>
  <c r="AU222" i="1"/>
  <c r="AJ218" i="1"/>
  <c r="CL243" i="1"/>
  <c r="BL186" i="1"/>
  <c r="DZ235" i="1"/>
  <c r="CO171" i="1"/>
  <c r="CL235" i="1"/>
  <c r="DL240" i="1"/>
  <c r="DO224" i="1"/>
  <c r="BN163" i="1"/>
  <c r="DR212" i="1"/>
  <c r="DK218" i="1"/>
  <c r="DU171" i="1"/>
  <c r="BC215" i="1"/>
  <c r="CT175" i="1"/>
  <c r="DI216" i="1"/>
  <c r="AQ211" i="1"/>
  <c r="DD165" i="1"/>
  <c r="CH224" i="1"/>
  <c r="CU219" i="1"/>
  <c r="AV224" i="1"/>
  <c r="BH209" i="1"/>
  <c r="AM240" i="1"/>
  <c r="AN220" i="1"/>
  <c r="DH163" i="1"/>
  <c r="DY166" i="1"/>
  <c r="DA222" i="1"/>
  <c r="AP196" i="1"/>
  <c r="DK192" i="1"/>
  <c r="BO227" i="1"/>
  <c r="BE235" i="1"/>
  <c r="AH205" i="1"/>
  <c r="BZ203" i="1"/>
  <c r="BD216" i="1"/>
  <c r="DB212" i="1"/>
  <c r="BF186" i="1"/>
  <c r="DW190" i="1"/>
  <c r="AH229" i="1"/>
  <c r="DE206" i="1"/>
  <c r="CC186" i="1"/>
  <c r="AJ169" i="1"/>
  <c r="BQ205" i="1"/>
  <c r="CR184" i="1"/>
  <c r="CA212" i="1"/>
  <c r="EA183" i="1"/>
  <c r="DJ230" i="1"/>
  <c r="DE219" i="1"/>
  <c r="DL211" i="1"/>
  <c r="AW171" i="1"/>
  <c r="BI177" i="1"/>
  <c r="CX218" i="1"/>
  <c r="DO222" i="1"/>
  <c r="CT182" i="1"/>
  <c r="AV237" i="1"/>
  <c r="BA212" i="1"/>
  <c r="CV187" i="1"/>
  <c r="DG172" i="1"/>
  <c r="DK208" i="1"/>
  <c r="AL216" i="1"/>
  <c r="DQ224" i="1"/>
  <c r="AR224" i="1"/>
  <c r="DI201" i="1"/>
  <c r="CF194" i="1"/>
  <c r="DT227" i="1"/>
  <c r="DL220" i="1"/>
  <c r="DB243" i="1"/>
  <c r="CK222" i="1"/>
  <c r="CH227" i="1"/>
  <c r="CT228" i="1"/>
  <c r="AX226" i="1"/>
  <c r="CS192" i="1"/>
  <c r="CF200" i="1"/>
  <c r="CZ218" i="1"/>
  <c r="DU174" i="1"/>
  <c r="BB165" i="1"/>
  <c r="CS162" i="1"/>
  <c r="EA179" i="1"/>
  <c r="CU228" i="1"/>
  <c r="AO236" i="1"/>
  <c r="BF238" i="1"/>
  <c r="BC235" i="1"/>
  <c r="AZ220" i="1"/>
  <c r="EA191" i="1"/>
  <c r="CN221" i="1"/>
  <c r="BW232" i="1"/>
  <c r="AU234" i="1"/>
  <c r="DE231" i="1"/>
  <c r="AT190" i="1"/>
  <c r="AS236" i="1"/>
  <c r="CT171" i="1"/>
  <c r="DP219" i="1"/>
  <c r="DK243" i="1"/>
  <c r="DU243" i="1"/>
  <c r="CY166" i="1"/>
  <c r="DB225" i="1"/>
  <c r="DG213" i="1"/>
  <c r="DR189" i="1"/>
  <c r="AP242" i="1"/>
  <c r="DI191" i="1"/>
  <c r="AR198" i="1"/>
  <c r="BA177" i="1"/>
  <c r="BC216" i="1"/>
  <c r="BA202" i="1"/>
  <c r="AL242" i="1"/>
  <c r="CE222" i="1"/>
  <c r="CE236" i="1"/>
  <c r="BK222" i="1"/>
  <c r="AU242" i="1"/>
  <c r="DU226" i="1"/>
  <c r="AZ232" i="1"/>
  <c r="DY183" i="1"/>
  <c r="DT232" i="1"/>
  <c r="DL227" i="1"/>
  <c r="AT224" i="1"/>
  <c r="DE185" i="1"/>
  <c r="DF208" i="1"/>
  <c r="DR178" i="1"/>
  <c r="BU241" i="1"/>
  <c r="AL222" i="1"/>
  <c r="BK162" i="1"/>
  <c r="AN175" i="1"/>
  <c r="CS214" i="1"/>
  <c r="AP219" i="1"/>
  <c r="CA184" i="1"/>
  <c r="AT228" i="1"/>
  <c r="CW169" i="1"/>
  <c r="CP165" i="1"/>
  <c r="AM179" i="1"/>
  <c r="BE172" i="1"/>
  <c r="CQ216" i="1"/>
  <c r="AN224" i="1"/>
  <c r="BR242" i="1"/>
  <c r="CF239" i="1"/>
  <c r="DI178" i="1"/>
  <c r="DZ171" i="1"/>
  <c r="CD219" i="1"/>
  <c r="AT210" i="1"/>
  <c r="BK242" i="1"/>
  <c r="AN212" i="1"/>
  <c r="DJ189" i="1"/>
  <c r="DP182" i="1"/>
  <c r="DI167" i="1"/>
  <c r="BC242" i="1"/>
  <c r="DJ193" i="1"/>
  <c r="CY190" i="1"/>
  <c r="DG209" i="1"/>
  <c r="CU201" i="1"/>
  <c r="DZ213" i="1"/>
  <c r="DG165" i="1"/>
  <c r="BD191" i="1"/>
  <c r="AT227" i="1"/>
  <c r="BQ191" i="1"/>
  <c r="DY225" i="1"/>
  <c r="CQ235" i="1"/>
  <c r="CZ227" i="1"/>
  <c r="CM192" i="1"/>
  <c r="AO222" i="1"/>
  <c r="DQ218" i="1"/>
  <c r="AM7" i="1"/>
  <c r="AX215" i="1"/>
  <c r="BJ237" i="1"/>
  <c r="CM208" i="1"/>
  <c r="BU235" i="1"/>
  <c r="AP164" i="1"/>
  <c r="BE182" i="1"/>
  <c r="BY224" i="1"/>
  <c r="AW192" i="1"/>
  <c r="CH214" i="1"/>
  <c r="AJ174" i="1"/>
  <c r="DF183" i="1"/>
  <c r="DD222" i="1"/>
  <c r="DX193" i="1"/>
  <c r="BL227" i="1"/>
  <c r="BD223" i="1"/>
  <c r="BV216" i="1"/>
  <c r="AH214" i="1"/>
  <c r="BL174" i="1"/>
  <c r="BY211" i="1"/>
  <c r="AQ193" i="1"/>
  <c r="BM236" i="1"/>
  <c r="DF192" i="1"/>
  <c r="BQ221" i="1"/>
  <c r="DY232" i="1"/>
  <c r="BC177" i="1"/>
  <c r="BO238" i="1"/>
  <c r="BP216" i="1"/>
  <c r="AT238" i="1"/>
  <c r="DP230" i="1"/>
  <c r="BI242" i="1"/>
  <c r="CI205" i="1"/>
  <c r="CK212" i="1"/>
  <c r="DV175" i="1"/>
  <c r="BU236" i="1"/>
  <c r="CT190" i="1"/>
  <c r="BP186" i="1"/>
  <c r="DV228" i="1"/>
  <c r="BZ165" i="1"/>
  <c r="CR186" i="1"/>
  <c r="DN166" i="1"/>
  <c r="DR185" i="1"/>
  <c r="CZ234" i="1"/>
  <c r="BH205" i="1"/>
  <c r="BS209" i="1"/>
  <c r="BX182" i="1"/>
  <c r="DT201" i="1"/>
  <c r="AM196" i="1"/>
  <c r="CK239" i="1"/>
  <c r="CE189" i="1"/>
  <c r="BK220" i="1"/>
  <c r="CV205" i="1"/>
  <c r="CF184" i="1"/>
  <c r="DY194" i="1"/>
  <c r="DS205" i="1"/>
  <c r="BS240" i="1"/>
  <c r="BP243" i="1"/>
  <c r="CU243" i="1"/>
  <c r="BE199" i="1"/>
  <c r="CB227" i="1"/>
  <c r="BG176" i="1"/>
  <c r="DD201" i="1"/>
  <c r="AR219" i="1"/>
  <c r="CQ181" i="1"/>
  <c r="CW175" i="1"/>
  <c r="DM181" i="1"/>
  <c r="CB167" i="1"/>
  <c r="DC222" i="1"/>
  <c r="DI213" i="1"/>
  <c r="AH211" i="1"/>
  <c r="BS213" i="1"/>
  <c r="DS185" i="1"/>
  <c r="DW209" i="1"/>
  <c r="DE225" i="1"/>
  <c r="BD211" i="1"/>
  <c r="DH211" i="1"/>
  <c r="AY236" i="1"/>
  <c r="CQ174" i="1"/>
  <c r="AX212" i="1"/>
  <c r="DA197" i="1"/>
  <c r="CK184" i="1"/>
  <c r="BV215" i="1"/>
  <c r="DR214" i="1"/>
  <c r="AN181" i="1"/>
  <c r="BE197" i="1"/>
  <c r="CM164" i="1"/>
  <c r="DE218" i="1"/>
  <c r="AH210" i="1"/>
  <c r="AJ165" i="1"/>
  <c r="BT222" i="1"/>
  <c r="DU192" i="1"/>
  <c r="CW166" i="1"/>
  <c r="AP210" i="1"/>
  <c r="BW228" i="1"/>
  <c r="AL191" i="1"/>
  <c r="DS227" i="1"/>
  <c r="BI210" i="1"/>
  <c r="DT219" i="1"/>
  <c r="DQ222" i="1"/>
  <c r="CZ220" i="1"/>
  <c r="DK216" i="1"/>
  <c r="AI226" i="1"/>
  <c r="AQ220" i="1"/>
  <c r="AN171" i="1"/>
  <c r="CQ176" i="1"/>
  <c r="DC192" i="1"/>
  <c r="AJ243" i="1"/>
  <c r="AY238" i="1"/>
  <c r="DP226" i="1"/>
  <c r="CO222" i="1"/>
  <c r="CM165" i="1"/>
  <c r="DY218" i="1"/>
  <c r="DS165" i="1"/>
  <c r="CL225" i="1"/>
  <c r="CL163" i="1"/>
  <c r="CL203" i="1"/>
  <c r="BW170" i="1"/>
  <c r="DD162" i="1"/>
  <c r="DV166" i="1"/>
  <c r="DP243" i="1"/>
  <c r="AZ203" i="1"/>
  <c r="CY203" i="1"/>
  <c r="BH207" i="1"/>
  <c r="AQ242" i="1"/>
  <c r="AS235" i="1"/>
  <c r="CI191" i="1"/>
  <c r="DP225" i="1"/>
  <c r="BZ166" i="1"/>
  <c r="BV219" i="1"/>
  <c r="CF187" i="1"/>
  <c r="DU167" i="1"/>
  <c r="DP185" i="1"/>
  <c r="CA191" i="1"/>
  <c r="CB208" i="1"/>
  <c r="CC242" i="1"/>
  <c r="AW172" i="1"/>
  <c r="CX211" i="1"/>
  <c r="AY176" i="1"/>
  <c r="BP187" i="1"/>
  <c r="DS172" i="1"/>
  <c r="CC235" i="1"/>
  <c r="AI235" i="1"/>
  <c r="BQ226" i="1"/>
  <c r="DC183" i="1"/>
  <c r="BY189" i="1"/>
  <c r="AY183" i="1"/>
  <c r="DE238" i="1"/>
  <c r="EC211" i="1"/>
  <c r="AZ224" i="1"/>
  <c r="AU243" i="1"/>
  <c r="DU219" i="1"/>
  <c r="EA178" i="1"/>
  <c r="BU220" i="1"/>
  <c r="DF209" i="1"/>
  <c r="DO235" i="1"/>
  <c r="DS234" i="1"/>
  <c r="CC238" i="1"/>
  <c r="CT186" i="1"/>
  <c r="AO216" i="1"/>
  <c r="CG171" i="1"/>
  <c r="CC222" i="1"/>
  <c r="DN175" i="1"/>
  <c r="CA183" i="1"/>
  <c r="BZ217" i="1"/>
  <c r="BJ200" i="1"/>
  <c r="CC187" i="1"/>
  <c r="BE224" i="1"/>
  <c r="BI185" i="1"/>
  <c r="BP174" i="1"/>
  <c r="DJ183" i="1"/>
  <c r="BS208" i="1"/>
  <c r="BT204" i="1"/>
  <c r="BY193" i="1"/>
  <c r="BW203" i="1"/>
  <c r="BR198" i="1"/>
  <c r="BQ209" i="1"/>
  <c r="DT185" i="1"/>
  <c r="DG167" i="1"/>
  <c r="AN190" i="1"/>
  <c r="CH237" i="1"/>
  <c r="CF178" i="1"/>
  <c r="BB188" i="1"/>
  <c r="DQ235" i="1"/>
  <c r="DK189" i="1"/>
  <c r="AV242" i="1"/>
  <c r="BN224" i="1"/>
  <c r="DP170" i="1"/>
  <c r="AY217" i="1"/>
  <c r="DQ191" i="1"/>
  <c r="AR189" i="1"/>
  <c r="BE188" i="1"/>
  <c r="DN225" i="1"/>
  <c r="AV186" i="1"/>
  <c r="BB242" i="1"/>
  <c r="CS210" i="1"/>
  <c r="DY238" i="1"/>
  <c r="CK220" i="1"/>
  <c r="AV176" i="1"/>
  <c r="BV207" i="1"/>
  <c r="BJ219" i="1"/>
  <c r="DS241" i="1"/>
  <c r="AJ228" i="1"/>
  <c r="BM228" i="1"/>
  <c r="CR223" i="1"/>
  <c r="CZ198" i="1"/>
  <c r="CJ228" i="1"/>
  <c r="CP224" i="1"/>
  <c r="BP167" i="1"/>
  <c r="BV171" i="1"/>
  <c r="BI221" i="1"/>
  <c r="DS171" i="1"/>
  <c r="BK186" i="1"/>
  <c r="AI176" i="1"/>
  <c r="AH188" i="1"/>
  <c r="CB165" i="1"/>
  <c r="DI243" i="1"/>
  <c r="DD205" i="1"/>
  <c r="DB234" i="1"/>
  <c r="CB232" i="1"/>
  <c r="AT193" i="1"/>
  <c r="CT217" i="1"/>
  <c r="BQ225" i="1"/>
  <c r="DK220" i="1"/>
  <c r="BD220" i="1"/>
  <c r="DH210" i="1"/>
  <c r="DW171" i="1"/>
  <c r="DB222" i="1"/>
  <c r="DV238" i="1"/>
  <c r="DW173" i="1"/>
  <c r="CQ205" i="1"/>
  <c r="DN167" i="1"/>
  <c r="DN211" i="1"/>
  <c r="BS186" i="1"/>
  <c r="AI209" i="1"/>
  <c r="CO223" i="1"/>
  <c r="DN181" i="1"/>
  <c r="DK222" i="1"/>
  <c r="DX203" i="1"/>
  <c r="AJ197" i="1"/>
  <c r="DC178" i="1"/>
  <c r="EC239" i="1"/>
  <c r="DY236" i="1"/>
  <c r="DK195" i="1"/>
  <c r="BX201" i="1"/>
  <c r="BW237" i="1"/>
  <c r="DF186" i="1"/>
  <c r="AZ205" i="1"/>
  <c r="DP222" i="1"/>
  <c r="BA239" i="1"/>
  <c r="DE190" i="1"/>
  <c r="CN203" i="1"/>
  <c r="AX236" i="1"/>
  <c r="BH224" i="1"/>
  <c r="CU191" i="1"/>
  <c r="CT231" i="1"/>
  <c r="DP236" i="1"/>
  <c r="BW171" i="1"/>
  <c r="CT225" i="1"/>
  <c r="AP214" i="1"/>
  <c r="BO219" i="1"/>
  <c r="DA235" i="1"/>
  <c r="DC242" i="1"/>
  <c r="AU238" i="1"/>
  <c r="EA203" i="1"/>
  <c r="AH215" i="1"/>
  <c r="CB242" i="1"/>
  <c r="BS232" i="1"/>
  <c r="BZ238" i="1"/>
  <c r="DC185" i="1"/>
  <c r="CS173" i="1"/>
  <c r="DZ191" i="1"/>
  <c r="AT183" i="1"/>
  <c r="EA217" i="1"/>
  <c r="BQ163" i="1"/>
  <c r="BE220" i="1"/>
  <c r="AI243" i="1"/>
  <c r="DD164" i="1"/>
  <c r="DG242" i="1"/>
  <c r="CG208" i="1"/>
  <c r="DR236" i="1"/>
  <c r="CZ243" i="1"/>
  <c r="BB201" i="1"/>
  <c r="CG236" i="1"/>
  <c r="EA228" i="1"/>
  <c r="DJ241" i="1"/>
  <c r="DR227" i="1"/>
  <c r="DX211" i="1"/>
  <c r="DL178" i="1"/>
  <c r="CD225" i="1"/>
  <c r="DV236" i="1"/>
  <c r="DF205" i="1"/>
  <c r="AN217" i="1"/>
  <c r="CB174" i="1"/>
  <c r="BV205" i="1"/>
  <c r="BN222" i="1"/>
  <c r="AN165" i="1"/>
  <c r="BS217" i="1"/>
  <c r="CD178" i="1"/>
  <c r="AY240" i="1"/>
  <c r="DU200" i="1"/>
  <c r="BU216" i="1"/>
  <c r="BN165" i="1"/>
  <c r="BT239" i="1"/>
  <c r="DL215" i="1"/>
  <c r="DN209" i="1"/>
  <c r="DI206" i="1"/>
  <c r="CU166" i="1"/>
  <c r="CS227" i="1"/>
  <c r="BX195" i="1"/>
  <c r="BT191" i="1"/>
  <c r="DK219" i="1"/>
  <c r="EC224" i="1"/>
  <c r="CO179" i="1"/>
  <c r="BY201" i="1"/>
  <c r="AN214" i="1"/>
  <c r="AO190" i="1"/>
  <c r="DE180" i="1"/>
  <c r="BK165" i="1"/>
  <c r="BW201" i="1"/>
  <c r="AX242" i="1"/>
  <c r="CT203" i="1"/>
  <c r="DS188" i="1"/>
  <c r="BI215" i="1"/>
  <c r="CQ204" i="1"/>
  <c r="EB225" i="1"/>
  <c r="AO223" i="1"/>
  <c r="CB172" i="1"/>
  <c r="AK166" i="1"/>
  <c r="BI227" i="1"/>
  <c r="CK203" i="1"/>
  <c r="DI232" i="1"/>
  <c r="BJ214" i="1"/>
  <c r="BS167" i="1"/>
  <c r="DG214" i="1"/>
  <c r="AW228" i="1"/>
  <c r="AS170" i="1"/>
  <c r="BO189" i="1"/>
  <c r="DS167" i="1"/>
  <c r="BQ227" i="1"/>
  <c r="BU175" i="1"/>
  <c r="BD166" i="1"/>
  <c r="DE202" i="1"/>
  <c r="BO205" i="1"/>
  <c r="AI233" i="1"/>
  <c r="CW225" i="1"/>
  <c r="BS176" i="1"/>
  <c r="DD166" i="1"/>
  <c r="BJ216" i="1"/>
  <c r="CF242" i="1"/>
  <c r="CY205" i="1"/>
  <c r="BX172" i="1"/>
  <c r="AZ218" i="1"/>
  <c r="AQ215" i="1"/>
  <c r="BU242" i="1"/>
  <c r="BP223" i="1"/>
  <c r="AL165" i="1"/>
  <c r="AP220" i="1"/>
  <c r="BY236" i="1"/>
  <c r="CP189" i="1"/>
  <c r="DT214" i="1"/>
  <c r="CZ233" i="1"/>
  <c r="DS222" i="1"/>
  <c r="CV179" i="1"/>
  <c r="EA199" i="1"/>
  <c r="AP205" i="1"/>
  <c r="CZ212" i="1"/>
  <c r="BG165" i="1"/>
  <c r="CM193" i="1"/>
  <c r="BI183" i="1"/>
  <c r="DY209" i="1"/>
  <c r="CG243" i="1"/>
  <c r="CQ186" i="1"/>
  <c r="DF236" i="1"/>
  <c r="AX165" i="1"/>
  <c r="AK209" i="1"/>
  <c r="DI170" i="1"/>
  <c r="DC164" i="1"/>
  <c r="CD214" i="1"/>
  <c r="AO229" i="1"/>
  <c r="AH193" i="1"/>
  <c r="CN163" i="1"/>
  <c r="CA188" i="1"/>
  <c r="CJ214" i="1"/>
  <c r="EB189" i="1"/>
  <c r="DN186" i="1"/>
  <c r="CK217" i="1"/>
  <c r="DZ221" i="1"/>
  <c r="DV183" i="1"/>
  <c r="BW166" i="1"/>
  <c r="AR179" i="1"/>
  <c r="BK224" i="1"/>
  <c r="BJ225" i="1"/>
  <c r="AK165" i="1"/>
  <c r="DP171" i="1"/>
  <c r="BW189" i="1"/>
  <c r="CC205" i="1"/>
  <c r="BQ168" i="1"/>
  <c r="AW233" i="1"/>
  <c r="CL171" i="1"/>
  <c r="BO172" i="1"/>
  <c r="CO191" i="1"/>
  <c r="CR189" i="1"/>
  <c r="DE241" i="1"/>
  <c r="DY222" i="1"/>
  <c r="DV177" i="1"/>
  <c r="EC218" i="1"/>
  <c r="BY206" i="1"/>
  <c r="BU198" i="1"/>
  <c r="AT195" i="1"/>
  <c r="AP166" i="1"/>
  <c r="BT185" i="1"/>
  <c r="EB209" i="1"/>
  <c r="CZ214" i="1"/>
  <c r="BS219" i="1"/>
  <c r="CF225" i="1"/>
  <c r="BL191" i="1"/>
  <c r="DZ208" i="1"/>
  <c r="DX186" i="1"/>
  <c r="CF203" i="1"/>
  <c r="DA242" i="1"/>
  <c r="DW169" i="1"/>
  <c r="BX238" i="1"/>
  <c r="BA203" i="1"/>
  <c r="AR215" i="1"/>
  <c r="BJ181" i="1"/>
  <c r="DK205" i="1"/>
  <c r="BF219" i="1"/>
  <c r="CT165" i="1"/>
  <c r="BT189" i="1"/>
  <c r="BN171" i="1"/>
  <c r="AM178" i="1"/>
  <c r="CL167" i="1"/>
  <c r="BH232" i="1"/>
  <c r="AL170" i="1"/>
  <c r="BW242" i="1"/>
  <c r="DN171" i="1"/>
  <c r="AJ170" i="1"/>
  <c r="EA234" i="1"/>
  <c r="BM205" i="1"/>
  <c r="BJ176" i="1"/>
  <c r="DU178" i="1"/>
  <c r="CT211" i="1"/>
  <c r="BG183" i="1"/>
  <c r="CZ165" i="1"/>
  <c r="BD198" i="1"/>
  <c r="EC235" i="1"/>
  <c r="AP237" i="1"/>
  <c r="CT238" i="1"/>
  <c r="BG201" i="1"/>
  <c r="CZ174" i="1"/>
  <c r="BA196" i="1"/>
  <c r="DC210" i="1"/>
  <c r="CA189" i="1"/>
  <c r="BO214" i="1"/>
  <c r="CY228" i="1"/>
  <c r="DY221" i="1"/>
  <c r="EC179" i="1"/>
  <c r="EC202" i="1"/>
  <c r="CX166" i="1"/>
  <c r="DX189" i="1"/>
  <c r="AM186" i="1"/>
  <c r="BV214" i="1"/>
  <c r="AY216" i="1"/>
  <c r="CQ228" i="1"/>
  <c r="AQ183" i="1"/>
  <c r="DF211" i="1"/>
  <c r="DW230" i="1"/>
  <c r="BG199" i="1"/>
  <c r="BZ179" i="1"/>
  <c r="AM167" i="1"/>
  <c r="BL184" i="1"/>
  <c r="BT195" i="1"/>
  <c r="DS174" i="1"/>
  <c r="CD210" i="1"/>
  <c r="DL201" i="1"/>
  <c r="BH188" i="1"/>
  <c r="CL226" i="1"/>
  <c r="CQ179" i="1"/>
  <c r="AI189" i="1"/>
  <c r="DC217" i="1"/>
  <c r="CM239" i="1"/>
  <c r="AR231" i="1"/>
  <c r="CR188" i="1"/>
  <c r="DW205" i="1"/>
  <c r="DO227" i="1"/>
  <c r="BI168" i="1"/>
  <c r="CL223" i="1"/>
  <c r="BL232" i="1"/>
  <c r="BG239" i="1"/>
  <c r="DE239" i="1"/>
  <c r="BN176" i="1"/>
  <c r="AI217" i="1"/>
  <c r="DF237" i="1"/>
  <c r="AR226" i="1"/>
  <c r="EA235" i="1"/>
  <c r="AV221" i="1"/>
  <c r="AJ166" i="1"/>
  <c r="CE237" i="1"/>
  <c r="AJ219" i="1"/>
  <c r="DQ226" i="1"/>
  <c r="BD243" i="1"/>
  <c r="BC213" i="1"/>
  <c r="DA203" i="1"/>
  <c r="CD237" i="1"/>
  <c r="AQ233" i="1"/>
  <c r="AU216" i="1"/>
  <c r="DY231" i="1"/>
  <c r="DL238" i="1"/>
  <c r="BU179" i="1"/>
  <c r="AI201" i="1"/>
  <c r="CZ208" i="1"/>
  <c r="DO194" i="1"/>
  <c r="AH204" i="1"/>
  <c r="DJ191" i="1"/>
  <c r="AQ186" i="1"/>
  <c r="EC213" i="1"/>
  <c r="BW209" i="1"/>
  <c r="DY215" i="1"/>
  <c r="BI224" i="1"/>
  <c r="AU227" i="1"/>
  <c r="DU236" i="1"/>
  <c r="AI218" i="1"/>
  <c r="BA224" i="1"/>
  <c r="AQ218" i="1"/>
  <c r="CU226" i="1"/>
  <c r="BA186" i="1"/>
  <c r="BD199" i="1"/>
  <c r="DZ237" i="1"/>
  <c r="BU228" i="1"/>
  <c r="CL212" i="1"/>
  <c r="CR167" i="1"/>
  <c r="BG198" i="1"/>
  <c r="DK166" i="1"/>
  <c r="DL207" i="1"/>
  <c r="CX205" i="1"/>
  <c r="AK232" i="1"/>
  <c r="DL242" i="1"/>
  <c r="DW193" i="1"/>
  <c r="CC206" i="1"/>
  <c r="CF193" i="1"/>
  <c r="BJ212" i="1"/>
  <c r="BG175" i="1"/>
  <c r="AV226" i="1"/>
  <c r="BB198" i="1"/>
  <c r="AY171" i="1"/>
  <c r="DO187" i="1"/>
  <c r="BM189" i="1"/>
  <c r="BB205" i="1"/>
  <c r="AV190" i="1"/>
  <c r="BI166" i="1"/>
  <c r="AX238" i="1"/>
  <c r="DM209" i="1"/>
  <c r="DS228" i="1"/>
  <c r="BQ186" i="1"/>
  <c r="CM235" i="1"/>
  <c r="CM180" i="1"/>
  <c r="DL236" i="1"/>
  <c r="BG210" i="1"/>
  <c r="DD239" i="1"/>
  <c r="DG179" i="1"/>
  <c r="BI190" i="1"/>
  <c r="BM238" i="1"/>
  <c r="AT209" i="1"/>
  <c r="DC191" i="1"/>
  <c r="BE178" i="1"/>
  <c r="DH224" i="1"/>
  <c r="DE211" i="1"/>
  <c r="DT216" i="1"/>
  <c r="AQ179" i="1"/>
  <c r="CB189" i="1"/>
  <c r="DB167" i="1"/>
  <c r="CF175" i="1"/>
  <c r="DQ209" i="1"/>
  <c r="EC229" i="1"/>
  <c r="CE201" i="1"/>
  <c r="BV218" i="1"/>
  <c r="CG226" i="1"/>
  <c r="BF171" i="1"/>
  <c r="BH219" i="1"/>
  <c r="AO201" i="1"/>
  <c r="BX165" i="1"/>
  <c r="AO187" i="1"/>
  <c r="AV166" i="1"/>
  <c r="AW236" i="1"/>
  <c r="AT216" i="1"/>
  <c r="BO186" i="1"/>
  <c r="BF175" i="1"/>
  <c r="AS171" i="1"/>
  <c r="CJ221" i="1"/>
  <c r="BH217" i="1"/>
  <c r="CX222" i="1"/>
  <c r="CT178" i="1"/>
  <c r="DM221" i="1"/>
  <c r="DD243" i="1"/>
  <c r="BP212" i="1"/>
  <c r="DC179" i="1"/>
  <c r="DH205" i="1"/>
  <c r="BH200" i="1"/>
  <c r="BV210" i="1"/>
  <c r="CE192" i="1"/>
  <c r="DL217" i="1"/>
  <c r="AK239" i="1"/>
  <c r="AL209" i="1"/>
  <c r="AO212" i="1"/>
  <c r="DN172" i="1"/>
  <c r="AU209" i="1"/>
  <c r="DF225" i="1"/>
  <c r="CR179" i="1"/>
  <c r="CQ191" i="1"/>
  <c r="DD228" i="1"/>
  <c r="AS243" i="1"/>
  <c r="CA171" i="1"/>
  <c r="DV210" i="1"/>
  <c r="EC174" i="1"/>
  <c r="DE214" i="1"/>
  <c r="AK202" i="1"/>
  <c r="DG186" i="1"/>
  <c r="BU174" i="1"/>
  <c r="CA176" i="1"/>
  <c r="BU212" i="1"/>
  <c r="DT171" i="1"/>
  <c r="BF195" i="1"/>
  <c r="AJ181" i="1"/>
  <c r="DG189" i="1"/>
  <c r="CG242" i="1"/>
  <c r="CV163" i="1"/>
  <c r="BU214" i="1"/>
  <c r="DX228" i="1"/>
  <c r="DP203" i="1"/>
  <c r="BS210" i="1"/>
  <c r="CD162" i="1"/>
  <c r="EA195" i="1"/>
  <c r="DX231" i="1"/>
  <c r="CO178" i="1"/>
  <c r="BJ226" i="1"/>
  <c r="BL207" i="1"/>
  <c r="CX197" i="1"/>
  <c r="CP218" i="1"/>
  <c r="BD186" i="1"/>
  <c r="CC178" i="1"/>
  <c r="DG162" i="1"/>
  <c r="CF196" i="1"/>
  <c r="AP208" i="1"/>
  <c r="BW224" i="1"/>
  <c r="DD224" i="1"/>
  <c r="DH198" i="1"/>
  <c r="BN200" i="1"/>
  <c r="CV226" i="1"/>
  <c r="CL222" i="1"/>
  <c r="BE195" i="1"/>
  <c r="CO239" i="1"/>
  <c r="BD174" i="1"/>
  <c r="CV174" i="1"/>
  <c r="DZ222" i="1"/>
  <c r="AI191" i="1"/>
  <c r="CO175" i="1"/>
  <c r="DM242" i="1"/>
  <c r="AN236" i="1"/>
  <c r="DW236" i="1"/>
  <c r="BH174" i="1"/>
  <c r="BR205" i="1"/>
  <c r="CX214" i="1"/>
  <c r="DK211" i="1"/>
  <c r="CE171" i="1"/>
  <c r="BZ243" i="1"/>
  <c r="DJ186" i="1"/>
  <c r="DD219" i="1"/>
  <c r="CL179" i="1"/>
  <c r="CR190" i="1"/>
  <c r="BO183" i="1"/>
  <c r="CZ236" i="1"/>
  <c r="BB196" i="1"/>
  <c r="BP191" i="1"/>
  <c r="AY206" i="1"/>
  <c r="DU242" i="1"/>
  <c r="CJ204" i="1"/>
  <c r="CV234" i="1"/>
  <c r="CB235" i="1"/>
  <c r="CF191" i="1"/>
  <c r="AK222" i="1"/>
  <c r="CN174" i="1"/>
  <c r="CL191" i="1"/>
  <c r="DH227" i="1"/>
  <c r="AS163" i="1"/>
  <c r="DU177" i="1"/>
  <c r="BK236" i="1"/>
  <c r="DD213" i="1"/>
  <c r="CN217" i="1"/>
  <c r="BT225" i="1"/>
  <c r="BI206" i="1"/>
  <c r="DH217" i="1"/>
  <c r="CV209" i="1"/>
  <c r="CV191" i="1"/>
  <c r="DU205" i="1"/>
  <c r="CQ190" i="1"/>
  <c r="DU182" i="1"/>
  <c r="BA222" i="1"/>
  <c r="AK187" i="1"/>
  <c r="AK218" i="1"/>
  <c r="AG183" i="1"/>
  <c r="CF179" i="1"/>
  <c r="DZ180" i="1"/>
  <c r="BH228" i="1"/>
  <c r="AR222" i="1"/>
  <c r="CO187" i="1"/>
  <c r="DT233" i="1"/>
  <c r="DF165" i="1"/>
  <c r="AY222" i="1"/>
  <c r="CD167" i="1"/>
  <c r="CY239" i="1"/>
  <c r="BR181" i="1"/>
  <c r="EA242" i="1"/>
  <c r="AH168" i="1"/>
  <c r="AH232" i="1"/>
  <c r="CM167" i="1"/>
  <c r="AZ201" i="1"/>
  <c r="CB191" i="1"/>
  <c r="AT213" i="1"/>
  <c r="CM194" i="1"/>
  <c r="BI203" i="1"/>
  <c r="DW214" i="1"/>
  <c r="DF213" i="1"/>
  <c r="CF199" i="1"/>
  <c r="CU238" i="1"/>
  <c r="BT235" i="1"/>
  <c r="DN169" i="1"/>
  <c r="BU237" i="1"/>
  <c r="AO167" i="1"/>
  <c r="CA233" i="1"/>
  <c r="CO214" i="1"/>
  <c r="AN196" i="1"/>
  <c r="CN184" i="1"/>
  <c r="AS188" i="1"/>
  <c r="CS236" i="1"/>
  <c r="CD186" i="1"/>
  <c r="AQ236" i="1"/>
  <c r="AM183" i="1"/>
  <c r="DC181" i="1"/>
  <c r="CD226" i="1"/>
  <c r="CR233" i="1"/>
  <c r="CU234" i="1"/>
  <c r="DA216" i="1"/>
  <c r="DF228" i="1"/>
  <c r="CE243" i="1"/>
  <c r="BL208" i="1"/>
  <c r="CH230" i="1"/>
  <c r="DD173" i="1"/>
  <c r="DQ181" i="1"/>
  <c r="DB242" i="1"/>
  <c r="DU216" i="1"/>
  <c r="BI213" i="1"/>
  <c r="CL185" i="1"/>
  <c r="DW242" i="1"/>
  <c r="DN217" i="1"/>
  <c r="AH203" i="1"/>
  <c r="BM222" i="1"/>
  <c r="AM202" i="1"/>
  <c r="AX192" i="1"/>
  <c r="BC225" i="1"/>
  <c r="AR217" i="1"/>
  <c r="BH173" i="1"/>
  <c r="EB242" i="1"/>
  <c r="AQ208" i="1"/>
  <c r="AJ196" i="1"/>
  <c r="DL243" i="1"/>
  <c r="AI196" i="1"/>
  <c r="DP211" i="1"/>
  <c r="BZ200" i="1"/>
  <c r="CG183" i="1"/>
  <c r="CP168" i="1"/>
  <c r="DP209" i="1"/>
  <c r="DT162" i="1"/>
  <c r="AZ196" i="1"/>
  <c r="AV215" i="1"/>
  <c r="DV182" i="1"/>
  <c r="CG192" i="1"/>
  <c r="CC213" i="1"/>
  <c r="DX182" i="1"/>
  <c r="CQ232" i="1"/>
  <c r="DN178" i="1"/>
  <c r="EC194" i="1"/>
  <c r="CG233" i="1"/>
  <c r="CY194" i="1"/>
  <c r="CN201" i="1"/>
  <c r="CQ211" i="1"/>
  <c r="CT202" i="1"/>
  <c r="DP164" i="1"/>
  <c r="CW236" i="1"/>
  <c r="CF233" i="1"/>
  <c r="CE210" i="1"/>
  <c r="AG172" i="1"/>
  <c r="DG233" i="1"/>
  <c r="CO220" i="1"/>
  <c r="CM176" i="1"/>
  <c r="BF217" i="1"/>
  <c r="DA174" i="1"/>
  <c r="CC196" i="1"/>
  <c r="DD171" i="1"/>
  <c r="BR229" i="1"/>
  <c r="BG196" i="1"/>
  <c r="BK235" i="1"/>
  <c r="DD233" i="1"/>
  <c r="DD242" i="1"/>
  <c r="AR202" i="1"/>
  <c r="CX238" i="1"/>
  <c r="CW240" i="1"/>
  <c r="AT220" i="1"/>
  <c r="BJ186" i="1"/>
  <c r="CK171" i="1"/>
  <c r="AG188" i="1"/>
  <c r="CY218" i="1"/>
  <c r="BN201" i="1"/>
  <c r="BK195" i="1"/>
  <c r="BE193" i="1"/>
  <c r="DB197" i="1"/>
  <c r="DC171" i="1"/>
  <c r="DC234" i="1"/>
  <c r="BC182" i="1"/>
  <c r="BL166" i="1"/>
  <c r="CK166" i="1"/>
  <c r="AL203" i="1"/>
  <c r="CZ192" i="1"/>
  <c r="BP211" i="1"/>
  <c r="CN179" i="1"/>
  <c r="CP235" i="1"/>
  <c r="BU227" i="1"/>
  <c r="BP188" i="1"/>
  <c r="AH228" i="1"/>
  <c r="BX169" i="1"/>
  <c r="DY193" i="1"/>
  <c r="DS220" i="1"/>
  <c r="AO189" i="1"/>
  <c r="CP174" i="1"/>
  <c r="DL199" i="1"/>
  <c r="CE195" i="1"/>
  <c r="CE228" i="1"/>
  <c r="DN180" i="1"/>
  <c r="AM220" i="1"/>
  <c r="AL187" i="1"/>
  <c r="BM168" i="1"/>
  <c r="DX222" i="1"/>
  <c r="BJ189" i="1"/>
  <c r="BD209" i="1"/>
  <c r="CS235" i="1"/>
  <c r="BL167" i="1"/>
  <c r="CI179" i="1"/>
  <c r="CK182" i="1"/>
  <c r="BW196" i="1"/>
  <c r="DE201" i="1"/>
  <c r="AT177" i="1"/>
  <c r="DS184" i="1"/>
  <c r="CU178" i="1"/>
  <c r="CG209" i="1"/>
  <c r="AL243" i="1"/>
  <c r="DZ241" i="1"/>
  <c r="BD236" i="1"/>
  <c r="BG240" i="1"/>
  <c r="EC198" i="1"/>
  <c r="DP216" i="1"/>
  <c r="AU202" i="1"/>
  <c r="CW171" i="1"/>
  <c r="CP205" i="1"/>
  <c r="AR186" i="1"/>
  <c r="AI169" i="1"/>
  <c r="DB183" i="1"/>
  <c r="CI242" i="1"/>
  <c r="DZ194" i="1"/>
  <c r="BS226" i="1"/>
  <c r="BI211" i="1"/>
  <c r="BP162" i="1"/>
  <c r="BA228" i="1"/>
  <c r="DI165" i="1"/>
  <c r="CG184" i="1"/>
  <c r="BZ206" i="1"/>
  <c r="CQ202" i="1"/>
  <c r="CM195" i="1"/>
  <c r="DT236" i="1"/>
  <c r="CY224" i="1"/>
  <c r="CT164" i="1"/>
  <c r="BA226" i="1"/>
  <c r="CB224" i="1"/>
  <c r="AT234" i="1"/>
  <c r="CH166" i="1"/>
  <c r="CD168" i="1"/>
  <c r="BR171" i="1"/>
  <c r="DB211" i="1"/>
  <c r="DS209" i="1"/>
  <c r="AI228" i="1"/>
  <c r="DF181" i="1"/>
  <c r="DR191" i="1"/>
  <c r="BW235" i="1"/>
  <c r="BX171" i="1"/>
  <c r="AW182" i="1"/>
  <c r="AO217" i="1"/>
  <c r="CO207" i="1"/>
  <c r="BK217" i="1"/>
  <c r="DI210" i="1"/>
  <c r="CA163" i="1"/>
  <c r="AG239" i="1"/>
  <c r="AO238" i="1"/>
  <c r="BZ204" i="1"/>
  <c r="BN229" i="1"/>
  <c r="CJ198" i="1"/>
  <c r="DB170" i="1"/>
  <c r="DS201" i="1"/>
  <c r="BY183" i="1"/>
  <c r="BK218" i="1"/>
  <c r="AR165" i="1"/>
  <c r="AY179" i="1"/>
  <c r="DL171" i="1"/>
  <c r="DN238" i="1"/>
  <c r="AK192" i="1"/>
  <c r="DJ209" i="1"/>
  <c r="AX189" i="1"/>
  <c r="BA190" i="1"/>
  <c r="EB236" i="1"/>
  <c r="BU172" i="1"/>
  <c r="DM171" i="1"/>
  <c r="DY205" i="1"/>
  <c r="BB208" i="1"/>
  <c r="DK199" i="1"/>
  <c r="CX172" i="1"/>
  <c r="DK212" i="1"/>
  <c r="CJ188" i="1"/>
  <c r="DM191" i="1"/>
  <c r="DF242" i="1"/>
  <c r="DE183" i="1"/>
  <c r="BY205" i="1"/>
  <c r="CD201" i="1"/>
  <c r="EA166" i="1"/>
  <c r="AJ224" i="1"/>
  <c r="BW229" i="1"/>
  <c r="DR218" i="1"/>
  <c r="AY209" i="1"/>
  <c r="DU183" i="1"/>
  <c r="CK187" i="1"/>
  <c r="CQ167" i="1"/>
  <c r="DC238" i="1"/>
  <c r="AM221" i="1"/>
  <c r="BB162" i="1"/>
  <c r="AS191" i="1"/>
  <c r="AJ194" i="1"/>
  <c r="AY227" i="1"/>
  <c r="BR243" i="1"/>
  <c r="BK208" i="1"/>
  <c r="DQ165" i="1"/>
  <c r="DE220" i="1"/>
  <c r="CR206" i="1"/>
  <c r="DT164" i="1"/>
  <c r="BI202" i="1"/>
  <c r="DH230" i="1"/>
  <c r="CA164" i="1"/>
  <c r="DC186" i="1"/>
  <c r="BO162" i="1"/>
  <c r="BJ191" i="1"/>
  <c r="BE216" i="1"/>
  <c r="AT229" i="1"/>
  <c r="BY233" i="1"/>
  <c r="DG207" i="1"/>
  <c r="AG204" i="1"/>
  <c r="CN241" i="1"/>
  <c r="AU179" i="1"/>
  <c r="DJ218" i="1"/>
  <c r="DL190" i="1"/>
  <c r="CG203" i="1"/>
  <c r="CZ209" i="1"/>
  <c r="BH220" i="1"/>
  <c r="BX222" i="1"/>
  <c r="DV179" i="1"/>
  <c r="BY165" i="1"/>
  <c r="BE208" i="1"/>
  <c r="DQ228" i="1"/>
  <c r="AZ181" i="1"/>
  <c r="AG220" i="1"/>
  <c r="AG235" i="1"/>
  <c r="DR199" i="1"/>
  <c r="DQ164" i="1"/>
  <c r="CK172" i="1"/>
  <c r="DU209" i="1"/>
  <c r="AY213" i="1"/>
  <c r="AK184" i="1"/>
  <c r="BJ236" i="1"/>
  <c r="BR219" i="1"/>
  <c r="DV214" i="1"/>
  <c r="DD214" i="1"/>
  <c r="DP215" i="1"/>
  <c r="AY225" i="1"/>
  <c r="DW220" i="1"/>
  <c r="BI214" i="1"/>
  <c r="EC203" i="1"/>
  <c r="BT165" i="1"/>
  <c r="AJ239" i="1"/>
  <c r="BC209" i="1"/>
  <c r="BK237" i="1"/>
  <c r="BT237" i="1"/>
  <c r="BG188" i="1"/>
  <c r="CI234" i="1"/>
  <c r="EC232" i="1"/>
  <c r="AH171" i="1"/>
  <c r="CX235" i="1"/>
  <c r="CV241" i="1"/>
  <c r="BF177" i="1"/>
  <c r="DK171" i="1"/>
  <c r="CM222" i="1"/>
  <c r="EC212" i="1"/>
  <c r="AX213" i="1"/>
  <c r="AQ228" i="1"/>
  <c r="BP205" i="1"/>
  <c r="DS204" i="1"/>
  <c r="CL195" i="1"/>
  <c r="CR228" i="1"/>
  <c r="CF217" i="1"/>
  <c r="EB219" i="1"/>
  <c r="DW185" i="1"/>
  <c r="DG235" i="1"/>
  <c r="BP197" i="1"/>
  <c r="AW222" i="1"/>
  <c r="DQ197" i="1"/>
  <c r="CX242" i="1"/>
  <c r="CU242" i="1"/>
  <c r="DE179" i="1"/>
  <c r="DB235" i="1"/>
  <c r="DX238" i="1"/>
  <c r="CA200" i="1"/>
  <c r="CJ205" i="1"/>
  <c r="BG184" i="1"/>
  <c r="CB193" i="1"/>
  <c r="CG168" i="1"/>
  <c r="DA228" i="1"/>
  <c r="CV164" i="1"/>
  <c r="BL242" i="1"/>
  <c r="CZ204" i="1"/>
  <c r="CW242" i="1"/>
  <c r="AW238" i="1"/>
  <c r="BI205" i="1"/>
  <c r="CG179" i="1"/>
  <c r="DL213" i="1"/>
  <c r="AK224" i="1"/>
  <c r="DZ183" i="1"/>
  <c r="BH162" i="1"/>
  <c r="DZ220" i="1"/>
  <c r="DE215" i="1"/>
  <c r="BE241" i="1"/>
  <c r="CI170" i="1"/>
  <c r="CN173" i="1"/>
  <c r="EC201" i="1"/>
  <c r="CG162" i="1"/>
  <c r="DZ236" i="1"/>
  <c r="CX221" i="1"/>
  <c r="DC174" i="1"/>
  <c r="DR181" i="1"/>
  <c r="AJ211" i="1"/>
  <c r="BR209" i="1"/>
  <c r="BR173" i="1"/>
  <c r="DE216" i="1"/>
  <c r="DP192" i="1"/>
  <c r="EA205" i="1"/>
  <c r="CH231" i="1"/>
  <c r="BS224" i="1"/>
  <c r="DK182" i="1"/>
  <c r="AM230" i="1"/>
  <c r="BK243" i="1"/>
  <c r="AU205" i="1"/>
  <c r="CI195" i="1"/>
  <c r="DM222" i="1"/>
  <c r="BK196" i="1"/>
  <c r="DF217" i="1"/>
  <c r="CG217" i="1"/>
  <c r="BM243" i="1"/>
  <c r="CV240" i="1"/>
  <c r="AK235" i="1"/>
  <c r="CP191" i="1"/>
  <c r="DS186" i="1"/>
  <c r="CS221" i="1"/>
  <c r="BB221" i="1"/>
  <c r="CW243" i="1"/>
  <c r="CY191" i="1"/>
  <c r="DV202" i="1"/>
  <c r="CR209" i="1"/>
  <c r="BB173" i="1"/>
  <c r="BS171" i="1"/>
  <c r="BM196" i="1"/>
  <c r="DC215" i="1"/>
  <c r="AK233" i="1"/>
  <c r="CG222" i="1"/>
  <c r="CO186" i="1"/>
  <c r="DC208" i="1"/>
  <c r="DC228" i="1"/>
  <c r="BH240" i="1"/>
  <c r="CV221" i="1"/>
  <c r="BE227" i="1"/>
  <c r="DL186" i="1"/>
  <c r="BE213" i="1"/>
  <c r="CZ211" i="1"/>
  <c r="AR192" i="1"/>
  <c r="AI183" i="1"/>
  <c r="DU213" i="1"/>
  <c r="CO213" i="1"/>
  <c r="CR213" i="1"/>
  <c r="AJ179" i="1"/>
  <c r="EC243" i="1"/>
  <c r="CU176" i="1"/>
  <c r="DC220" i="1"/>
  <c r="AH217" i="1"/>
  <c r="BI218" i="1"/>
  <c r="AI200" i="1"/>
  <c r="DW225" i="1"/>
  <c r="AM215" i="1"/>
  <c r="DA171" i="1"/>
  <c r="DN198" i="1"/>
  <c r="CD220" i="1"/>
  <c r="CK211" i="1"/>
  <c r="BC186" i="1"/>
  <c r="BZ230" i="1"/>
  <c r="BT243" i="1"/>
  <c r="DD178" i="1"/>
  <c r="BA189" i="1"/>
  <c r="DU207" i="1"/>
  <c r="BQ208" i="1"/>
  <c r="EA164" i="1"/>
  <c r="BC220" i="1"/>
  <c r="CL199" i="1"/>
  <c r="AT173" i="1"/>
  <c r="AG236" i="1"/>
  <c r="DK162" i="1"/>
  <c r="EC197" i="1"/>
  <c r="EB207" i="1"/>
  <c r="BF227" i="1"/>
  <c r="CR183" i="1"/>
  <c r="AG185" i="1"/>
  <c r="BQ182" i="1"/>
  <c r="CC221" i="1"/>
  <c r="DA191" i="1"/>
  <c r="AR164" i="1"/>
  <c r="CU223" i="1"/>
  <c r="AT174" i="1"/>
  <c r="EB184" i="1"/>
  <c r="BY208" i="1"/>
  <c r="AG200" i="1"/>
  <c r="DI218" i="1"/>
  <c r="BI223" i="1"/>
  <c r="AH236" i="1"/>
  <c r="BL193" i="1"/>
  <c r="CH203" i="1"/>
  <c r="AI238" i="1"/>
  <c r="BX179" i="1"/>
  <c r="DY171" i="1"/>
  <c r="CE217" i="1"/>
  <c r="CK209" i="1"/>
  <c r="BL237" i="1"/>
  <c r="BT216" i="1"/>
  <c r="CP217" i="1"/>
  <c r="BE238" i="1"/>
  <c r="AM235" i="1"/>
  <c r="BM217" i="1"/>
  <c r="CG181" i="1"/>
  <c r="CR193" i="1"/>
  <c r="DY198" i="1"/>
  <c r="DL192" i="1"/>
  <c r="CA209" i="1"/>
  <c r="AU165" i="1"/>
  <c r="DR224" i="1"/>
  <c r="BI240" i="1"/>
  <c r="AJ187" i="1"/>
  <c r="CP164" i="1"/>
  <c r="BW226" i="1"/>
  <c r="AH225" i="1"/>
  <c r="CO208" i="1"/>
  <c r="AK216" i="1"/>
  <c r="AW225" i="1"/>
  <c r="BW174" i="1"/>
  <c r="DP242" i="1"/>
  <c r="AY224" i="1"/>
  <c r="DP186" i="1"/>
  <c r="EC237" i="1"/>
  <c r="BW202" i="1"/>
  <c r="DA234" i="1"/>
  <c r="BO231" i="1"/>
  <c r="CS222" i="1"/>
  <c r="DI215" i="1"/>
  <c r="AH191" i="1"/>
  <c r="DO179" i="1"/>
  <c r="CB226" i="1"/>
  <c r="CO201" i="1"/>
  <c r="DO203" i="1"/>
  <c r="AN228" i="1"/>
  <c r="BX220" i="1"/>
  <c r="DP174" i="1"/>
  <c r="DW179" i="1"/>
  <c r="BC224" i="1"/>
  <c r="AR241" i="1"/>
  <c r="AK236" i="1"/>
  <c r="CJ209" i="1"/>
  <c r="AW200" i="1"/>
  <c r="AV211" i="1"/>
  <c r="CO168" i="1"/>
  <c r="AK211" i="1"/>
  <c r="BY242" i="1"/>
  <c r="DO217" i="1"/>
  <c r="DH215" i="1"/>
  <c r="DC214" i="1"/>
  <c r="BN242" i="1"/>
  <c r="BQ243" i="1"/>
  <c r="EA197" i="1"/>
  <c r="DG220" i="1"/>
  <c r="DZ201" i="1"/>
  <c r="DB191" i="1"/>
  <c r="AY226" i="1"/>
  <c r="BX242" i="1"/>
  <c r="CE227" i="1"/>
  <c r="CI187" i="1"/>
  <c r="DL234" i="1"/>
  <c r="CD183" i="1"/>
  <c r="CF205" i="1"/>
  <c r="CD211" i="1"/>
  <c r="CP216" i="1"/>
  <c r="DI183" i="1"/>
  <c r="DB227" i="1"/>
  <c r="AM222" i="1"/>
  <c r="CC203" i="1"/>
  <c r="BT174" i="1"/>
  <c r="DY169" i="1"/>
  <c r="AQ199" i="1"/>
  <c r="EC228" i="1"/>
  <c r="EB206" i="1"/>
  <c r="DF162" i="1"/>
  <c r="BA166" i="1"/>
  <c r="BP200" i="1"/>
  <c r="BF218" i="1"/>
  <c r="CX173" i="1"/>
  <c r="AO228" i="1"/>
  <c r="CB222" i="1"/>
  <c r="DO231" i="1"/>
  <c r="BK204" i="1"/>
  <c r="DF182" i="1"/>
  <c r="BK210" i="1"/>
  <c r="DX174" i="1"/>
  <c r="AX178" i="1"/>
  <c r="BB239" i="1"/>
  <c r="AO202" i="1"/>
  <c r="AP236" i="1"/>
  <c r="AW235" i="1"/>
  <c r="DC237" i="1"/>
  <c r="DY243" i="1"/>
  <c r="EB243" i="1"/>
  <c r="CY189" i="1"/>
  <c r="CV211" i="1"/>
  <c r="AW205" i="1"/>
  <c r="AN170" i="1"/>
  <c r="DH222" i="1"/>
  <c r="BP222" i="1"/>
  <c r="DO241" i="1"/>
  <c r="CX215" i="1"/>
  <c r="BD189" i="1"/>
  <c r="CR200" i="1"/>
  <c r="CF210" i="1"/>
  <c r="AW234" i="1"/>
  <c r="BU181" i="1"/>
  <c r="AZ206" i="1"/>
  <c r="DI235" i="1"/>
  <c r="DC227" i="1"/>
  <c r="CB220" i="1"/>
  <c r="AI186" i="1"/>
  <c r="CF201" i="1"/>
  <c r="DA182" i="1"/>
  <c r="DV173" i="1"/>
  <c r="CQ175" i="1"/>
  <c r="BB243" i="1"/>
  <c r="DQ216" i="1"/>
  <c r="BC208" i="1"/>
  <c r="BJ221" i="1"/>
  <c r="CS228" i="1"/>
  <c r="DZ243" i="1"/>
  <c r="BW177" i="1"/>
  <c r="BK240" i="1"/>
  <c r="DP224" i="1"/>
  <c r="AW202" i="1"/>
  <c r="AM217" i="1"/>
  <c r="CE190" i="1"/>
  <c r="AV209" i="1"/>
  <c r="AW191" i="1"/>
  <c r="AS200" i="1"/>
  <c r="CD166" i="1"/>
  <c r="AX216" i="1"/>
  <c r="DJ222" i="1"/>
  <c r="DI207" i="1"/>
  <c r="CS176" i="1"/>
  <c r="CK231" i="1"/>
  <c r="CG191" i="1"/>
  <c r="DL235" i="1"/>
  <c r="BF216" i="1"/>
  <c r="DI242" i="1"/>
  <c r="BS169" i="1"/>
  <c r="CS195" i="1"/>
  <c r="CN187" i="1"/>
  <c r="DJ205" i="1"/>
  <c r="BL165" i="1"/>
  <c r="DQ167" i="1"/>
  <c r="DH219" i="1"/>
  <c r="DZ224" i="1"/>
  <c r="AI236" i="1"/>
  <c r="AZ171" i="1"/>
  <c r="BM224" i="1"/>
  <c r="CE205" i="1"/>
  <c r="DH228" i="1"/>
  <c r="AU220" i="1"/>
  <c r="AS220" i="1"/>
  <c r="CF172" i="1"/>
  <c r="BR220" i="1"/>
  <c r="DA192" i="1"/>
  <c r="AK208" i="1"/>
  <c r="CS186" i="1"/>
  <c r="CN182" i="1"/>
  <c r="BY175" i="1"/>
  <c r="CP176" i="1"/>
  <c r="BZ183" i="1"/>
  <c r="AK242" i="1"/>
  <c r="AO171" i="1"/>
  <c r="BG221" i="1"/>
  <c r="BS189" i="1"/>
  <c r="DE208" i="1"/>
  <c r="DA224" i="1"/>
  <c r="AY228" i="1"/>
  <c r="CJ192" i="1"/>
  <c r="CW176" i="1"/>
  <c r="BA173" i="1"/>
  <c r="DO238" i="1"/>
  <c r="CL231" i="1"/>
  <c r="CX227" i="1"/>
  <c r="BZ224" i="1"/>
  <c r="BB217" i="1"/>
  <c r="BL215" i="1"/>
  <c r="CN225" i="1"/>
  <c r="CY216" i="1"/>
  <c r="CG205" i="1"/>
  <c r="BM174" i="1"/>
  <c r="DH189" i="1"/>
  <c r="CN242" i="1"/>
  <c r="CK191" i="1"/>
  <c r="CI192" i="1"/>
  <c r="DO209" i="1"/>
  <c r="DX223" i="1"/>
  <c r="CL189" i="1"/>
  <c r="AM171" i="1"/>
  <c r="BU209" i="1"/>
  <c r="DV186" i="1"/>
  <c r="DS175" i="1"/>
  <c r="BF220" i="1"/>
  <c r="BW225" i="1"/>
  <c r="AX186" i="1"/>
  <c r="CK170" i="1"/>
  <c r="CA243" i="1"/>
  <c r="DI182" i="1"/>
  <c r="BS229" i="1"/>
  <c r="EC242" i="1"/>
  <c r="AH192" i="1"/>
  <c r="DT191" i="1"/>
  <c r="DI222" i="1"/>
  <c r="CX191" i="1"/>
  <c r="DS202" i="1"/>
  <c r="BP235" i="1"/>
  <c r="DI205" i="1"/>
  <c r="CC162" i="1"/>
  <c r="DZ209" i="1"/>
  <c r="DB209" i="1"/>
  <c r="DZ186" i="1"/>
  <c r="CW227" i="1"/>
  <c r="CK202" i="1"/>
  <c r="BN203" i="1"/>
  <c r="AH170" i="1"/>
  <c r="BR189" i="1"/>
  <c r="CQ192" i="1"/>
  <c r="CI222" i="1"/>
  <c r="BN243" i="1"/>
  <c r="BR208" i="1"/>
  <c r="DE236" i="1"/>
  <c r="EC214" i="1"/>
  <c r="CW224" i="1"/>
  <c r="BM229" i="1"/>
  <c r="BC191" i="1"/>
  <c r="CL205" i="1"/>
  <c r="BB195" i="1"/>
  <c r="CS209" i="1"/>
  <c r="BM212" i="1"/>
  <c r="BZ163" i="1"/>
  <c r="DN228" i="1"/>
  <c r="DJ243" i="1"/>
  <c r="DB226" i="1"/>
  <c r="AK221" i="1"/>
  <c r="BZ222" i="1"/>
  <c r="BQ242" i="1"/>
  <c r="BZ196" i="1"/>
  <c r="AG197" i="1"/>
  <c r="BM237" i="1"/>
  <c r="AV218" i="1"/>
  <c r="BP169" i="1"/>
  <c r="AR240" i="1"/>
  <c r="CK224" i="1"/>
  <c r="CX202" i="1"/>
  <c r="AR176" i="1"/>
  <c r="DK209" i="1"/>
  <c r="CB243" i="1"/>
  <c r="AN218" i="1"/>
  <c r="CI184" i="1"/>
  <c r="DJ221" i="1"/>
  <c r="CW229" i="1"/>
  <c r="AO196" i="1"/>
  <c r="AX195" i="1"/>
  <c r="DY237" i="1"/>
  <c r="AZ194" i="1"/>
  <c r="AV216" i="1"/>
  <c r="DW196" i="1"/>
  <c r="BD196" i="1"/>
  <c r="AN231" i="1"/>
  <c r="DK236" i="1"/>
  <c r="AN197" i="1"/>
  <c r="CT227" i="1"/>
  <c r="CQ238" i="1"/>
  <c r="CD208" i="1"/>
  <c r="BB227" i="1"/>
  <c r="CC216" i="1"/>
  <c r="DV198" i="1"/>
  <c r="DY174" i="1"/>
  <c r="BR174" i="1"/>
  <c r="CY192" i="1"/>
  <c r="DY165" i="1"/>
  <c r="BO213" i="1"/>
  <c r="DD167" i="1"/>
  <c r="DZ198" i="1"/>
  <c r="BM216" i="1"/>
  <c r="CW235" i="1"/>
  <c r="BM171" i="1"/>
  <c r="CV224" i="1"/>
  <c r="AL171" i="1"/>
  <c r="BE186" i="1"/>
  <c r="CN207" i="1"/>
  <c r="DA186" i="1"/>
  <c r="CP208" i="1"/>
  <c r="AL183" i="1"/>
  <c r="BH179" i="1"/>
  <c r="BD207" i="1"/>
  <c r="DE172" i="1"/>
  <c r="DT170" i="1"/>
  <c r="BB174" i="1"/>
  <c r="BM242" i="1"/>
  <c r="DY188" i="1"/>
  <c r="DY242" i="1"/>
  <c r="DQ221" i="1"/>
  <c r="BJ208" i="1"/>
  <c r="DQ217" i="1"/>
  <c r="AU217" i="1"/>
  <c r="CU209" i="1"/>
  <c r="DK240" i="1"/>
  <c r="CA178" i="1"/>
  <c r="BW191" i="1"/>
  <c r="AK164" i="1"/>
  <c r="DS214" i="1"/>
  <c r="CH163" i="1"/>
  <c r="DO225" i="1"/>
  <c r="DB216" i="1"/>
  <c r="DR240" i="1"/>
  <c r="AN209" i="1"/>
  <c r="CR165" i="1"/>
  <c r="CR235" i="1"/>
  <c r="DP195" i="1"/>
  <c r="CE179" i="1"/>
  <c r="DM236" i="1"/>
  <c r="CR164" i="1"/>
  <c r="DG169" i="1"/>
  <c r="CH189" i="1"/>
  <c r="CT205" i="1"/>
  <c r="BQ235" i="1"/>
  <c r="DB208" i="1"/>
  <c r="BR240" i="1"/>
  <c r="DN208" i="1"/>
  <c r="CU217" i="1"/>
  <c r="BE203" i="1"/>
  <c r="AT182" i="1"/>
  <c r="CV165" i="1"/>
  <c r="CB190" i="1"/>
  <c r="AT239" i="1"/>
  <c r="BP242" i="1"/>
  <c r="DS211" i="1"/>
  <c r="CJ239" i="1"/>
  <c r="CY165" i="1"/>
  <c r="CQ171" i="1"/>
  <c r="BP184" i="1"/>
  <c r="DJ226" i="1"/>
  <c r="AW218" i="1"/>
  <c r="CP214" i="1"/>
  <c r="DN165" i="1"/>
  <c r="AJ227" i="1"/>
  <c r="AU214" i="1"/>
  <c r="BQ210" i="1"/>
  <c r="CD236" i="1"/>
  <c r="DZ173" i="1"/>
  <c r="DF240" i="1"/>
  <c r="CP209" i="1"/>
  <c r="BB164" i="1"/>
  <c r="AX202" i="1"/>
  <c r="AJ207" i="1"/>
  <c r="AQ224" i="1"/>
  <c r="CQ206" i="1"/>
  <c r="BL202" i="1"/>
  <c r="BO203" i="1"/>
  <c r="DQ205" i="1"/>
  <c r="DZ215" i="1"/>
  <c r="DA239" i="1"/>
  <c r="DJ238" i="1"/>
  <c r="DM227" i="1"/>
  <c r="EA230" i="1"/>
  <c r="BK190" i="1"/>
  <c r="BH236" i="1"/>
  <c r="CJ222" i="1"/>
  <c r="CA205" i="1"/>
  <c r="EB179" i="1"/>
  <c r="CP211" i="1"/>
  <c r="AQ238" i="1"/>
  <c r="CS184" i="1"/>
  <c r="BG227" i="1"/>
  <c r="BI225" i="1"/>
  <c r="DF200" i="1"/>
  <c r="BF207" i="1"/>
  <c r="BV181" i="1"/>
  <c r="CL204" i="1"/>
  <c r="CQ243" i="1"/>
  <c r="BX183" i="1"/>
  <c r="AP224" i="1"/>
  <c r="DQ220" i="1"/>
  <c r="DQ186" i="1"/>
  <c r="BG192" i="1"/>
  <c r="BM197" i="1"/>
  <c r="CU218" i="1"/>
  <c r="AX243" i="1"/>
  <c r="AN222" i="1"/>
  <c r="DA243" i="1"/>
  <c r="BI201" i="1"/>
  <c r="DY226" i="1"/>
  <c r="BD185" i="1"/>
  <c r="BB184" i="1"/>
  <c r="BL179" i="1"/>
  <c r="EA180" i="1"/>
  <c r="DX240" i="1"/>
  <c r="BW231" i="1"/>
  <c r="BD241" i="1"/>
  <c r="DQ207" i="1"/>
  <c r="AX185" i="1"/>
  <c r="CD190" i="1"/>
  <c r="CO238" i="1"/>
  <c r="DD235" i="1"/>
  <c r="AP182" i="1"/>
  <c r="CB229" i="1"/>
  <c r="CS206" i="1"/>
  <c r="BU186" i="1"/>
  <c r="CN191" i="1"/>
  <c r="AY184" i="1"/>
  <c r="CU207" i="1"/>
  <c r="BB224" i="1"/>
  <c r="DN243" i="1"/>
  <c r="BE164" i="1"/>
  <c r="CX198" i="1"/>
  <c r="CT208" i="1"/>
  <c r="AJ162" i="1"/>
  <c r="CH192" i="1"/>
  <c r="BV242" i="1"/>
  <c r="DI234" i="1"/>
  <c r="BE231" i="1"/>
  <c r="DT218" i="1"/>
  <c r="DO207" i="1"/>
  <c r="DC203" i="1"/>
  <c r="CA236" i="1"/>
  <c r="AY186" i="1"/>
  <c r="CW209" i="1"/>
  <c r="BS205" i="1"/>
  <c r="CV184" i="1"/>
  <c r="AG174" i="1"/>
  <c r="AQ171" i="1"/>
  <c r="AG184" i="1"/>
  <c r="EA177" i="1"/>
  <c r="AK227" i="1"/>
  <c r="DM196" i="1"/>
  <c r="AP165" i="1"/>
  <c r="DJ179" i="1"/>
  <c r="AL211" i="1"/>
  <c r="DX239" i="1"/>
  <c r="CF215" i="1"/>
  <c r="AO242" i="1"/>
  <c r="CC181" i="1"/>
  <c r="AZ209" i="1"/>
  <c r="BD225" i="1"/>
  <c r="BJ171" i="1"/>
  <c r="CM175" i="1"/>
  <c r="CO196" i="1"/>
  <c r="CF243" i="1"/>
  <c r="CB195" i="1"/>
  <c r="EB183" i="1"/>
  <c r="CV208" i="1"/>
  <c r="DZ177" i="1"/>
  <c r="CZ216" i="1"/>
  <c r="BO211" i="1"/>
  <c r="DZ230" i="1"/>
  <c r="DR208" i="1"/>
  <c r="AY211" i="1"/>
  <c r="AT240" i="1"/>
  <c r="BA227" i="1"/>
  <c r="BC236" i="1"/>
  <c r="CC167" i="1"/>
  <c r="DM186" i="1"/>
  <c r="AI208" i="1"/>
  <c r="BG209" i="1"/>
  <c r="BT238" i="1"/>
  <c r="DF216" i="1"/>
  <c r="CK236" i="1"/>
  <c r="CI203" i="1"/>
  <c r="DF173" i="1"/>
  <c r="CA235" i="1"/>
  <c r="DR221" i="1"/>
  <c r="CO211" i="1"/>
  <c r="BG216" i="1"/>
  <c r="CK205" i="1"/>
  <c r="AQ174" i="1"/>
  <c r="AI237" i="1"/>
  <c r="BY171" i="1"/>
  <c r="DB219" i="1"/>
  <c r="AS221" i="1"/>
  <c r="CC180" i="1"/>
  <c r="BE209" i="1"/>
  <c r="AI205" i="1"/>
  <c r="CC177" i="1"/>
  <c r="BX214" i="1"/>
  <c r="AL212" i="1"/>
  <c r="CJ186" i="1"/>
  <c r="AZ167" i="1"/>
  <c r="CE191" i="1"/>
  <c r="DB182" i="1"/>
  <c r="AW209" i="1"/>
  <c r="BS165" i="1"/>
  <c r="CU208" i="1"/>
  <c r="AZ221" i="1"/>
  <c r="BX186" i="1"/>
  <c r="BN223" i="1"/>
  <c r="CY201" i="1"/>
  <c r="BA216" i="1"/>
  <c r="DB205" i="1"/>
  <c r="BO200" i="1"/>
  <c r="AX197" i="1"/>
  <c r="DX205" i="1"/>
  <c r="BW183" i="1"/>
  <c r="CR240" i="1"/>
  <c r="CM243" i="1"/>
  <c r="AW174" i="1"/>
  <c r="BJ174" i="1"/>
  <c r="DD191" i="1"/>
  <c r="DK207" i="1"/>
  <c r="AS165" i="1"/>
  <c r="AJ186" i="1"/>
  <c r="DD189" i="1"/>
  <c r="DQ243" i="1"/>
  <c r="CS205" i="1"/>
  <c r="AQ201" i="1"/>
  <c r="DH242" i="1"/>
  <c r="BU217" i="1"/>
  <c r="CS224" i="1"/>
  <c r="DW217" i="1"/>
  <c r="BF182" i="1"/>
  <c r="BJ242" i="1"/>
  <c r="DA227" i="1"/>
  <c r="DJ214" i="1"/>
  <c r="DA173" i="1"/>
  <c r="CG177" i="1"/>
  <c r="CS208" i="1"/>
  <c r="CU204" i="1"/>
  <c r="DE242" i="1"/>
  <c r="CW186" i="1"/>
  <c r="BA236" i="1"/>
  <c r="AZ227" i="1"/>
  <c r="CA179" i="1"/>
  <c r="BW175" i="1"/>
  <c r="CU205" i="1"/>
  <c r="BS235" i="1"/>
  <c r="BH241" i="1"/>
  <c r="BF205" i="1"/>
  <c r="CA203" i="1"/>
  <c r="BG189" i="1"/>
  <c r="CC179" i="1"/>
  <c r="DM170" i="1"/>
  <c r="AG240" i="1"/>
  <c r="CU170" i="1"/>
  <c r="DQ179" i="1"/>
  <c r="AW184" i="1"/>
  <c r="DV169" i="1"/>
  <c r="CY185" i="1"/>
  <c r="AS238" i="1"/>
  <c r="AL194" i="1"/>
  <c r="DZ212" i="1"/>
  <c r="BK179" i="1"/>
  <c r="DJ236" i="1"/>
  <c r="BR227" i="1"/>
  <c r="CO218" i="1"/>
  <c r="AS217" i="1"/>
  <c r="BB212" i="1"/>
  <c r="CB171" i="1"/>
  <c r="DI228" i="1"/>
  <c r="AL227" i="1"/>
  <c r="DO171" i="1"/>
  <c r="BO201" i="1"/>
  <c r="CM171" i="1"/>
  <c r="AO210" i="1"/>
  <c r="BF235" i="1"/>
  <c r="CD239" i="1"/>
  <c r="CF182" i="1"/>
  <c r="DG231" i="1"/>
  <c r="DO221" i="1"/>
  <c r="DV189" i="1"/>
  <c r="DY227" i="1"/>
  <c r="BQ195" i="1"/>
  <c r="BT229" i="1"/>
  <c r="DP177" i="1"/>
  <c r="CM173" i="1"/>
  <c r="DG205" i="1"/>
  <c r="BX200" i="1"/>
  <c r="DX195" i="1"/>
  <c r="AG186" i="1"/>
  <c r="DT205" i="1"/>
  <c r="DS208" i="1"/>
  <c r="BI243" i="1"/>
  <c r="AG202" i="1"/>
  <c r="AG243" i="1"/>
  <c r="CY202" i="1"/>
  <c r="CY220" i="1"/>
  <c r="DD236" i="1"/>
  <c r="BF164" i="1"/>
  <c r="DY216" i="1"/>
  <c r="BQ207" i="1"/>
  <c r="CR236" i="1"/>
  <c r="DU232" i="1"/>
  <c r="DU220" i="1"/>
  <c r="CV183" i="1"/>
  <c r="DF235" i="1"/>
  <c r="BE218" i="1"/>
  <c r="AW231" i="1"/>
  <c r="BV224" i="1"/>
  <c r="AW230" i="1"/>
  <c r="DE224" i="1"/>
  <c r="DI211" i="1"/>
  <c r="DE205" i="1"/>
  <c r="BE243" i="1"/>
  <c r="CM198" i="1"/>
  <c r="AK179" i="1"/>
  <c r="DY168" i="1"/>
  <c r="AN174" i="1"/>
  <c r="AX220" i="1"/>
  <c r="BW194" i="1"/>
  <c r="BN199" i="1"/>
  <c r="BR195" i="1"/>
  <c r="EA198" i="1"/>
  <c r="DQ189" i="1"/>
  <c r="DC233" i="1"/>
  <c r="AN179" i="1"/>
  <c r="AK172" i="1"/>
  <c r="CA217" i="1"/>
  <c r="AQ169" i="1"/>
  <c r="CD207" i="1"/>
  <c r="CF222" i="1"/>
  <c r="AW243" i="1"/>
  <c r="DH169" i="1"/>
  <c r="DE191" i="1"/>
  <c r="DP184" i="1"/>
  <c r="AW183" i="1"/>
  <c r="BA179" i="1"/>
  <c r="CX207" i="1"/>
  <c r="AU162" i="1"/>
  <c r="AX207" i="1"/>
  <c r="AK176" i="1"/>
  <c r="BP221" i="1"/>
  <c r="AK188" i="1"/>
  <c r="CN233" i="1"/>
  <c r="CL169" i="1"/>
  <c r="BG235" i="1"/>
  <c r="BG206" i="1"/>
  <c r="AQ164" i="1"/>
  <c r="DW211" i="1"/>
  <c r="AY231" i="1"/>
  <c r="BC214" i="1"/>
  <c r="BA235" i="1"/>
  <c r="BJ201" i="1"/>
  <c r="BY217" i="1"/>
  <c r="EC191" i="1"/>
  <c r="BS211" i="1"/>
  <c r="DL188" i="1"/>
  <c r="AP229" i="1"/>
  <c r="DW183" i="1"/>
  <c r="CJ174" i="1"/>
  <c r="CI204" i="1"/>
  <c r="BW217" i="1"/>
  <c r="DK164" i="1"/>
  <c r="AJ230" i="1"/>
  <c r="AJ205" i="1"/>
  <c r="CZ196" i="1"/>
  <c r="AY241" i="1"/>
  <c r="AG189" i="1"/>
  <c r="DI195" i="1"/>
  <c r="AO208" i="1"/>
  <c r="AY243" i="1"/>
  <c r="AZ188" i="1"/>
  <c r="DY182" i="1"/>
  <c r="CL220" i="1"/>
  <c r="AG213" i="1"/>
  <c r="DR220" i="1"/>
  <c r="AG205" i="1"/>
  <c r="CS223" i="1"/>
  <c r="AL196" i="1"/>
  <c r="DW189" i="1"/>
  <c r="AG218" i="1"/>
  <c r="CH220" i="1"/>
  <c r="BR183" i="1"/>
  <c r="CX216" i="1"/>
  <c r="AG230" i="1"/>
  <c r="AG175" i="1"/>
  <c r="BC173" i="1"/>
  <c r="AK171" i="1"/>
  <c r="CF206" i="1"/>
  <c r="AY230" i="1"/>
  <c r="AX235" i="1"/>
  <c r="BG217" i="1"/>
  <c r="AG196" i="1"/>
  <c r="EB182" i="1"/>
  <c r="BM188" i="1"/>
  <c r="EB240" i="1"/>
  <c r="BP206" i="1"/>
  <c r="AS208" i="1"/>
  <c r="CB209" i="1"/>
  <c r="DM220" i="1"/>
  <c r="CE231" i="1"/>
  <c r="CY208" i="1"/>
  <c r="DH192" i="1"/>
  <c r="CW208" i="1"/>
  <c r="CA215" i="1"/>
  <c r="AG241" i="1"/>
  <c r="AT207" i="1"/>
  <c r="DQ171" i="1"/>
  <c r="CL214" i="1"/>
  <c r="DV205" i="1"/>
  <c r="CR194" i="1"/>
  <c r="BJ235" i="1"/>
  <c r="AG215" i="1"/>
  <c r="CT242" i="1"/>
  <c r="CG159" i="1"/>
  <c r="BW159" i="1"/>
  <c r="CS147" i="1"/>
  <c r="CT143" i="1"/>
  <c r="CZ143" i="1"/>
  <c r="BQ148" i="1"/>
  <c r="DD151" i="1"/>
  <c r="DN151" i="1"/>
  <c r="DH160" i="1"/>
  <c r="AY160" i="1"/>
  <c r="BU149" i="1"/>
  <c r="BU154" i="1"/>
  <c r="CG154" i="1"/>
  <c r="AS153" i="1"/>
  <c r="BB155" i="1"/>
  <c r="BD155" i="1"/>
  <c r="BR145" i="1"/>
  <c r="BE159" i="1"/>
  <c r="DV159" i="1"/>
  <c r="CQ147" i="1"/>
  <c r="DL147" i="1"/>
  <c r="AS143" i="1"/>
  <c r="BI148" i="1"/>
  <c r="DZ148" i="1"/>
  <c r="DP151" i="1"/>
  <c r="AN151" i="1"/>
  <c r="DY160" i="1"/>
  <c r="DH149" i="1"/>
  <c r="CL149" i="1"/>
  <c r="BE154" i="1"/>
  <c r="DW153" i="1"/>
  <c r="BG153" i="1"/>
  <c r="CA155" i="1"/>
  <c r="DD155" i="1"/>
  <c r="AT145" i="1"/>
  <c r="CZ159" i="1"/>
  <c r="CB147" i="1"/>
  <c r="DF147" i="1"/>
  <c r="AW143" i="1"/>
  <c r="BS143" i="1"/>
  <c r="CD148" i="1"/>
  <c r="CP151" i="1"/>
  <c r="DE151" i="1"/>
  <c r="AI160" i="1"/>
  <c r="AZ149" i="1"/>
  <c r="CA149" i="1"/>
  <c r="DB154" i="1"/>
  <c r="DV153" i="1"/>
  <c r="DO153" i="1"/>
  <c r="AM155" i="1"/>
  <c r="CU155" i="1"/>
  <c r="BZ159" i="1"/>
  <c r="AV159" i="1"/>
  <c r="BW147" i="1"/>
  <c r="DB143" i="1"/>
  <c r="AJ143" i="1"/>
  <c r="BG148" i="1"/>
  <c r="CO148" i="1"/>
  <c r="AZ151" i="1"/>
  <c r="DS160" i="1"/>
  <c r="CA160" i="1"/>
  <c r="AT149" i="1"/>
  <c r="BI154" i="1"/>
  <c r="BK154" i="1"/>
  <c r="CO153" i="1"/>
  <c r="BR155" i="1"/>
  <c r="CY155" i="1"/>
  <c r="EB145" i="1"/>
  <c r="BW176" i="1"/>
  <c r="CB182" i="1"/>
  <c r="BI220" i="1"/>
  <c r="EB229" i="1"/>
  <c r="CS217" i="1"/>
  <c r="DJ167" i="1"/>
  <c r="BQ237" i="1"/>
  <c r="CR212" i="1"/>
  <c r="DX224" i="1"/>
  <c r="BT240" i="1"/>
  <c r="AM200" i="1"/>
  <c r="DT242" i="1"/>
  <c r="BD208" i="1"/>
  <c r="CY227" i="1"/>
  <c r="CI239" i="1"/>
  <c r="AW165" i="1"/>
  <c r="CG220" i="1"/>
  <c r="EA243" i="1"/>
  <c r="AX194" i="1"/>
  <c r="BS220" i="1"/>
  <c r="DN235" i="1"/>
  <c r="AP239" i="1"/>
  <c r="BX224" i="1"/>
  <c r="AG234" i="1"/>
  <c r="BC238" i="1"/>
  <c r="EC209" i="1"/>
  <c r="BA223" i="1"/>
  <c r="CI164" i="1"/>
  <c r="DT222" i="1"/>
  <c r="DT211" i="1"/>
  <c r="CG188" i="1"/>
  <c r="AG169" i="1"/>
  <c r="CS231" i="1"/>
  <c r="DB221" i="1"/>
  <c r="BI231" i="1"/>
  <c r="BR211" i="1"/>
  <c r="CV236" i="1"/>
  <c r="CD221" i="1"/>
  <c r="AR173" i="1"/>
  <c r="DV222" i="1"/>
  <c r="AW217" i="1"/>
  <c r="CN222" i="1"/>
  <c r="AM216" i="1"/>
  <c r="BG233" i="1"/>
  <c r="CH171" i="1"/>
  <c r="AI221" i="1"/>
  <c r="DY164" i="1"/>
  <c r="BG232" i="1"/>
  <c r="CH202" i="1"/>
  <c r="CL224" i="1"/>
  <c r="BU211" i="1"/>
  <c r="AO209" i="1"/>
  <c r="DG222" i="1"/>
  <c r="CR173" i="1"/>
  <c r="BG182" i="1"/>
  <c r="CN211" i="1"/>
  <c r="DT207" i="1"/>
  <c r="BA233" i="1"/>
  <c r="AU231" i="1"/>
  <c r="CN219" i="1"/>
  <c r="AG178" i="1"/>
  <c r="CN164" i="1"/>
  <c r="AU173" i="1"/>
  <c r="EA216" i="1"/>
  <c r="CW191" i="1"/>
  <c r="DO240" i="1"/>
  <c r="AP204" i="1"/>
  <c r="DO243" i="1"/>
  <c r="BU182" i="1"/>
  <c r="DD208" i="1"/>
  <c r="DV215" i="1"/>
  <c r="DY184" i="1"/>
  <c r="DL169" i="1"/>
  <c r="CJ165" i="1"/>
  <c r="AG233" i="1"/>
  <c r="BB183" i="1"/>
  <c r="AU168" i="1"/>
  <c r="DM228" i="1"/>
  <c r="DG243" i="1"/>
  <c r="DP187" i="1"/>
  <c r="CE209" i="1"/>
  <c r="AG210" i="1"/>
  <c r="BX216" i="1"/>
  <c r="AG212" i="1"/>
  <c r="AR180" i="1"/>
  <c r="CM224" i="1"/>
  <c r="CW195" i="1"/>
  <c r="DS217" i="1"/>
  <c r="BM230" i="1"/>
  <c r="BP178" i="1"/>
  <c r="AG182" i="1"/>
  <c r="AU166" i="1"/>
  <c r="AG201" i="1"/>
  <c r="AG209" i="1"/>
  <c r="AG238" i="1"/>
  <c r="Z41" i="1"/>
  <c r="EB174" i="1"/>
  <c r="CY214" i="1"/>
  <c r="AZ233" i="1"/>
  <c r="DE233" i="1"/>
  <c r="DD195" i="1"/>
  <c r="CK235" i="1"/>
  <c r="AM203" i="1"/>
  <c r="DC159" i="1"/>
  <c r="DZ147" i="1"/>
  <c r="BI147" i="1"/>
  <c r="DP143" i="1"/>
  <c r="DV143" i="1"/>
  <c r="AK148" i="1"/>
  <c r="AX151" i="1"/>
  <c r="CR151" i="1"/>
  <c r="CW160" i="1"/>
  <c r="CO149" i="1"/>
  <c r="DT149" i="1"/>
  <c r="DV154" i="1"/>
  <c r="AX153" i="1"/>
  <c r="DR153" i="1"/>
  <c r="CT155" i="1"/>
  <c r="CV155" i="1"/>
  <c r="BM145" i="1"/>
  <c r="AX159" i="1"/>
  <c r="DH159" i="1"/>
  <c r="CE147" i="1"/>
  <c r="DV147" i="1"/>
  <c r="BB143" i="1"/>
  <c r="BK148" i="1"/>
  <c r="BS148" i="1"/>
  <c r="BG151" i="1"/>
  <c r="DU160" i="1"/>
  <c r="BH160" i="1"/>
  <c r="BP149" i="1"/>
  <c r="DE149" i="1"/>
  <c r="DN154" i="1"/>
  <c r="AI153" i="1"/>
  <c r="CV153" i="1"/>
  <c r="DV155" i="1"/>
  <c r="BO145" i="1"/>
  <c r="BH145" i="1"/>
  <c r="BN159" i="1"/>
  <c r="AQ147" i="1"/>
  <c r="BZ147" i="1"/>
  <c r="BV143" i="1"/>
  <c r="BW148" i="1"/>
  <c r="BT148" i="1"/>
  <c r="EB151" i="1"/>
  <c r="DY151" i="1"/>
  <c r="DV211" i="1"/>
  <c r="AH163" i="1"/>
  <c r="DH220" i="1"/>
  <c r="DG227" i="1"/>
  <c r="BJ224" i="1"/>
  <c r="CZ228" i="1"/>
  <c r="CV227" i="1"/>
  <c r="BS218" i="1"/>
  <c r="CK208" i="1"/>
  <c r="BC203" i="1"/>
  <c r="AM195" i="1"/>
  <c r="BY172" i="1"/>
  <c r="DK227" i="1"/>
  <c r="BT179" i="1"/>
  <c r="CR231" i="1"/>
  <c r="CR176" i="1"/>
  <c r="DU241" i="1"/>
  <c r="DH179" i="1"/>
  <c r="DX243" i="1"/>
  <c r="BC179" i="1"/>
  <c r="EA168" i="1"/>
  <c r="CU179" i="1"/>
  <c r="CX196" i="1"/>
  <c r="CO185" i="1"/>
  <c r="CL190" i="1"/>
  <c r="BN193" i="1"/>
  <c r="EA169" i="1"/>
  <c r="CR211" i="1"/>
  <c r="AG171" i="1"/>
  <c r="AR223" i="1"/>
  <c r="AN195" i="1"/>
  <c r="AU211" i="1"/>
  <c r="CQ207" i="1"/>
  <c r="AZ202" i="1"/>
  <c r="DL216" i="1"/>
  <c r="AI225" i="1"/>
  <c r="EB224" i="1"/>
  <c r="AP235" i="1"/>
  <c r="CK243" i="1"/>
  <c r="BH243" i="1"/>
  <c r="CW162" i="1"/>
  <c r="BW243" i="1"/>
  <c r="EA220" i="1"/>
  <c r="CD205" i="1"/>
  <c r="CO173" i="1"/>
  <c r="BV196" i="1"/>
  <c r="AQ165" i="1"/>
  <c r="CJ215" i="1"/>
  <c r="BN194" i="1"/>
  <c r="AI207" i="1"/>
  <c r="CR208" i="1"/>
  <c r="DY199" i="1"/>
  <c r="CT162" i="1"/>
  <c r="AL224" i="1"/>
  <c r="AS212" i="1"/>
  <c r="CU206" i="1"/>
  <c r="BH166" i="1"/>
  <c r="AG163" i="1"/>
  <c r="AP222" i="1"/>
  <c r="CC164" i="1"/>
  <c r="DO242" i="1"/>
  <c r="BZ194" i="1"/>
  <c r="CK228" i="1"/>
  <c r="BZ235" i="1"/>
  <c r="AH235" i="1"/>
  <c r="DO182" i="1"/>
  <c r="AG193" i="1"/>
  <c r="DS180" i="1"/>
  <c r="CN190" i="1"/>
  <c r="AW224" i="1"/>
  <c r="CU164" i="1"/>
  <c r="CS200" i="1"/>
  <c r="DA196" i="1"/>
  <c r="CD196" i="1"/>
  <c r="DP204" i="1"/>
  <c r="AM182" i="1"/>
  <c r="BY240" i="1"/>
  <c r="DH164" i="1"/>
  <c r="CI162" i="1"/>
  <c r="AG232" i="1"/>
  <c r="DG206" i="1"/>
  <c r="BK230" i="1"/>
  <c r="AJ184" i="1"/>
  <c r="AG168" i="1"/>
  <c r="CO165" i="1"/>
  <c r="AG219" i="1"/>
  <c r="BM192" i="1"/>
  <c r="AU167" i="1"/>
  <c r="BL168" i="1"/>
  <c r="EC220" i="1"/>
  <c r="AG179" i="1"/>
  <c r="AK240" i="1"/>
  <c r="DJ188" i="1"/>
  <c r="DM201" i="1"/>
  <c r="AG208" i="1"/>
  <c r="AG194" i="1"/>
  <c r="BB171" i="1"/>
  <c r="DG174" i="1"/>
  <c r="DV217" i="1"/>
  <c r="AZ178" i="1"/>
  <c r="DB224" i="1"/>
  <c r="CX233" i="1"/>
  <c r="AG191" i="1"/>
  <c r="DM159" i="1"/>
  <c r="DK147" i="1"/>
  <c r="BR147" i="1"/>
  <c r="AN143" i="1"/>
  <c r="DZ143" i="1"/>
  <c r="DU148" i="1"/>
  <c r="BQ151" i="1"/>
  <c r="CF151" i="1"/>
  <c r="AM160" i="1"/>
  <c r="AU149" i="1"/>
  <c r="CY149" i="1"/>
  <c r="DF154" i="1"/>
  <c r="BO153" i="1"/>
  <c r="CX153" i="1"/>
  <c r="DW155" i="1"/>
  <c r="CF155" i="1"/>
  <c r="AV145" i="1"/>
  <c r="CW159" i="1"/>
  <c r="AU159" i="1"/>
  <c r="BG147" i="1"/>
  <c r="AU143" i="1"/>
  <c r="BA143" i="1"/>
  <c r="DS148" i="1"/>
  <c r="CV148" i="1"/>
  <c r="AP151" i="1"/>
  <c r="CV160" i="1"/>
  <c r="DV160" i="1"/>
  <c r="BD149" i="1"/>
  <c r="DU154" i="1"/>
  <c r="AI154" i="1"/>
  <c r="EA153" i="1"/>
  <c r="DS153" i="1"/>
  <c r="AP155" i="1"/>
  <c r="DK145" i="1"/>
  <c r="BJ145" i="1"/>
  <c r="BM159" i="1"/>
  <c r="BA147" i="1"/>
  <c r="CJ147" i="1"/>
  <c r="AK143" i="1"/>
  <c r="AV148" i="1"/>
  <c r="DV148" i="1"/>
  <c r="DK151" i="1"/>
  <c r="AJ151" i="1"/>
  <c r="CH160" i="1"/>
  <c r="BN149" i="1"/>
  <c r="CS149" i="1"/>
  <c r="AW154" i="1"/>
  <c r="AG153" i="1"/>
  <c r="CC153" i="1"/>
  <c r="AY155" i="1"/>
  <c r="BP145" i="1"/>
  <c r="AQ159" i="1"/>
  <c r="CS159" i="1"/>
  <c r="DQ147" i="1"/>
  <c r="DM143" i="1"/>
  <c r="AL143" i="1"/>
  <c r="AO148" i="1"/>
  <c r="CY151" i="1"/>
  <c r="DG151" i="1"/>
  <c r="BW160" i="1"/>
  <c r="BG243" i="1"/>
  <c r="EC167" i="1"/>
  <c r="CY225" i="1"/>
  <c r="AP189" i="1"/>
  <c r="CJ231" i="1"/>
  <c r="CQ214" i="1"/>
  <c r="CS238" i="1"/>
  <c r="CX243" i="1"/>
  <c r="DK180" i="1"/>
  <c r="CT234" i="1"/>
  <c r="AG176" i="1"/>
  <c r="AO205" i="1"/>
  <c r="AX227" i="1"/>
  <c r="DU235" i="1"/>
  <c r="CX165" i="1"/>
  <c r="AH220" i="1"/>
  <c r="DV194" i="1"/>
  <c r="BR192" i="1"/>
  <c r="CQ194" i="1"/>
  <c r="CE197" i="1"/>
  <c r="BS242" i="1"/>
  <c r="CC171" i="1"/>
  <c r="AN202" i="1"/>
  <c r="CD182" i="1"/>
  <c r="AZ174" i="1"/>
  <c r="AN230" i="1"/>
  <c r="AY163" i="1"/>
  <c r="BE174" i="1"/>
  <c r="AP209" i="1"/>
  <c r="AV233" i="1"/>
  <c r="CK165" i="1"/>
  <c r="DZ233" i="1"/>
  <c r="DP162" i="1"/>
  <c r="AQ180" i="1"/>
  <c r="BZ173" i="1"/>
  <c r="AR191" i="1"/>
  <c r="AG226" i="1"/>
  <c r="CP167" i="1"/>
  <c r="CB166" i="1"/>
  <c r="BJ190" i="1"/>
  <c r="BE233" i="1"/>
  <c r="EB164" i="1"/>
  <c r="DI217" i="1"/>
  <c r="BZ195" i="1"/>
  <c r="AU196" i="1"/>
  <c r="CU189" i="1"/>
  <c r="BH165" i="1"/>
  <c r="CA165" i="1"/>
  <c r="BE206" i="1"/>
  <c r="BS168" i="1"/>
  <c r="DP238" i="1"/>
  <c r="BP165" i="1"/>
  <c r="BZ216" i="1"/>
  <c r="CB184" i="1"/>
  <c r="BQ206" i="1"/>
  <c r="CE182" i="1"/>
  <c r="EC180" i="1"/>
  <c r="AG217" i="1"/>
  <c r="EB196" i="1"/>
  <c r="AI173" i="1"/>
  <c r="EA221" i="1"/>
  <c r="BD194" i="1"/>
  <c r="CY198" i="1"/>
  <c r="BF191" i="1"/>
  <c r="CD200" i="1"/>
  <c r="DH236" i="1"/>
  <c r="AU235" i="1"/>
  <c r="AO164" i="1"/>
  <c r="DV168" i="1"/>
  <c r="DC184" i="1"/>
  <c r="AG211" i="1"/>
  <c r="BN236" i="1"/>
  <c r="BO193" i="1"/>
  <c r="DD216" i="1"/>
  <c r="BA206" i="1"/>
  <c r="DR171" i="1"/>
  <c r="DW188" i="1"/>
  <c r="BG162" i="1"/>
  <c r="AK191" i="1"/>
  <c r="BQ188" i="1"/>
  <c r="BC165" i="1"/>
  <c r="BT180" i="1"/>
  <c r="CN235" i="1"/>
  <c r="AG216" i="1"/>
  <c r="AG242" i="1"/>
  <c r="BQ173" i="1"/>
  <c r="AH202" i="1"/>
  <c r="BD184" i="1"/>
  <c r="DN193" i="1"/>
  <c r="BJ220" i="1"/>
  <c r="BA174" i="1"/>
  <c r="AM207" i="1"/>
  <c r="AT206" i="1"/>
  <c r="CZ173" i="1"/>
  <c r="BM231" i="1"/>
  <c r="AG225" i="1"/>
  <c r="AK173" i="1"/>
  <c r="AT236" i="1"/>
  <c r="AN242" i="1"/>
  <c r="DC162" i="1"/>
  <c r="CU214" i="1"/>
  <c r="BL183" i="1"/>
  <c r="BU210" i="1"/>
  <c r="CI186" i="1"/>
  <c r="BH238" i="1"/>
  <c r="BV220" i="1"/>
  <c r="DG237" i="1"/>
  <c r="CX183" i="1"/>
  <c r="BN209" i="1"/>
  <c r="DV174" i="1"/>
  <c r="BJ239" i="1"/>
  <c r="CN206" i="1"/>
  <c r="DR203" i="1"/>
  <c r="DP208" i="1"/>
  <c r="CE207" i="1"/>
  <c r="BF181" i="1"/>
  <c r="AL221" i="1"/>
  <c r="BI163" i="1"/>
  <c r="EB238" i="1"/>
  <c r="AP185" i="1"/>
  <c r="DX208" i="1"/>
  <c r="DJ204" i="1"/>
  <c r="DO191" i="1"/>
  <c r="CM238" i="1"/>
  <c r="DC231" i="1"/>
  <c r="BS180" i="1"/>
  <c r="CS179" i="1"/>
  <c r="BM179" i="1"/>
  <c r="EB195" i="1"/>
  <c r="BQ228" i="1"/>
  <c r="CB216" i="1"/>
  <c r="CR214" i="1"/>
  <c r="BR236" i="1"/>
  <c r="AN229" i="1"/>
  <c r="AH164" i="1"/>
  <c r="BV208" i="1"/>
  <c r="BL222" i="1"/>
  <c r="CS182" i="1"/>
  <c r="BR201" i="1"/>
  <c r="DC216" i="1"/>
  <c r="AV202" i="1"/>
  <c r="AJ183" i="1"/>
  <c r="BJ222" i="1"/>
  <c r="AP228" i="1"/>
  <c r="AM225" i="1"/>
  <c r="BK173" i="1"/>
  <c r="CJ226" i="1"/>
  <c r="BE183" i="1"/>
  <c r="CV196" i="1"/>
  <c r="AQ167" i="1"/>
  <c r="AK243" i="1"/>
  <c r="DQ227" i="1"/>
  <c r="BK212" i="1"/>
  <c r="EB204" i="1"/>
  <c r="DQ183" i="1"/>
  <c r="DW182" i="1"/>
  <c r="CF169" i="1"/>
  <c r="BL164" i="1"/>
  <c r="AG221" i="1"/>
  <c r="DV220" i="1"/>
  <c r="AQ209" i="1"/>
  <c r="CP242" i="1"/>
  <c r="BT169" i="1"/>
  <c r="DC219" i="1"/>
  <c r="CA216" i="1"/>
  <c r="CG194" i="1"/>
  <c r="CZ186" i="1"/>
  <c r="DX215" i="1"/>
  <c r="CU197" i="1"/>
  <c r="BG226" i="1"/>
  <c r="DN204" i="1"/>
  <c r="AG198" i="1"/>
  <c r="BA207" i="1"/>
  <c r="AJ202" i="1"/>
  <c r="DQ172" i="1"/>
  <c r="BA164" i="1"/>
  <c r="DU227" i="1"/>
  <c r="CX188" i="1"/>
  <c r="DG194" i="1"/>
  <c r="AM165" i="1"/>
  <c r="AG173" i="1"/>
  <c r="DS233" i="1"/>
  <c r="CO164" i="1"/>
  <c r="AT200" i="1"/>
  <c r="DU179" i="1"/>
  <c r="AG223" i="1"/>
  <c r="AZ182" i="1"/>
  <c r="BT188" i="1"/>
  <c r="DT215" i="1"/>
  <c r="CJ223" i="1"/>
  <c r="DI199" i="1"/>
  <c r="BD222" i="1"/>
  <c r="AG162" i="1"/>
  <c r="BP195" i="1"/>
  <c r="AW239" i="1"/>
  <c r="AV200" i="1"/>
  <c r="BF166" i="1"/>
  <c r="CE216" i="1"/>
  <c r="CB185" i="1"/>
  <c r="AI192" i="1"/>
  <c r="CK230" i="1"/>
  <c r="DK237" i="1"/>
  <c r="DR205" i="1"/>
  <c r="DE159" i="1"/>
  <c r="DX159" i="1"/>
  <c r="BJ147" i="1"/>
  <c r="AN147" i="1"/>
  <c r="CN143" i="1"/>
  <c r="BR148" i="1"/>
  <c r="CP148" i="1"/>
  <c r="AV151" i="1"/>
  <c r="AP160" i="1"/>
  <c r="DB160" i="1"/>
  <c r="DD149" i="1"/>
  <c r="CV149" i="1"/>
  <c r="CS154" i="1"/>
  <c r="AM153" i="1"/>
  <c r="CK153" i="1"/>
  <c r="BW155" i="1"/>
  <c r="BE145" i="1"/>
  <c r="AW145" i="1"/>
  <c r="DR159" i="1"/>
  <c r="AL159" i="1"/>
  <c r="CN147" i="1"/>
  <c r="CW143" i="1"/>
  <c r="CM143" i="1"/>
  <c r="CS148" i="1"/>
  <c r="AY151" i="1"/>
  <c r="DZ151" i="1"/>
  <c r="BR160" i="1"/>
  <c r="DC160" i="1"/>
  <c r="BI149" i="1"/>
  <c r="CH154" i="1"/>
  <c r="CY154" i="1"/>
  <c r="AN153" i="1"/>
  <c r="DL155" i="1"/>
  <c r="DT155" i="1"/>
  <c r="CY145" i="1"/>
  <c r="CJ159" i="1"/>
  <c r="AP159" i="1"/>
  <c r="CC147" i="1"/>
  <c r="AP147" i="1"/>
  <c r="DR143" i="1"/>
  <c r="DF148" i="1"/>
  <c r="AY148" i="1"/>
  <c r="DR151" i="1"/>
  <c r="CJ160" i="1"/>
  <c r="BV160" i="1"/>
  <c r="CG149" i="1"/>
  <c r="CU154" i="1"/>
  <c r="AH154" i="1"/>
  <c r="BX153" i="1"/>
  <c r="CM153" i="1"/>
  <c r="DO155" i="1"/>
  <c r="CA145" i="1"/>
  <c r="AY159" i="1"/>
  <c r="CA147" i="1"/>
  <c r="CK147" i="1"/>
  <c r="CU143" i="1"/>
  <c r="EB148" i="1"/>
  <c r="BN148" i="1"/>
  <c r="EA151" i="1"/>
  <c r="CA151" i="1"/>
  <c r="CF160" i="1"/>
  <c r="DM212" i="1"/>
  <c r="CW192" i="1"/>
  <c r="BS200" i="1"/>
  <c r="DY207" i="1"/>
  <c r="CH236" i="1"/>
  <c r="BH211" i="1"/>
  <c r="BB187" i="1"/>
  <c r="CW202" i="1"/>
  <c r="BM183" i="1"/>
  <c r="BN214" i="1"/>
  <c r="CR166" i="1"/>
  <c r="CN183" i="1"/>
  <c r="CE162" i="1"/>
  <c r="EB222" i="1"/>
  <c r="CV235" i="1"/>
  <c r="BK171" i="1"/>
  <c r="DO175" i="1"/>
  <c r="AZ189" i="1"/>
  <c r="BI184" i="1"/>
  <c r="CH194" i="1"/>
  <c r="CF209" i="1"/>
  <c r="AL215" i="1"/>
  <c r="BU224" i="1"/>
  <c r="BG180" i="1"/>
  <c r="DS242" i="1"/>
  <c r="CZ189" i="1"/>
  <c r="DU214" i="1"/>
  <c r="CZ183" i="1"/>
  <c r="BQ215" i="1"/>
  <c r="CM191" i="1"/>
  <c r="BX209" i="1"/>
  <c r="AK225" i="1"/>
  <c r="CR191" i="1"/>
  <c r="AR242" i="1"/>
  <c r="AL200" i="1"/>
  <c r="CN186" i="1"/>
  <c r="AH179" i="1"/>
  <c r="BS183" i="1"/>
  <c r="CR222" i="1"/>
  <c r="CK198" i="1"/>
  <c r="BG190" i="1"/>
  <c r="DP202" i="1"/>
  <c r="DJ235" i="1"/>
  <c r="CZ205" i="1"/>
  <c r="BY218" i="1"/>
  <c r="BF206" i="1"/>
  <c r="AP199" i="1"/>
  <c r="CF220" i="1"/>
  <c r="DX169" i="1"/>
  <c r="BZ236" i="1"/>
  <c r="BJ196" i="1"/>
  <c r="BI209" i="1"/>
  <c r="CQ195" i="1"/>
  <c r="CS188" i="1"/>
  <c r="EA227" i="1"/>
  <c r="AP197" i="1"/>
  <c r="BZ169" i="1"/>
  <c r="BI173" i="1"/>
  <c r="AG177" i="1"/>
  <c r="AG192" i="1"/>
  <c r="DH223" i="1"/>
  <c r="AG190" i="1"/>
  <c r="DO177" i="1"/>
  <c r="CJ217" i="1"/>
  <c r="BD205" i="1"/>
  <c r="CR207" i="1"/>
  <c r="BL172" i="1"/>
  <c r="DR182" i="1"/>
  <c r="EC182" i="1"/>
  <c r="DF196" i="1"/>
  <c r="DJ195" i="1"/>
  <c r="BQ214" i="1"/>
  <c r="BY216" i="1"/>
  <c r="AY173" i="1"/>
  <c r="BQ179" i="1"/>
  <c r="DA205" i="1"/>
  <c r="DY186" i="1"/>
  <c r="BD162" i="1"/>
  <c r="BX208" i="1"/>
  <c r="AG203" i="1"/>
  <c r="AX174" i="1"/>
  <c r="CQ164" i="1"/>
  <c r="BD175" i="1"/>
  <c r="EA222" i="1"/>
  <c r="CL207" i="1"/>
  <c r="AQ240" i="1"/>
  <c r="DR243" i="1"/>
  <c r="BT183" i="1"/>
  <c r="AJ242" i="1"/>
  <c r="CW179" i="1"/>
  <c r="DY179" i="1"/>
  <c r="AG207" i="1"/>
  <c r="BL203" i="1"/>
  <c r="BU200" i="1"/>
  <c r="CF180" i="1"/>
  <c r="BH231" i="1"/>
  <c r="CX190" i="1"/>
  <c r="AZ222" i="1"/>
  <c r="DC182" i="1"/>
  <c r="DX214" i="1"/>
  <c r="EC173" i="1"/>
  <c r="DF220" i="1"/>
  <c r="AW159" i="1"/>
  <c r="BI159" i="1"/>
  <c r="BV147" i="1"/>
  <c r="AV147" i="1"/>
  <c r="AO143" i="1"/>
  <c r="CC148" i="1"/>
  <c r="DQ148" i="1"/>
  <c r="EC151" i="1"/>
  <c r="DE160" i="1"/>
  <c r="DP160" i="1"/>
  <c r="BM149" i="1"/>
  <c r="DI154" i="1"/>
  <c r="AN154" i="1"/>
  <c r="CR153" i="1"/>
  <c r="AQ153" i="1"/>
  <c r="CP155" i="1"/>
  <c r="BL145" i="1"/>
  <c r="DM145" i="1"/>
  <c r="DZ159" i="1"/>
  <c r="AT147" i="1"/>
  <c r="DH147" i="1"/>
  <c r="DQ143" i="1"/>
  <c r="DK143" i="1"/>
  <c r="CG148" i="1"/>
  <c r="BH151" i="1"/>
  <c r="AG151" i="1"/>
  <c r="AT160" i="1"/>
  <c r="AO160" i="1"/>
  <c r="CT149" i="1"/>
  <c r="DH154" i="1"/>
  <c r="AO154" i="1"/>
  <c r="DP153" i="1"/>
  <c r="AN155" i="1"/>
  <c r="DF155" i="1"/>
  <c r="AZ145" i="1"/>
  <c r="CA159" i="1"/>
  <c r="AM159" i="1"/>
  <c r="BX147" i="1"/>
  <c r="AZ143" i="1"/>
  <c r="DN143" i="1"/>
  <c r="BB148" i="1"/>
  <c r="CL148" i="1"/>
  <c r="CS151" i="1"/>
  <c r="CP160" i="1"/>
  <c r="CD160" i="1"/>
  <c r="AG149" i="1"/>
  <c r="AY154" i="1"/>
  <c r="CE154" i="1"/>
  <c r="CF153" i="1"/>
  <c r="DN155" i="1"/>
  <c r="BQ155" i="1"/>
  <c r="CM145" i="1"/>
  <c r="EC159" i="1"/>
  <c r="BU147" i="1"/>
  <c r="CG147" i="1"/>
  <c r="BW143" i="1"/>
  <c r="BD148" i="1"/>
  <c r="BY148" i="1"/>
  <c r="BO151" i="1"/>
  <c r="AK160" i="1"/>
  <c r="CM160" i="1"/>
  <c r="CD149" i="1"/>
  <c r="DM149" i="1"/>
  <c r="DQ154" i="1"/>
  <c r="BH153" i="1"/>
  <c r="DK153" i="1"/>
  <c r="AV155" i="1"/>
  <c r="CG145" i="1"/>
  <c r="BH235" i="1"/>
  <c r="DS198" i="1"/>
  <c r="CA228" i="1"/>
  <c r="DX201" i="1"/>
  <c r="AO214" i="1"/>
  <c r="AI194" i="1"/>
  <c r="CQ221" i="1"/>
  <c r="CS229" i="1"/>
  <c r="CL228" i="1"/>
  <c r="DX217" i="1"/>
  <c r="DA236" i="1"/>
  <c r="DC190" i="1"/>
  <c r="CP190" i="1"/>
  <c r="BE173" i="1"/>
  <c r="EB201" i="1"/>
  <c r="BW208" i="1"/>
  <c r="CD238" i="1"/>
  <c r="BD224" i="1"/>
  <c r="BC217" i="1"/>
  <c r="AV197" i="1"/>
  <c r="AV196" i="1"/>
  <c r="DG217" i="1"/>
  <c r="BR177" i="1"/>
  <c r="AG164" i="1"/>
  <c r="DU186" i="1"/>
  <c r="AH190" i="1"/>
  <c r="CO219" i="1"/>
  <c r="AG181" i="1"/>
  <c r="AK217" i="1"/>
  <c r="CF238" i="1"/>
  <c r="DH182" i="1"/>
  <c r="DN206" i="1"/>
  <c r="BN212" i="1"/>
  <c r="AL225" i="1"/>
  <c r="BF162" i="1"/>
  <c r="AY207" i="1"/>
  <c r="AO227" i="1"/>
  <c r="DJ220" i="1"/>
  <c r="DT165" i="1"/>
  <c r="DR235" i="1"/>
  <c r="CG173" i="1"/>
  <c r="BM187" i="1"/>
  <c r="BT236" i="1"/>
  <c r="BJ213" i="1"/>
  <c r="CR168" i="1"/>
  <c r="CW172" i="1"/>
  <c r="CH185" i="1"/>
  <c r="AN200" i="1"/>
  <c r="CD191" i="1"/>
  <c r="CG196" i="1"/>
  <c r="DC209" i="1"/>
  <c r="DB206" i="1"/>
  <c r="CS220" i="1"/>
  <c r="BH204" i="1"/>
  <c r="CR182" i="1"/>
  <c r="CT194" i="1"/>
  <c r="DW195" i="1"/>
  <c r="AK175" i="1"/>
  <c r="EA174" i="1"/>
  <c r="CO195" i="1"/>
  <c r="CB179" i="1"/>
  <c r="AG214" i="1"/>
  <c r="AG237" i="1"/>
  <c r="BR166" i="1"/>
  <c r="DV196" i="1"/>
  <c r="CZ210" i="1"/>
  <c r="BK223" i="1"/>
  <c r="AK169" i="1"/>
  <c r="BF243" i="1"/>
  <c r="BB182" i="1"/>
  <c r="AW199" i="1"/>
  <c r="BW184" i="1"/>
  <c r="BV174" i="1"/>
  <c r="DL165" i="1"/>
  <c r="DL200" i="1"/>
  <c r="CH193" i="1"/>
  <c r="AG228" i="1"/>
  <c r="CB162" i="1"/>
  <c r="BL224" i="1"/>
  <c r="CA206" i="1"/>
  <c r="BM169" i="1"/>
  <c r="EA171" i="1"/>
  <c r="CA237" i="1"/>
  <c r="CZ230" i="1"/>
  <c r="CD227" i="1"/>
  <c r="CO177" i="1"/>
  <c r="BZ208" i="1"/>
  <c r="AG195" i="1"/>
  <c r="CA218" i="1"/>
  <c r="BT220" i="1"/>
  <c r="BH177" i="1"/>
  <c r="AG227" i="1"/>
  <c r="AX222" i="1"/>
  <c r="CN224" i="1"/>
  <c r="AO195" i="1"/>
  <c r="CV225" i="1"/>
  <c r="AK170" i="1"/>
  <c r="BO209" i="1"/>
  <c r="AR232" i="1"/>
  <c r="DP233" i="1"/>
  <c r="AG165" i="1"/>
  <c r="CU240" i="1"/>
  <c r="AG159" i="1"/>
  <c r="BL159" i="1"/>
  <c r="EA147" i="1"/>
  <c r="BQ143" i="1"/>
  <c r="CK143" i="1"/>
  <c r="BH148" i="1"/>
  <c r="DJ148" i="1"/>
  <c r="BS151" i="1"/>
  <c r="AN160" i="1"/>
  <c r="AV160" i="1"/>
  <c r="BT149" i="1"/>
  <c r="CL154" i="1"/>
  <c r="CK154" i="1"/>
  <c r="CG153" i="1"/>
  <c r="BE155" i="1"/>
  <c r="BT155" i="1"/>
  <c r="AQ145" i="1"/>
  <c r="BX145" i="1"/>
  <c r="BY159" i="1"/>
  <c r="BQ147" i="1"/>
  <c r="BC147" i="1"/>
  <c r="CY143" i="1"/>
  <c r="BO143" i="1"/>
  <c r="BP148" i="1"/>
  <c r="AS151" i="1"/>
  <c r="DF151" i="1"/>
  <c r="CY160" i="1"/>
  <c r="CC149" i="1"/>
  <c r="AH149" i="1"/>
  <c r="AZ154" i="1"/>
  <c r="EC154" i="1"/>
  <c r="BC153" i="1"/>
  <c r="DU155" i="1"/>
  <c r="DX155" i="1"/>
  <c r="BA145" i="1"/>
  <c r="CN159" i="1"/>
  <c r="DU159" i="1"/>
  <c r="DU147" i="1"/>
  <c r="BR143" i="1"/>
  <c r="BU143" i="1"/>
  <c r="DG148" i="1"/>
  <c r="DJ151" i="1"/>
  <c r="BK151" i="1"/>
  <c r="CZ160" i="1"/>
  <c r="DJ178" i="1"/>
  <c r="BT227" i="1"/>
  <c r="CK223" i="1"/>
  <c r="CV171" i="1"/>
  <c r="BY243" i="1"/>
  <c r="AH243" i="1"/>
  <c r="BC181" i="1"/>
  <c r="AG166" i="1"/>
  <c r="AJ195" i="1"/>
  <c r="AG167" i="1"/>
  <c r="AG229" i="1"/>
  <c r="BQ176" i="1"/>
  <c r="AL162" i="1"/>
  <c r="CF159" i="1"/>
  <c r="CG143" i="1"/>
  <c r="CS160" i="1"/>
  <c r="BL154" i="1"/>
  <c r="DY145" i="1"/>
  <c r="BY147" i="1"/>
  <c r="CH151" i="1"/>
  <c r="BZ149" i="1"/>
  <c r="DG155" i="1"/>
  <c r="DA159" i="1"/>
  <c r="DB148" i="1"/>
  <c r="BB160" i="1"/>
  <c r="BB154" i="1"/>
  <c r="BU153" i="1"/>
  <c r="DR155" i="1"/>
  <c r="CK159" i="1"/>
  <c r="CY147" i="1"/>
  <c r="AX143" i="1"/>
  <c r="CZ151" i="1"/>
  <c r="CR160" i="1"/>
  <c r="CM149" i="1"/>
  <c r="DA154" i="1"/>
  <c r="AH153" i="1"/>
  <c r="AW153" i="1"/>
  <c r="DZ155" i="1"/>
  <c r="CD145" i="1"/>
  <c r="CQ145" i="1"/>
  <c r="DY159" i="1"/>
  <c r="BJ159" i="1"/>
  <c r="DI147" i="1"/>
  <c r="AM147" i="1"/>
  <c r="CV143" i="1"/>
  <c r="BL148" i="1"/>
  <c r="AN148" i="1"/>
  <c r="CU151" i="1"/>
  <c r="CX160" i="1"/>
  <c r="CG160" i="1"/>
  <c r="CN149" i="1"/>
  <c r="CV154" i="1"/>
  <c r="DJ154" i="1"/>
  <c r="BW153" i="1"/>
  <c r="BR153" i="1"/>
  <c r="BJ155" i="1"/>
  <c r="AS145" i="1"/>
  <c r="CY159" i="1"/>
  <c r="CR159" i="1"/>
  <c r="DY147" i="1"/>
  <c r="AY143" i="1"/>
  <c r="AM143" i="1"/>
  <c r="BZ148" i="1"/>
  <c r="DM148" i="1"/>
  <c r="BT151" i="1"/>
  <c r="DK160" i="1"/>
  <c r="CT160" i="1"/>
  <c r="AO149" i="1"/>
  <c r="DG154" i="1"/>
  <c r="AL154" i="1"/>
  <c r="BS153" i="1"/>
  <c r="CD153" i="1"/>
  <c r="BY155" i="1"/>
  <c r="DP145" i="1"/>
  <c r="CP145" i="1"/>
  <c r="DK159" i="1"/>
  <c r="CW147" i="1"/>
  <c r="DC147" i="1"/>
  <c r="DI143" i="1"/>
  <c r="BA148" i="1"/>
  <c r="CX148" i="1"/>
  <c r="CV151" i="1"/>
  <c r="DC151" i="1"/>
  <c r="CI160" i="1"/>
  <c r="CU149" i="1"/>
  <c r="CP149" i="1"/>
  <c r="CF154" i="1"/>
  <c r="DM153" i="1"/>
  <c r="EC153" i="1"/>
  <c r="BV155" i="1"/>
  <c r="DO145" i="1"/>
  <c r="DT159" i="1"/>
  <c r="AX147" i="1"/>
  <c r="AU147" i="1"/>
  <c r="DT143" i="1"/>
  <c r="CN148" i="1"/>
  <c r="CU148" i="1"/>
  <c r="CQ151" i="1"/>
  <c r="BO160" i="1"/>
  <c r="CC160" i="1"/>
  <c r="AJ149" i="1"/>
  <c r="DF149" i="1"/>
  <c r="DC154" i="1"/>
  <c r="AT153" i="1"/>
  <c r="BE153" i="1"/>
  <c r="BN155" i="1"/>
  <c r="CX145" i="1"/>
  <c r="CC145" i="1"/>
  <c r="CO145" i="1"/>
  <c r="BI158" i="1"/>
  <c r="EC158" i="1"/>
  <c r="BX161" i="1"/>
  <c r="BT161" i="1"/>
  <c r="BA156" i="1"/>
  <c r="CG157" i="1"/>
  <c r="DG157" i="1"/>
  <c r="DV150" i="1"/>
  <c r="DO144" i="1"/>
  <c r="CG144" i="1"/>
  <c r="CB152" i="1"/>
  <c r="DO152" i="1"/>
  <c r="CQ146" i="1"/>
  <c r="CE146" i="1"/>
  <c r="BU158" i="1"/>
  <c r="BR161" i="1"/>
  <c r="AJ161" i="1"/>
  <c r="BJ156" i="1"/>
  <c r="DD157" i="1"/>
  <c r="AY157" i="1"/>
  <c r="AL150" i="1"/>
  <c r="Z42" i="1"/>
  <c r="CX144" i="1"/>
  <c r="CH152" i="1"/>
  <c r="AQ152" i="1"/>
  <c r="AH146" i="1"/>
  <c r="CA152" i="1"/>
  <c r="AY158" i="1"/>
  <c r="BE158" i="1"/>
  <c r="BF161" i="1"/>
  <c r="DA156" i="1"/>
  <c r="CD156" i="1"/>
  <c r="AQ157" i="1"/>
  <c r="BC150" i="1"/>
  <c r="DY150" i="1"/>
  <c r="BB144" i="1"/>
  <c r="DR146" i="1"/>
  <c r="CP158" i="1"/>
  <c r="DS161" i="1"/>
  <c r="CP243" i="1"/>
  <c r="CB212" i="1"/>
  <c r="AG187" i="1"/>
  <c r="BI198" i="1"/>
  <c r="CT230" i="1"/>
  <c r="BJ169" i="1"/>
  <c r="BM191" i="1"/>
  <c r="AN233" i="1"/>
  <c r="CF216" i="1"/>
  <c r="DZ217" i="1"/>
  <c r="CT180" i="1"/>
  <c r="CF189" i="1"/>
  <c r="DZ242" i="1"/>
  <c r="DI159" i="1"/>
  <c r="DW148" i="1"/>
  <c r="BJ160" i="1"/>
  <c r="BM153" i="1"/>
  <c r="BB145" i="1"/>
  <c r="DJ143" i="1"/>
  <c r="CW151" i="1"/>
  <c r="DM154" i="1"/>
  <c r="DY155" i="1"/>
  <c r="DG147" i="1"/>
  <c r="DI148" i="1"/>
  <c r="AG160" i="1"/>
  <c r="BN154" i="1"/>
  <c r="BB153" i="1"/>
  <c r="CB155" i="1"/>
  <c r="CH159" i="1"/>
  <c r="DE147" i="1"/>
  <c r="AU148" i="1"/>
  <c r="AR151" i="1"/>
  <c r="DL160" i="1"/>
  <c r="AQ149" i="1"/>
  <c r="BT154" i="1"/>
  <c r="DZ153" i="1"/>
  <c r="AR155" i="1"/>
  <c r="CR155" i="1"/>
  <c r="DE145" i="1"/>
  <c r="DF145" i="1"/>
  <c r="BH159" i="1"/>
  <c r="AS159" i="1"/>
  <c r="CZ147" i="1"/>
  <c r="AG143" i="1"/>
  <c r="DO143" i="1"/>
  <c r="DP148" i="1"/>
  <c r="CT148" i="1"/>
  <c r="BU151" i="1"/>
  <c r="BZ160" i="1"/>
  <c r="CK160" i="1"/>
  <c r="CQ149" i="1"/>
  <c r="EA154" i="1"/>
  <c r="CN154" i="1"/>
  <c r="CU153" i="1"/>
  <c r="DG153" i="1"/>
  <c r="BC155" i="1"/>
  <c r="BU145" i="1"/>
  <c r="BX159" i="1"/>
  <c r="AH159" i="1"/>
  <c r="CH147" i="1"/>
  <c r="BD143" i="1"/>
  <c r="AZ243" i="1"/>
  <c r="CI243" i="1"/>
  <c r="DI169" i="1"/>
  <c r="DN196" i="1"/>
  <c r="BA168" i="1"/>
  <c r="DI171" i="1"/>
  <c r="CE186" i="1"/>
  <c r="DT206" i="1"/>
  <c r="BP171" i="1"/>
  <c r="AU180" i="1"/>
  <c r="BZ191" i="1"/>
  <c r="DD231" i="1"/>
  <c r="DS195" i="1"/>
  <c r="CI159" i="1"/>
  <c r="BV148" i="1"/>
  <c r="BY160" i="1"/>
  <c r="CW153" i="1"/>
  <c r="AY145" i="1"/>
  <c r="BP143" i="1"/>
  <c r="CL151" i="1"/>
  <c r="AX154" i="1"/>
  <c r="CM155" i="1"/>
  <c r="DS147" i="1"/>
  <c r="DU151" i="1"/>
  <c r="BA149" i="1"/>
  <c r="AV154" i="1"/>
  <c r="DA153" i="1"/>
  <c r="CJ155" i="1"/>
  <c r="CX159" i="1"/>
  <c r="BK147" i="1"/>
  <c r="AJ148" i="1"/>
  <c r="BV151" i="1"/>
  <c r="CO160" i="1"/>
  <c r="AV149" i="1"/>
  <c r="AG154" i="1"/>
  <c r="DJ153" i="1"/>
  <c r="AU155" i="1"/>
  <c r="DR145" i="1"/>
  <c r="BK145" i="1"/>
  <c r="DB145" i="1"/>
  <c r="BQ159" i="1"/>
  <c r="AK159" i="1"/>
  <c r="CM147" i="1"/>
  <c r="CO143" i="1"/>
  <c r="DF143" i="1"/>
  <c r="CI148" i="1"/>
  <c r="AL148" i="1"/>
  <c r="AW151" i="1"/>
  <c r="DN160" i="1"/>
  <c r="DQ160" i="1"/>
  <c r="CE149" i="1"/>
  <c r="EB154" i="1"/>
  <c r="BM154" i="1"/>
  <c r="BT153" i="1"/>
  <c r="EB155" i="1"/>
  <c r="BZ155" i="1"/>
  <c r="CB145" i="1"/>
  <c r="DQ159" i="1"/>
  <c r="BD159" i="1"/>
  <c r="AJ147" i="1"/>
  <c r="CR143" i="1"/>
  <c r="AR143" i="1"/>
  <c r="CZ148" i="1"/>
  <c r="CI151" i="1"/>
  <c r="BB151" i="1"/>
  <c r="BE160" i="1"/>
  <c r="DA160" i="1"/>
  <c r="DN149" i="1"/>
  <c r="BH154" i="1"/>
  <c r="DR154" i="1"/>
  <c r="AK153" i="1"/>
  <c r="CZ155" i="1"/>
  <c r="AL155" i="1"/>
  <c r="AK145" i="1"/>
  <c r="DW145" i="1"/>
  <c r="BV159" i="1"/>
  <c r="BE147" i="1"/>
  <c r="EB147" i="1"/>
  <c r="AQ143" i="1"/>
  <c r="DK148" i="1"/>
  <c r="BF148" i="1"/>
  <c r="DW151" i="1"/>
  <c r="EC160" i="1"/>
  <c r="DG160" i="1"/>
  <c r="AP149" i="1"/>
  <c r="BV149" i="1"/>
  <c r="CO154" i="1"/>
  <c r="BA153" i="1"/>
  <c r="DU153" i="1"/>
  <c r="DB155" i="1"/>
  <c r="CE159" i="1"/>
  <c r="BC159" i="1"/>
  <c r="AS147" i="1"/>
  <c r="DJ147" i="1"/>
  <c r="AI143" i="1"/>
  <c r="AZ148" i="1"/>
  <c r="AT148" i="1"/>
  <c r="BZ151" i="1"/>
  <c r="BP160" i="1"/>
  <c r="BS160" i="1"/>
  <c r="DB149" i="1"/>
  <c r="DL154" i="1"/>
  <c r="BO154" i="1"/>
  <c r="BV153" i="1"/>
  <c r="DP155" i="1"/>
  <c r="CC155" i="1"/>
  <c r="DG145" i="1"/>
  <c r="BF145" i="1"/>
  <c r="BW145" i="1"/>
  <c r="CS216" i="1"/>
  <c r="CI183" i="1"/>
  <c r="CV210" i="1"/>
  <c r="DP179" i="1"/>
  <c r="AI181" i="1"/>
  <c r="AJ216" i="1"/>
  <c r="BT205" i="1"/>
  <c r="AG206" i="1"/>
  <c r="CT216" i="1"/>
  <c r="AZ183" i="1"/>
  <c r="CL237" i="1"/>
  <c r="CT239" i="1"/>
  <c r="DY195" i="1"/>
  <c r="CX147" i="1"/>
  <c r="AR148" i="1"/>
  <c r="DQ149" i="1"/>
  <c r="BY153" i="1"/>
  <c r="CU159" i="1"/>
  <c r="CS143" i="1"/>
  <c r="AH160" i="1"/>
  <c r="DP154" i="1"/>
  <c r="BY145" i="1"/>
  <c r="CL147" i="1"/>
  <c r="DM151" i="1"/>
  <c r="DU149" i="1"/>
  <c r="BQ154" i="1"/>
  <c r="AV153" i="1"/>
  <c r="CR145" i="1"/>
  <c r="BP159" i="1"/>
  <c r="DC143" i="1"/>
  <c r="AH148" i="1"/>
  <c r="BC151" i="1"/>
  <c r="AS149" i="1"/>
  <c r="BY149" i="1"/>
  <c r="AM154" i="1"/>
  <c r="AP153" i="1"/>
  <c r="DS155" i="1"/>
  <c r="DD145" i="1"/>
  <c r="AI145" i="1"/>
  <c r="BZ145" i="1"/>
  <c r="CM159" i="1"/>
  <c r="DF159" i="1"/>
  <c r="DM147" i="1"/>
  <c r="AH143" i="1"/>
  <c r="CQ143" i="1"/>
  <c r="CA148" i="1"/>
  <c r="DT151" i="1"/>
  <c r="AO151" i="1"/>
  <c r="CU160" i="1"/>
  <c r="DZ149" i="1"/>
  <c r="AL149" i="1"/>
  <c r="DT154" i="1"/>
  <c r="DO154" i="1"/>
  <c r="DY153" i="1"/>
  <c r="AI155" i="1"/>
  <c r="EC155" i="1"/>
  <c r="DL145" i="1"/>
  <c r="CO159" i="1"/>
  <c r="BS159" i="1"/>
  <c r="DB147" i="1"/>
  <c r="BY143" i="1"/>
  <c r="CA143" i="1"/>
  <c r="BU148" i="1"/>
  <c r="CM151" i="1"/>
  <c r="BN151" i="1"/>
  <c r="AQ160" i="1"/>
  <c r="CR149" i="1"/>
  <c r="DW149" i="1"/>
  <c r="BS154" i="1"/>
  <c r="CM154" i="1"/>
  <c r="CS153" i="1"/>
  <c r="DI155" i="1"/>
  <c r="CH155" i="1"/>
  <c r="BN145" i="1"/>
  <c r="DO159" i="1"/>
  <c r="BA159" i="1"/>
  <c r="AY147" i="1"/>
  <c r="BH143" i="1"/>
  <c r="AV143" i="1"/>
  <c r="BC148" i="1"/>
  <c r="CK148" i="1"/>
  <c r="DH151" i="1"/>
  <c r="BA160" i="1"/>
  <c r="DO160" i="1"/>
  <c r="AW149" i="1"/>
  <c r="CW154" i="1"/>
  <c r="CI154" i="1"/>
  <c r="BJ153" i="1"/>
  <c r="AX155" i="1"/>
  <c r="BP155" i="1"/>
  <c r="AZ159" i="1"/>
  <c r="CL159" i="1"/>
  <c r="CR147" i="1"/>
  <c r="CJ143" i="1"/>
  <c r="BX143" i="1"/>
  <c r="CB148" i="1"/>
  <c r="DI151" i="1"/>
  <c r="BY151" i="1"/>
  <c r="DI160" i="1"/>
  <c r="DW160" i="1"/>
  <c r="DP149" i="1"/>
  <c r="BA154" i="1"/>
  <c r="CR154" i="1"/>
  <c r="BK153" i="1"/>
  <c r="BM155" i="1"/>
  <c r="CN155" i="1"/>
  <c r="AR145" i="1"/>
  <c r="CJ145" i="1"/>
  <c r="BQ145" i="1"/>
  <c r="CZ158" i="1"/>
  <c r="AW158" i="1"/>
  <c r="AL161" i="1"/>
  <c r="BF156" i="1"/>
  <c r="AZ156" i="1"/>
  <c r="BS157" i="1"/>
  <c r="CS150" i="1"/>
  <c r="CH150" i="1"/>
  <c r="BX144" i="1"/>
  <c r="CO144" i="1"/>
  <c r="CI152" i="1"/>
  <c r="DO146" i="1"/>
  <c r="BK144" i="1"/>
  <c r="AO158" i="1"/>
  <c r="DT158" i="1"/>
  <c r="AM161" i="1"/>
  <c r="CP156" i="1"/>
  <c r="DC156" i="1"/>
  <c r="CV157" i="1"/>
  <c r="DZ157" i="1"/>
  <c r="BI207" i="1"/>
  <c r="DZ207" i="1"/>
  <c r="AS222" i="1"/>
  <c r="DI179" i="1"/>
  <c r="BH184" i="1"/>
  <c r="BJ170" i="1"/>
  <c r="DA162" i="1"/>
  <c r="DI220" i="1"/>
  <c r="AG224" i="1"/>
  <c r="AR208" i="1"/>
  <c r="DE240" i="1"/>
  <c r="DW184" i="1"/>
  <c r="AG170" i="1"/>
  <c r="DX147" i="1"/>
  <c r="CN151" i="1"/>
  <c r="EB149" i="1"/>
  <c r="CQ155" i="1"/>
  <c r="CV159" i="1"/>
  <c r="AI148" i="1"/>
  <c r="DF160" i="1"/>
  <c r="DQ153" i="1"/>
  <c r="DJ145" i="1"/>
  <c r="CI143" i="1"/>
  <c r="AH151" i="1"/>
  <c r="CB149" i="1"/>
  <c r="CZ154" i="1"/>
  <c r="AU153" i="1"/>
  <c r="CV145" i="1"/>
  <c r="AL147" i="1"/>
  <c r="CD143" i="1"/>
  <c r="AX148" i="1"/>
  <c r="CB151" i="1"/>
  <c r="DC149" i="1"/>
  <c r="DI149" i="1"/>
  <c r="DY154" i="1"/>
  <c r="BF153" i="1"/>
  <c r="AG155" i="1"/>
  <c r="AN145" i="1"/>
  <c r="DS145" i="1"/>
  <c r="CI145" i="1"/>
  <c r="DL159" i="1"/>
  <c r="DB159" i="1"/>
  <c r="CP147" i="1"/>
  <c r="CH143" i="1"/>
  <c r="DH143" i="1"/>
  <c r="CY148" i="1"/>
  <c r="DV151" i="1"/>
  <c r="CG151" i="1"/>
  <c r="CN160" i="1"/>
  <c r="EA149" i="1"/>
  <c r="DG149" i="1"/>
  <c r="BW154" i="1"/>
  <c r="AJ154" i="1"/>
  <c r="CH153" i="1"/>
  <c r="DM155" i="1"/>
  <c r="DJ155" i="1"/>
  <c r="BT145" i="1"/>
  <c r="AR159" i="1"/>
  <c r="CV147" i="1"/>
  <c r="CI147" i="1"/>
  <c r="BF143" i="1"/>
  <c r="BJ143" i="1"/>
  <c r="DX148" i="1"/>
  <c r="DX151" i="1"/>
  <c r="CK151" i="1"/>
  <c r="CL160" i="1"/>
  <c r="BF149" i="1"/>
  <c r="BH149" i="1"/>
  <c r="DD154" i="1"/>
  <c r="AP154" i="1"/>
  <c r="CZ153" i="1"/>
  <c r="CO155" i="1"/>
  <c r="BU155" i="1"/>
  <c r="DX145" i="1"/>
  <c r="DN159" i="1"/>
  <c r="DW159" i="1"/>
  <c r="AG147" i="1"/>
  <c r="DS143" i="1"/>
  <c r="EC143" i="1"/>
  <c r="CR148" i="1"/>
  <c r="CC151" i="1"/>
  <c r="AQ151" i="1"/>
  <c r="BX160" i="1"/>
  <c r="BC160" i="1"/>
  <c r="BE149" i="1"/>
  <c r="BV154" i="1"/>
  <c r="CJ154" i="1"/>
  <c r="BD153" i="1"/>
  <c r="DA155" i="1"/>
  <c r="AK155" i="1"/>
  <c r="CB159" i="1"/>
  <c r="BG159" i="1"/>
  <c r="AW147" i="1"/>
  <c r="AP143" i="1"/>
  <c r="BE143" i="1"/>
  <c r="DC148" i="1"/>
  <c r="CX151" i="1"/>
  <c r="BJ151" i="1"/>
  <c r="AU160" i="1"/>
  <c r="BQ160" i="1"/>
  <c r="CF149" i="1"/>
  <c r="CQ154" i="1"/>
  <c r="CC154" i="1"/>
  <c r="DI153" i="1"/>
  <c r="CL155" i="1"/>
  <c r="CW155" i="1"/>
  <c r="AJ145" i="1"/>
  <c r="DA145" i="1"/>
  <c r="DU145" i="1"/>
  <c r="AN158" i="1"/>
  <c r="AK161" i="1"/>
  <c r="EA161" i="1"/>
  <c r="AV156" i="1"/>
  <c r="BX156" i="1"/>
  <c r="AI157" i="1"/>
  <c r="CK150" i="1"/>
  <c r="DK150" i="1"/>
  <c r="CY144" i="1"/>
  <c r="CO152" i="1"/>
  <c r="EC152" i="1"/>
  <c r="DQ146" i="1"/>
  <c r="AP152" i="1"/>
  <c r="EC241" i="1"/>
  <c r="BG177" i="1"/>
  <c r="AX204" i="1"/>
  <c r="CS243" i="1"/>
  <c r="AP194" i="1"/>
  <c r="BM186" i="1"/>
  <c r="AL204" i="1"/>
  <c r="BU206" i="1"/>
  <c r="AP240" i="1"/>
  <c r="CO180" i="1"/>
  <c r="CT189" i="1"/>
  <c r="AO197" i="1"/>
  <c r="AX217" i="1"/>
  <c r="BS147" i="1"/>
  <c r="AM151" i="1"/>
  <c r="BB149" i="1"/>
  <c r="DK155" i="1"/>
  <c r="EA159" i="1"/>
  <c r="CM148" i="1"/>
  <c r="AR160" i="1"/>
  <c r="DL153" i="1"/>
  <c r="AO159" i="1"/>
  <c r="CX143" i="1"/>
  <c r="DT160" i="1"/>
  <c r="BO149" i="1"/>
  <c r="DX154" i="1"/>
  <c r="AJ155" i="1"/>
  <c r="BT159" i="1"/>
  <c r="BT147" i="1"/>
  <c r="DL143" i="1"/>
  <c r="CF148" i="1"/>
  <c r="EA160" i="1"/>
  <c r="BW149" i="1"/>
  <c r="AT154" i="1"/>
  <c r="BZ154" i="1"/>
  <c r="BQ153" i="1"/>
  <c r="BL155" i="1"/>
  <c r="BG145" i="1"/>
  <c r="CI155" i="1"/>
  <c r="DC155" i="1"/>
  <c r="DS159" i="1"/>
  <c r="BH147" i="1"/>
  <c r="CD147" i="1"/>
  <c r="BK143" i="1"/>
  <c r="EB143" i="1"/>
  <c r="DE148" i="1"/>
  <c r="DS151" i="1"/>
  <c r="CD151" i="1"/>
  <c r="AL160" i="1"/>
  <c r="CH149" i="1"/>
  <c r="DX149" i="1"/>
  <c r="AK154" i="1"/>
  <c r="CT153" i="1"/>
  <c r="EB153" i="1"/>
  <c r="EA155" i="1"/>
  <c r="DV145" i="1"/>
  <c r="AO145" i="1"/>
  <c r="BB159" i="1"/>
  <c r="AO147" i="1"/>
  <c r="CT147" i="1"/>
  <c r="DE143" i="1"/>
  <c r="BX148" i="1"/>
  <c r="DL148" i="1"/>
  <c r="BE151" i="1"/>
  <c r="AI151" i="1"/>
  <c r="BG160" i="1"/>
  <c r="CI149" i="1"/>
  <c r="BJ149" i="1"/>
  <c r="DS154" i="1"/>
  <c r="CB153" i="1"/>
  <c r="BZ153" i="1"/>
  <c r="AZ155" i="1"/>
  <c r="CE155" i="1"/>
  <c r="AM145" i="1"/>
  <c r="CP159" i="1"/>
  <c r="EB159" i="1"/>
  <c r="DR147" i="1"/>
  <c r="BI143" i="1"/>
  <c r="BG143" i="1"/>
  <c r="EC148" i="1"/>
  <c r="BA151" i="1"/>
  <c r="BX151" i="1"/>
  <c r="DJ160" i="1"/>
  <c r="BF160" i="1"/>
  <c r="DV149" i="1"/>
  <c r="BP154" i="1"/>
  <c r="DK154" i="1"/>
  <c r="AR153" i="1"/>
  <c r="BO155" i="1"/>
  <c r="BA155" i="1"/>
  <c r="DG159" i="1"/>
  <c r="CD159" i="1"/>
  <c r="AZ147" i="1"/>
  <c r="CF143" i="1"/>
  <c r="CB143" i="1"/>
  <c r="BM148" i="1"/>
  <c r="AU151" i="1"/>
  <c r="DL151" i="1"/>
  <c r="CQ160" i="1"/>
  <c r="BS149" i="1"/>
  <c r="AI149" i="1"/>
  <c r="CA154" i="1"/>
  <c r="CB154" i="1"/>
  <c r="CE153" i="1"/>
  <c r="BX155" i="1"/>
  <c r="BI155" i="1"/>
  <c r="AL145" i="1"/>
  <c r="BC145" i="1"/>
  <c r="DN145" i="1"/>
  <c r="DA158" i="1"/>
  <c r="CV161" i="1"/>
  <c r="BC161" i="1"/>
  <c r="BR156" i="1"/>
  <c r="BC157" i="1"/>
  <c r="BD157" i="1"/>
  <c r="BV150" i="1"/>
  <c r="DO150" i="1"/>
  <c r="CD144" i="1"/>
  <c r="BN152" i="1"/>
  <c r="AU152" i="1"/>
  <c r="CM146" i="1"/>
  <c r="AV152" i="1"/>
  <c r="BZ158" i="1"/>
  <c r="BV158" i="1"/>
  <c r="DR161" i="1"/>
  <c r="DD156" i="1"/>
  <c r="DW156" i="1"/>
  <c r="CT157" i="1"/>
  <c r="DB150" i="1"/>
  <c r="CB150" i="1"/>
  <c r="AQ144" i="1"/>
  <c r="BU144" i="1"/>
  <c r="EA152" i="1"/>
  <c r="DE146" i="1"/>
  <c r="CN144" i="1"/>
  <c r="EB158" i="1"/>
  <c r="DS158" i="1"/>
  <c r="CI161" i="1"/>
  <c r="BH156" i="1"/>
  <c r="BL156" i="1"/>
  <c r="AX157" i="1"/>
  <c r="DJ157" i="1"/>
  <c r="AJ150" i="1"/>
  <c r="CC144" i="1"/>
  <c r="DF144" i="1"/>
  <c r="BD234" i="1"/>
  <c r="AR203" i="1"/>
  <c r="AU188" i="1"/>
  <c r="BS201" i="1"/>
  <c r="CL217" i="1"/>
  <c r="CG201" i="1"/>
  <c r="BK225" i="1"/>
  <c r="AG199" i="1"/>
  <c r="CO233" i="1"/>
  <c r="BN183" i="1"/>
  <c r="AP213" i="1"/>
  <c r="BG228" i="1"/>
  <c r="BV185" i="1"/>
  <c r="CE143" i="1"/>
  <c r="BF151" i="1"/>
  <c r="DW154" i="1"/>
  <c r="BH155" i="1"/>
  <c r="BP147" i="1"/>
  <c r="DR148" i="1"/>
  <c r="AN149" i="1"/>
  <c r="AL153" i="1"/>
  <c r="CT159" i="1"/>
  <c r="BM143" i="1"/>
  <c r="AX160" i="1"/>
  <c r="BG149" i="1"/>
  <c r="CT154" i="1"/>
  <c r="AW155" i="1"/>
  <c r="BO159" i="1"/>
  <c r="DP147" i="1"/>
  <c r="BL143" i="1"/>
  <c r="BJ148" i="1"/>
  <c r="AZ160" i="1"/>
  <c r="DJ149" i="1"/>
  <c r="BC154" i="1"/>
  <c r="AQ154" i="1"/>
  <c r="BI153" i="1"/>
  <c r="BG155" i="1"/>
  <c r="AH145" i="1"/>
  <c r="CW145" i="1"/>
  <c r="DI145" i="1"/>
  <c r="DJ159" i="1"/>
  <c r="BO147" i="1"/>
  <c r="CU147" i="1"/>
  <c r="AT143" i="1"/>
  <c r="BO148" i="1"/>
  <c r="DY148" i="1"/>
  <c r="DQ151" i="1"/>
  <c r="CO151" i="1"/>
  <c r="DZ160" i="1"/>
  <c r="AK149" i="1"/>
  <c r="DR149" i="1"/>
  <c r="CD154" i="1"/>
  <c r="CP153" i="1"/>
  <c r="AZ153" i="1"/>
  <c r="CK155" i="1"/>
  <c r="DT145" i="1"/>
  <c r="DH145" i="1"/>
  <c r="BR159" i="1"/>
  <c r="Z50" i="1"/>
  <c r="DS179" i="1"/>
  <c r="DY191" i="1"/>
  <c r="EC221" i="1"/>
  <c r="AG222" i="1"/>
  <c r="CF181" i="1"/>
  <c r="DB238" i="1"/>
  <c r="AG180" i="1"/>
  <c r="CT184" i="1"/>
  <c r="AB44" i="1"/>
  <c r="AA50" i="1" s="1"/>
  <c r="AA51" i="1" s="1"/>
  <c r="AA52" i="1" s="1"/>
  <c r="AB53" i="1" s="1"/>
  <c r="BF179" i="1"/>
  <c r="AS183" i="1"/>
  <c r="AX182" i="1"/>
  <c r="AG231" i="1"/>
  <c r="DY143" i="1"/>
  <c r="DB151" i="1"/>
  <c r="AR154" i="1"/>
  <c r="CU145" i="1"/>
  <c r="EC147" i="1"/>
  <c r="AP148" i="1"/>
  <c r="AY149" i="1"/>
  <c r="AJ153" i="1"/>
  <c r="AI159" i="1"/>
  <c r="CQ148" i="1"/>
  <c r="BN160" i="1"/>
  <c r="BR149" i="1"/>
  <c r="BL153" i="1"/>
  <c r="AO155" i="1"/>
  <c r="DD159" i="1"/>
  <c r="DD147" i="1"/>
  <c r="CL143" i="1"/>
  <c r="BW151" i="1"/>
  <c r="AS160" i="1"/>
  <c r="AX149" i="1"/>
  <c r="CP154" i="1"/>
  <c r="DN153" i="1"/>
  <c r="AO153" i="1"/>
  <c r="CG155" i="1"/>
  <c r="EC145" i="1"/>
  <c r="CS145" i="1"/>
  <c r="CN145" i="1"/>
  <c r="AN159" i="1"/>
  <c r="DW147" i="1"/>
  <c r="BL147" i="1"/>
  <c r="DX143" i="1"/>
  <c r="DN148" i="1"/>
  <c r="CH148" i="1"/>
  <c r="BM151" i="1"/>
  <c r="CE160" i="1"/>
  <c r="BD160" i="1"/>
  <c r="BX149" i="1"/>
  <c r="DO149" i="1"/>
  <c r="BF154" i="1"/>
  <c r="AY153" i="1"/>
  <c r="CA153" i="1"/>
  <c r="CX155" i="1"/>
  <c r="AX145" i="1"/>
  <c r="BI145" i="1"/>
  <c r="CC159" i="1"/>
  <c r="DA147" i="1"/>
  <c r="BM147" i="1"/>
  <c r="CP143" i="1"/>
  <c r="DO148" i="1"/>
  <c r="DD148" i="1"/>
  <c r="AK151" i="1"/>
  <c r="BM160" i="1"/>
  <c r="BI160" i="1"/>
  <c r="DY149" i="1"/>
  <c r="DK149" i="1"/>
  <c r="AS154" i="1"/>
  <c r="DH153" i="1"/>
  <c r="BN153" i="1"/>
  <c r="AH155" i="1"/>
  <c r="CE145" i="1"/>
  <c r="CL145" i="1"/>
  <c r="AJ159" i="1"/>
  <c r="CO147" i="1"/>
  <c r="CF147" i="1"/>
  <c r="BZ143" i="1"/>
  <c r="EA143" i="1"/>
  <c r="EA148" i="1"/>
  <c r="BP151" i="1"/>
  <c r="DO151" i="1"/>
  <c r="BK160" i="1"/>
  <c r="DS149" i="1"/>
  <c r="BF147" i="1"/>
  <c r="CT151" i="1"/>
  <c r="DZ154" i="1"/>
  <c r="CS155" i="1"/>
  <c r="DO147" i="1"/>
  <c r="DA148" i="1"/>
  <c r="BL149" i="1"/>
  <c r="DB153" i="1"/>
  <c r="DH155" i="1"/>
  <c r="DN147" i="1"/>
  <c r="DH148" i="1"/>
  <c r="AL151" i="1"/>
  <c r="CK149" i="1"/>
  <c r="DC153" i="1"/>
  <c r="BF155" i="1"/>
  <c r="DC145" i="1"/>
  <c r="BM158" i="1"/>
  <c r="CW156" i="1"/>
  <c r="CU157" i="1"/>
  <c r="AO150" i="1"/>
  <c r="AR144" i="1"/>
  <c r="AI146" i="1"/>
  <c r="AS158" i="1"/>
  <c r="CB161" i="1"/>
  <c r="BE156" i="1"/>
  <c r="DF157" i="1"/>
  <c r="CG150" i="1"/>
  <c r="AI144" i="1"/>
  <c r="BR144" i="1"/>
  <c r="AZ152" i="1"/>
  <c r="BV146" i="1"/>
  <c r="DT146" i="1"/>
  <c r="CY158" i="1"/>
  <c r="CU161" i="1"/>
  <c r="BK156" i="1"/>
  <c r="DC157" i="1"/>
  <c r="AX150" i="1"/>
  <c r="AM8" i="1"/>
  <c r="DR152" i="1"/>
  <c r="BX158" i="1"/>
  <c r="CF161" i="1"/>
  <c r="BW161" i="1"/>
  <c r="AY156" i="1"/>
  <c r="DV157" i="1"/>
  <c r="DE157" i="1"/>
  <c r="CD150" i="1"/>
  <c r="BL144" i="1"/>
  <c r="CS144" i="1"/>
  <c r="BP152" i="1"/>
  <c r="DX146" i="1"/>
  <c r="BA146" i="1"/>
  <c r="CD146" i="1"/>
  <c r="AT158" i="1"/>
  <c r="AX158" i="1"/>
  <c r="CO161" i="1"/>
  <c r="CU156" i="1"/>
  <c r="DN156" i="1"/>
  <c r="BW157" i="1"/>
  <c r="DT157" i="1"/>
  <c r="BZ150" i="1"/>
  <c r="AW144" i="1"/>
  <c r="DQ144" i="1"/>
  <c r="BD152" i="1"/>
  <c r="CH146" i="1"/>
  <c r="CO146" i="1"/>
  <c r="BW158" i="1"/>
  <c r="CG158" i="1"/>
  <c r="BE161" i="1"/>
  <c r="AO156" i="1"/>
  <c r="AP156" i="1"/>
  <c r="CZ157" i="1"/>
  <c r="CQ157" i="1"/>
  <c r="DP150" i="1"/>
  <c r="BQ144" i="1"/>
  <c r="DS144" i="1"/>
  <c r="CC152" i="1"/>
  <c r="DP146" i="1"/>
  <c r="BE146" i="1"/>
  <c r="CA158" i="1"/>
  <c r="BC158" i="1"/>
  <c r="DH161" i="1"/>
  <c r="BS156" i="1"/>
  <c r="DR156" i="1"/>
  <c r="AG157" i="1"/>
  <c r="DR157" i="1"/>
  <c r="DH150" i="1"/>
  <c r="AG144" i="1"/>
  <c r="DE144" i="1"/>
  <c r="BH152" i="1"/>
  <c r="AG146" i="1"/>
  <c r="BS158" i="1"/>
  <c r="CS161" i="1"/>
  <c r="BG161" i="1"/>
  <c r="BU156" i="1"/>
  <c r="BG157" i="1"/>
  <c r="DM157" i="1"/>
  <c r="CC150" i="1"/>
  <c r="DU150" i="1"/>
  <c r="DC144" i="1"/>
  <c r="CW152" i="1"/>
  <c r="CD152" i="1"/>
  <c r="CW146" i="1"/>
  <c r="CN146" i="1"/>
  <c r="BH146" i="1"/>
  <c r="DG146" i="1"/>
  <c r="DD143" i="1"/>
  <c r="BT160" i="1"/>
  <c r="BD154" i="1"/>
  <c r="CF145" i="1"/>
  <c r="BN147" i="1"/>
  <c r="BD151" i="1"/>
  <c r="DA149" i="1"/>
  <c r="BP153" i="1"/>
  <c r="AP145" i="1"/>
  <c r="AH147" i="1"/>
  <c r="AM148" i="1"/>
  <c r="CE151" i="1"/>
  <c r="BK149" i="1"/>
  <c r="CQ153" i="1"/>
  <c r="BS145" i="1"/>
  <c r="AG145" i="1"/>
  <c r="CY161" i="1"/>
  <c r="CN156" i="1"/>
  <c r="DK157" i="1"/>
  <c r="BU150" i="1"/>
  <c r="CM152" i="1"/>
  <c r="AT146" i="1"/>
  <c r="CO158" i="1"/>
  <c r="AX161" i="1"/>
  <c r="CA156" i="1"/>
  <c r="BV157" i="1"/>
  <c r="DI150" i="1"/>
  <c r="BW144" i="1"/>
  <c r="DZ144" i="1"/>
  <c r="DG152" i="1"/>
  <c r="BZ146" i="1"/>
  <c r="DY158" i="1"/>
  <c r="AU158" i="1"/>
  <c r="AH161" i="1"/>
  <c r="CR156" i="1"/>
  <c r="CY157" i="1"/>
  <c r="AU150" i="1"/>
  <c r="BS144" i="1"/>
  <c r="DU152" i="1"/>
  <c r="EA158" i="1"/>
  <c r="DI161" i="1"/>
  <c r="CO156" i="1"/>
  <c r="BZ156" i="1"/>
  <c r="BB157" i="1"/>
  <c r="AJ157" i="1"/>
  <c r="BX150" i="1"/>
  <c r="BA144" i="1"/>
  <c r="BH144" i="1"/>
  <c r="DM152" i="1"/>
  <c r="CS146" i="1"/>
  <c r="BJ146" i="1"/>
  <c r="DS146" i="1"/>
  <c r="CE158" i="1"/>
  <c r="BQ158" i="1"/>
  <c r="DY161" i="1"/>
  <c r="DT156" i="1"/>
  <c r="EA156" i="1"/>
  <c r="AH157" i="1"/>
  <c r="AH150" i="1"/>
  <c r="BM150" i="1"/>
  <c r="AT144" i="1"/>
  <c r="CK144" i="1"/>
  <c r="CN152" i="1"/>
  <c r="DZ146" i="1"/>
  <c r="BI146" i="1"/>
  <c r="CU158" i="1"/>
  <c r="DV158" i="1"/>
  <c r="AY161" i="1"/>
  <c r="DM156" i="1"/>
  <c r="AT156" i="1"/>
  <c r="BL157" i="1"/>
  <c r="CM150" i="1"/>
  <c r="EB150" i="1"/>
  <c r="DX144" i="1"/>
  <c r="AK144" i="1"/>
  <c r="AX152" i="1"/>
  <c r="DM146" i="1"/>
  <c r="CG146" i="1"/>
  <c r="DK158" i="1"/>
  <c r="CJ158" i="1"/>
  <c r="CX161" i="1"/>
  <c r="AN156" i="1"/>
  <c r="AM156" i="1"/>
  <c r="CP157" i="1"/>
  <c r="CZ150" i="1"/>
  <c r="BF150" i="1"/>
  <c r="AL144" i="1"/>
  <c r="AJ144" i="1"/>
  <c r="DT152" i="1"/>
  <c r="CA146" i="1"/>
  <c r="DM158" i="1"/>
  <c r="DN161" i="1"/>
  <c r="CD161" i="1"/>
  <c r="AH156" i="1"/>
  <c r="AZ157" i="1"/>
  <c r="CK157" i="1"/>
  <c r="AG150" i="1"/>
  <c r="CQ150" i="1"/>
  <c r="EC144" i="1"/>
  <c r="BL152" i="1"/>
  <c r="BZ152" i="1"/>
  <c r="BW146" i="1"/>
  <c r="BN146" i="1"/>
  <c r="Z32" i="1"/>
  <c r="Z33" i="1" s="1"/>
  <c r="AA33" i="1" s="1"/>
  <c r="CH157" i="1"/>
  <c r="AN144" i="1"/>
  <c r="BF152" i="1"/>
  <c r="BL146" i="1"/>
  <c r="Z23" i="1"/>
  <c r="Z49" i="1"/>
  <c r="EB146" i="1"/>
  <c r="DB144" i="1"/>
  <c r="AI152" i="1"/>
  <c r="DG143" i="1"/>
  <c r="AJ160" i="1"/>
  <c r="BJ154" i="1"/>
  <c r="EA145" i="1"/>
  <c r="DT147" i="1"/>
  <c r="AT151" i="1"/>
  <c r="AM149" i="1"/>
  <c r="CJ153" i="1"/>
  <c r="CH145" i="1"/>
  <c r="BD147" i="1"/>
  <c r="AQ148" i="1"/>
  <c r="DD160" i="1"/>
  <c r="BC149" i="1"/>
  <c r="DD153" i="1"/>
  <c r="AU145" i="1"/>
  <c r="AG158" i="1"/>
  <c r="CC161" i="1"/>
  <c r="DG156" i="1"/>
  <c r="BJ157" i="1"/>
  <c r="CA144" i="1"/>
  <c r="CF152" i="1"/>
  <c r="BS146" i="1"/>
  <c r="BJ158" i="1"/>
  <c r="DB161" i="1"/>
  <c r="AX156" i="1"/>
  <c r="AO157" i="1"/>
  <c r="CV150" i="1"/>
  <c r="AS144" i="1"/>
  <c r="DE152" i="1"/>
  <c r="CQ152" i="1"/>
  <c r="DB146" i="1"/>
  <c r="CQ158" i="1"/>
  <c r="DF161" i="1"/>
  <c r="DG161" i="1"/>
  <c r="CX156" i="1"/>
  <c r="DX157" i="1"/>
  <c r="CE150" i="1"/>
  <c r="DN144" i="1"/>
  <c r="DL158" i="1"/>
  <c r="BH158" i="1"/>
  <c r="DT161" i="1"/>
  <c r="CJ156" i="1"/>
  <c r="CV156" i="1"/>
  <c r="AU157" i="1"/>
  <c r="BY157" i="1"/>
  <c r="DN150" i="1"/>
  <c r="BI144" i="1"/>
  <c r="DW144" i="1"/>
  <c r="DD152" i="1"/>
  <c r="AY146" i="1"/>
  <c r="BG146" i="1"/>
  <c r="DK146" i="1"/>
  <c r="BT158" i="1"/>
  <c r="CI158" i="1"/>
  <c r="EC161" i="1"/>
  <c r="BD156" i="1"/>
  <c r="BG156" i="1"/>
  <c r="AM157" i="1"/>
  <c r="BE150" i="1"/>
  <c r="BT150" i="1"/>
  <c r="AX144" i="1"/>
  <c r="BM152" i="1"/>
  <c r="BA152" i="1"/>
  <c r="CY146" i="1"/>
  <c r="AM146" i="1"/>
  <c r="BP158" i="1"/>
  <c r="BN158" i="1"/>
  <c r="BI161" i="1"/>
  <c r="CM156" i="1"/>
  <c r="BB156" i="1"/>
  <c r="BT157" i="1"/>
  <c r="CL150" i="1"/>
  <c r="CJ150" i="1"/>
  <c r="AO144" i="1"/>
  <c r="BG152" i="1"/>
  <c r="DL152" i="1"/>
  <c r="DA146" i="1"/>
  <c r="CJ146" i="1"/>
  <c r="BD158" i="1"/>
  <c r="CV158" i="1"/>
  <c r="BV161" i="1"/>
  <c r="CT156" i="1"/>
  <c r="EC156" i="1"/>
  <c r="BZ157" i="1"/>
  <c r="CO150" i="1"/>
  <c r="DS150" i="1"/>
  <c r="CW144" i="1"/>
  <c r="BW152" i="1"/>
  <c r="CU152" i="1"/>
  <c r="CZ146" i="1"/>
  <c r="DG158" i="1"/>
  <c r="CW161" i="1"/>
  <c r="BM161" i="1"/>
  <c r="AQ156" i="1"/>
  <c r="AL157" i="1"/>
  <c r="BQ150" i="1"/>
  <c r="BF144" i="1"/>
  <c r="AK152" i="1"/>
  <c r="CI146" i="1"/>
  <c r="CN150" i="1"/>
  <c r="CR146" i="1"/>
  <c r="CI150" i="1"/>
  <c r="DH152" i="1"/>
  <c r="DT148" i="1"/>
  <c r="AW160" i="1"/>
  <c r="DF153" i="1"/>
  <c r="CT145" i="1"/>
  <c r="DW143" i="1"/>
  <c r="BI151" i="1"/>
  <c r="CJ149" i="1"/>
  <c r="DX153" i="1"/>
  <c r="BF159" i="1"/>
  <c r="AK147" i="1"/>
  <c r="BE148" i="1"/>
  <c r="BL160" i="1"/>
  <c r="CX149" i="1"/>
  <c r="CY153" i="1"/>
  <c r="BD145" i="1"/>
  <c r="AJ158" i="1"/>
  <c r="AG161" i="1"/>
  <c r="DI156" i="1"/>
  <c r="EC157" i="1"/>
  <c r="CJ144" i="1"/>
  <c r="DW152" i="1"/>
  <c r="AN146" i="1"/>
  <c r="CM158" i="1"/>
  <c r="BA161" i="1"/>
  <c r="DQ156" i="1"/>
  <c r="AS157" i="1"/>
  <c r="BW150" i="1"/>
  <c r="CV144" i="1"/>
  <c r="DZ152" i="1"/>
  <c r="BB146" i="1"/>
  <c r="CP146" i="1"/>
  <c r="DN158" i="1"/>
  <c r="BP161" i="1"/>
  <c r="BJ161" i="1"/>
  <c r="CZ156" i="1"/>
  <c r="EA157" i="1"/>
  <c r="CW150" i="1"/>
  <c r="BJ144" i="1"/>
  <c r="CF158" i="1"/>
  <c r="BO158" i="1"/>
  <c r="DK161" i="1"/>
  <c r="CC156" i="1"/>
  <c r="AL156" i="1"/>
  <c r="DA157" i="1"/>
  <c r="CY150" i="1"/>
  <c r="BB150" i="1"/>
  <c r="DL144" i="1"/>
  <c r="DV144" i="1"/>
  <c r="BQ152" i="1"/>
  <c r="BU146" i="1"/>
  <c r="CB146" i="1"/>
  <c r="AV146" i="1"/>
  <c r="DO158" i="1"/>
  <c r="AH158" i="1"/>
  <c r="CJ161" i="1"/>
  <c r="DY156" i="1"/>
  <c r="AR156" i="1"/>
  <c r="DI157" i="1"/>
  <c r="AN150" i="1"/>
  <c r="BA150" i="1"/>
  <c r="AP144" i="1"/>
  <c r="AM152" i="1"/>
  <c r="CY152" i="1"/>
  <c r="AK146" i="1"/>
  <c r="AJ146" i="1"/>
  <c r="AZ158" i="1"/>
  <c r="CM161" i="1"/>
  <c r="DZ161" i="1"/>
  <c r="AI156" i="1"/>
  <c r="BM156" i="1"/>
  <c r="CO157" i="1"/>
  <c r="BP150" i="1"/>
  <c r="BO150" i="1"/>
  <c r="AY144" i="1"/>
  <c r="BR152" i="1"/>
  <c r="AJ152" i="1"/>
  <c r="CC146" i="1"/>
  <c r="DY146" i="1"/>
  <c r="BA158" i="1"/>
  <c r="CH161" i="1"/>
  <c r="AP161" i="1"/>
  <c r="BC156" i="1"/>
  <c r="AU156" i="1"/>
  <c r="BI157" i="1"/>
  <c r="DA150" i="1"/>
  <c r="AV150" i="1"/>
  <c r="BM144" i="1"/>
  <c r="BU152" i="1"/>
  <c r="DP152" i="1"/>
  <c r="DQ158" i="1"/>
  <c r="AP158" i="1"/>
  <c r="BQ161" i="1"/>
  <c r="CL161" i="1"/>
  <c r="BI156" i="1"/>
  <c r="CS157" i="1"/>
  <c r="DL157" i="1"/>
  <c r="DJ150" i="1"/>
  <c r="DM144" i="1"/>
  <c r="CL144" i="1"/>
  <c r="CZ152" i="1"/>
  <c r="AN152" i="1"/>
  <c r="BR146" i="1"/>
  <c r="AU146" i="1"/>
  <c r="AA23" i="1"/>
  <c r="DQ157" i="1"/>
  <c r="CP144" i="1"/>
  <c r="CX152" i="1"/>
  <c r="CU146" i="1"/>
  <c r="DM150" i="1"/>
  <c r="CL152" i="1"/>
  <c r="EB157" i="1"/>
  <c r="CL146" i="1"/>
  <c r="AG148" i="1"/>
  <c r="DR160" i="1"/>
  <c r="DE153" i="1"/>
  <c r="BV145" i="1"/>
  <c r="CC143" i="1"/>
  <c r="CB160" i="1"/>
  <c r="DE154" i="1"/>
  <c r="DT153" i="1"/>
  <c r="BU159" i="1"/>
  <c r="BN143" i="1"/>
  <c r="AW148" i="1"/>
  <c r="DX160" i="1"/>
  <c r="BX154" i="1"/>
  <c r="CI153" i="1"/>
  <c r="DZ145" i="1"/>
  <c r="DW158" i="1"/>
  <c r="BO161" i="1"/>
  <c r="CL156" i="1"/>
  <c r="AZ150" i="1"/>
  <c r="CT144" i="1"/>
  <c r="AR152" i="1"/>
  <c r="DN146" i="1"/>
  <c r="DZ158" i="1"/>
  <c r="CG161" i="1"/>
  <c r="DK156" i="1"/>
  <c r="BP157" i="1"/>
  <c r="BY150" i="1"/>
  <c r="CM144" i="1"/>
  <c r="AY152" i="1"/>
  <c r="BC146" i="1"/>
  <c r="CP152" i="1"/>
  <c r="CH158" i="1"/>
  <c r="CR161" i="1"/>
  <c r="DE156" i="1"/>
  <c r="DO156" i="1"/>
  <c r="CN157" i="1"/>
  <c r="AM150" i="1"/>
  <c r="AZ144" i="1"/>
  <c r="DD158" i="1"/>
  <c r="CS158" i="1"/>
  <c r="DO161" i="1"/>
  <c r="BT156" i="1"/>
  <c r="DF156" i="1"/>
  <c r="CE157" i="1"/>
  <c r="AT150" i="1"/>
  <c r="AW150" i="1"/>
  <c r="AH144" i="1"/>
  <c r="DF152" i="1"/>
  <c r="BV152" i="1"/>
  <c r="CV146" i="1"/>
  <c r="DC146" i="1"/>
  <c r="BY146" i="1"/>
  <c r="AV158" i="1"/>
  <c r="BB161" i="1"/>
  <c r="BU161" i="1"/>
  <c r="DS156" i="1"/>
  <c r="BW156" i="1"/>
  <c r="AK157" i="1"/>
  <c r="AS150" i="1"/>
  <c r="BR150" i="1"/>
  <c r="AM144" i="1"/>
  <c r="BO152" i="1"/>
  <c r="AT152" i="1"/>
  <c r="AW146" i="1"/>
  <c r="AR146" i="1"/>
  <c r="CC158" i="1"/>
  <c r="CN161" i="1"/>
  <c r="AS161" i="1"/>
  <c r="CI156" i="1"/>
  <c r="DL156" i="1"/>
  <c r="CA157" i="1"/>
  <c r="BG150" i="1"/>
  <c r="AY150" i="1"/>
  <c r="CH144" i="1"/>
  <c r="DA152" i="1"/>
  <c r="CK152" i="1"/>
  <c r="BD146" i="1"/>
  <c r="DL146" i="1"/>
  <c r="CT158" i="1"/>
  <c r="CK161" i="1"/>
  <c r="BS161" i="1"/>
  <c r="BO156" i="1"/>
  <c r="BY156" i="1"/>
  <c r="BO157" i="1"/>
  <c r="DX150" i="1"/>
  <c r="BI150" i="1"/>
  <c r="BC144" i="1"/>
  <c r="DN152" i="1"/>
  <c r="CR152" i="1"/>
  <c r="CK158" i="1"/>
  <c r="BR158" i="1"/>
  <c r="AW161" i="1"/>
  <c r="DZ156" i="1"/>
  <c r="CB156" i="1"/>
  <c r="AR157" i="1"/>
  <c r="EC150" i="1"/>
  <c r="BE144" i="1"/>
  <c r="EC146" i="1"/>
  <c r="CZ144" i="1"/>
  <c r="BO144" i="1"/>
  <c r="DS152" i="1"/>
  <c r="BS152" i="1"/>
  <c r="DF146" i="1"/>
  <c r="CJ148" i="1"/>
  <c r="AR149" i="1"/>
  <c r="CN153" i="1"/>
  <c r="AT159" i="1"/>
  <c r="DU143" i="1"/>
  <c r="EB160" i="1"/>
  <c r="BY154" i="1"/>
  <c r="AQ155" i="1"/>
  <c r="DP159" i="1"/>
  <c r="DA143" i="1"/>
  <c r="DA151" i="1"/>
  <c r="DM160" i="1"/>
  <c r="AU154" i="1"/>
  <c r="CD155" i="1"/>
  <c r="CK145" i="1"/>
  <c r="BG158" i="1"/>
  <c r="DX161" i="1"/>
  <c r="BF157" i="1"/>
  <c r="CP150" i="1"/>
  <c r="BP144" i="1"/>
  <c r="CE152" i="1"/>
  <c r="DI152" i="1"/>
  <c r="DC158" i="1"/>
  <c r="DV161" i="1"/>
  <c r="DX156" i="1"/>
  <c r="DP157" i="1"/>
  <c r="AK150" i="1"/>
  <c r="CF144" i="1"/>
  <c r="DB152" i="1"/>
  <c r="CX146" i="1"/>
  <c r="AS152" i="1"/>
  <c r="DP158" i="1"/>
  <c r="BL161" i="1"/>
  <c r="CY156" i="1"/>
  <c r="BX157" i="1"/>
  <c r="BA157" i="1"/>
  <c r="BH150" i="1"/>
  <c r="DH144" i="1"/>
  <c r="DR158" i="1"/>
  <c r="CD158" i="1"/>
  <c r="BK161" i="1"/>
  <c r="CF156" i="1"/>
  <c r="AG156" i="1"/>
  <c r="CB157" i="1"/>
  <c r="DD150" i="1"/>
  <c r="DZ150" i="1"/>
  <c r="DG144" i="1"/>
  <c r="CT152" i="1"/>
  <c r="BY152" i="1"/>
  <c r="BO146" i="1"/>
  <c r="CF146" i="1"/>
  <c r="CT146" i="1"/>
  <c r="CB158" i="1"/>
  <c r="BD161" i="1"/>
  <c r="DM161" i="1"/>
  <c r="EB156" i="1"/>
  <c r="CI157" i="1"/>
  <c r="CX157" i="1"/>
  <c r="CT150" i="1"/>
  <c r="BL150" i="1"/>
  <c r="CE144" i="1"/>
  <c r="AG152" i="1"/>
  <c r="CV152" i="1"/>
  <c r="AO146" i="1"/>
  <c r="AZ146" i="1"/>
  <c r="DE158" i="1"/>
  <c r="AU161" i="1"/>
  <c r="DC161" i="1"/>
  <c r="CS156" i="1"/>
  <c r="DU157" i="1"/>
  <c r="DY157" i="1"/>
  <c r="DF150" i="1"/>
  <c r="AI150" i="1"/>
  <c r="BT144" i="1"/>
  <c r="CS152" i="1"/>
  <c r="DC152" i="1"/>
  <c r="DU146" i="1"/>
  <c r="AS146" i="1"/>
  <c r="DX158" i="1"/>
  <c r="AN161" i="1"/>
  <c r="DA161" i="1"/>
  <c r="DJ156" i="1"/>
  <c r="BU157" i="1"/>
  <c r="CR157" i="1"/>
  <c r="AP150" i="1"/>
  <c r="CX150" i="1"/>
  <c r="CB144" i="1"/>
  <c r="EB152" i="1"/>
  <c r="DX152" i="1"/>
  <c r="CX158" i="1"/>
  <c r="DH158" i="1"/>
  <c r="DJ161" i="1"/>
  <c r="DV156" i="1"/>
  <c r="DH156" i="1"/>
  <c r="CJ157" i="1"/>
  <c r="DK144" i="1"/>
  <c r="Z54" i="1"/>
  <c r="DG150" i="1"/>
  <c r="BE152" i="1"/>
  <c r="CW148" i="1"/>
  <c r="CW149" i="1"/>
  <c r="AT155" i="1"/>
  <c r="CQ159" i="1"/>
  <c r="CE148" i="1"/>
  <c r="BU160" i="1"/>
  <c r="BR154" i="1"/>
  <c r="DQ155" i="1"/>
  <c r="AI147" i="1"/>
  <c r="BT143" i="1"/>
  <c r="BR151" i="1"/>
  <c r="CZ149" i="1"/>
  <c r="BG154" i="1"/>
  <c r="AS155" i="1"/>
  <c r="CZ145" i="1"/>
  <c r="CL158" i="1"/>
  <c r="DQ161" i="1"/>
  <c r="CM157" i="1"/>
  <c r="BD150" i="1"/>
  <c r="EA144" i="1"/>
  <c r="BI152" i="1"/>
  <c r="DY152" i="1"/>
  <c r="AL158" i="1"/>
  <c r="AI161" i="1"/>
  <c r="AJ156" i="1"/>
  <c r="CL157" i="1"/>
  <c r="DL150" i="1"/>
  <c r="EB144" i="1"/>
  <c r="CG152" i="1"/>
  <c r="BM146" i="1"/>
  <c r="AH152" i="1"/>
  <c r="BB158" i="1"/>
  <c r="EB161" i="1"/>
  <c r="BN156" i="1"/>
  <c r="BR157" i="1"/>
  <c r="DH157" i="1"/>
  <c r="DE150" i="1"/>
  <c r="DD144" i="1"/>
  <c r="DB158" i="1"/>
  <c r="DD161" i="1"/>
  <c r="AO161" i="1"/>
  <c r="CE156" i="1"/>
  <c r="CC157" i="1"/>
  <c r="AN157" i="1"/>
  <c r="CF150" i="1"/>
  <c r="CU150" i="1"/>
  <c r="DY144" i="1"/>
  <c r="DJ152" i="1"/>
  <c r="DQ152" i="1"/>
  <c r="AL146" i="1"/>
  <c r="BX146" i="1"/>
  <c r="BP146" i="1"/>
  <c r="BF158" i="1"/>
  <c r="DE161" i="1"/>
  <c r="AQ161" i="1"/>
  <c r="CH156" i="1"/>
  <c r="DO157" i="1"/>
  <c r="DS157" i="1"/>
  <c r="CA150" i="1"/>
  <c r="BV144" i="1"/>
  <c r="CQ144" i="1"/>
  <c r="BC152" i="1"/>
  <c r="AW152" i="1"/>
  <c r="BF146" i="1"/>
  <c r="DI146" i="1"/>
  <c r="AR158" i="1"/>
  <c r="CT161" i="1"/>
  <c r="AZ161" i="1"/>
  <c r="CG156" i="1"/>
  <c r="AP157" i="1"/>
  <c r="BQ157" i="1"/>
  <c r="BJ150" i="1"/>
  <c r="DA144" i="1"/>
  <c r="BN144" i="1"/>
  <c r="AL152" i="1"/>
  <c r="BT152" i="1"/>
  <c r="BQ146" i="1"/>
  <c r="AQ146" i="1"/>
  <c r="DJ158" i="1"/>
  <c r="DL161" i="1"/>
  <c r="CQ161" i="1"/>
  <c r="CK156" i="1"/>
  <c r="BE157" i="1"/>
  <c r="CD157" i="1"/>
  <c r="BK150" i="1"/>
  <c r="BZ144" i="1"/>
  <c r="DP144" i="1"/>
  <c r="AO152" i="1"/>
  <c r="CJ152" i="1"/>
  <c r="DF158" i="1"/>
  <c r="CR158" i="1"/>
  <c r="DP161" i="1"/>
  <c r="CQ156" i="1"/>
  <c r="DP156" i="1"/>
  <c r="AV144" i="1"/>
  <c r="AX146" i="1"/>
  <c r="BT146" i="1"/>
  <c r="BB147" i="1"/>
  <c r="CJ151" i="1"/>
  <c r="BQ149" i="1"/>
  <c r="BK155" i="1"/>
  <c r="BK159" i="1"/>
  <c r="AS148" i="1"/>
  <c r="EC149" i="1"/>
  <c r="CX154" i="1"/>
  <c r="DE155" i="1"/>
  <c r="AR147" i="1"/>
  <c r="BC143" i="1"/>
  <c r="BL151" i="1"/>
  <c r="DL149" i="1"/>
  <c r="CL153" i="1"/>
  <c r="BS155" i="1"/>
  <c r="DQ145" i="1"/>
  <c r="CN158" i="1"/>
  <c r="BQ156" i="1"/>
  <c r="BH157" i="1"/>
  <c r="DQ150" i="1"/>
  <c r="BD144" i="1"/>
  <c r="DH146" i="1"/>
  <c r="BY158" i="1"/>
  <c r="BH161" i="1"/>
  <c r="AT161" i="1"/>
  <c r="CW157" i="1"/>
  <c r="AR150" i="1"/>
  <c r="BS150" i="1"/>
  <c r="AU144" i="1"/>
  <c r="BB152" i="1"/>
  <c r="DD146" i="1"/>
  <c r="DV146" i="1"/>
  <c r="DI158" i="1"/>
  <c r="BZ161" i="1"/>
  <c r="DU156" i="1"/>
  <c r="DN157" i="1"/>
  <c r="CR150" i="1"/>
  <c r="DC150" i="1"/>
  <c r="CI144" i="1"/>
  <c r="BK158" i="1"/>
  <c r="CA161" i="1"/>
  <c r="AV161" i="1"/>
  <c r="DB156" i="1"/>
  <c r="AV157" i="1"/>
  <c r="CF157" i="1"/>
  <c r="AQ150" i="1"/>
  <c r="BY144" i="1"/>
  <c r="DR144" i="1"/>
  <c r="DV152" i="1"/>
  <c r="BK152" i="1"/>
  <c r="DW146" i="1"/>
  <c r="BK146" i="1"/>
  <c r="AK158" i="1"/>
  <c r="AM158" i="1"/>
  <c r="DU161" i="1"/>
  <c r="CZ161" i="1"/>
  <c r="BP156" i="1"/>
  <c r="BM157" i="1"/>
  <c r="AW157" i="1"/>
  <c r="DW150" i="1"/>
  <c r="BG144" i="1"/>
  <c r="DT144" i="1"/>
  <c r="DK152" i="1"/>
  <c r="Z47" i="1"/>
  <c r="DJ146" i="1"/>
  <c r="AQ158" i="1"/>
  <c r="CW158" i="1"/>
  <c r="DW161" i="1"/>
  <c r="AR161" i="1"/>
  <c r="AS156" i="1"/>
  <c r="DB157" i="1"/>
  <c r="DW157" i="1"/>
  <c r="DT150" i="1"/>
  <c r="DU144" i="1"/>
  <c r="CR144" i="1"/>
  <c r="BX152" i="1"/>
  <c r="EA146" i="1"/>
  <c r="AP146" i="1"/>
  <c r="BL158" i="1"/>
  <c r="AI158" i="1"/>
  <c r="BN161" i="1"/>
  <c r="CE161" i="1"/>
  <c r="AW156" i="1"/>
  <c r="AT157" i="1"/>
  <c r="BK157" i="1"/>
  <c r="EA150" i="1"/>
  <c r="CU144" i="1"/>
  <c r="DI144" i="1"/>
  <c r="BJ152" i="1"/>
  <c r="CK146" i="1"/>
  <c r="DU158" i="1"/>
  <c r="CP161" i="1"/>
  <c r="BY161" i="1"/>
  <c r="AK156" i="1"/>
  <c r="BV156" i="1"/>
  <c r="BN157" i="1"/>
  <c r="DR150" i="1"/>
  <c r="BN150" i="1"/>
  <c r="DJ144" i="1"/>
  <c r="AD167" i="1" l="1"/>
  <c r="AD231" i="1"/>
  <c r="AD199" i="1"/>
  <c r="AD190" i="1"/>
  <c r="AD224" i="1"/>
  <c r="AD222" i="1"/>
  <c r="AD219" i="1"/>
  <c r="AD223" i="1"/>
  <c r="AD187" i="1"/>
  <c r="AD206" i="1"/>
  <c r="AD195" i="1"/>
  <c r="AD164" i="1"/>
  <c r="AD180" i="1"/>
  <c r="AD170" i="1"/>
  <c r="AD193" i="1"/>
  <c r="AD178" i="1"/>
  <c r="AD229" i="1"/>
  <c r="AD165" i="1"/>
  <c r="V55" i="1"/>
  <c r="U55" i="1"/>
  <c r="W55" i="1"/>
  <c r="X55" i="1"/>
  <c r="AD173" i="1"/>
  <c r="AD242" i="1"/>
  <c r="AD226" i="1"/>
  <c r="AD194" i="1"/>
  <c r="AD232" i="1"/>
  <c r="AD210" i="1"/>
  <c r="U50" i="1"/>
  <c r="W45" i="1"/>
  <c r="U45" i="1"/>
  <c r="X42" i="1"/>
  <c r="W50" i="1"/>
  <c r="G17" i="19" s="1"/>
  <c r="V50" i="1"/>
  <c r="F17" i="19" s="1"/>
  <c r="AA49" i="1"/>
  <c r="X50" i="1"/>
  <c r="H17" i="19" s="1"/>
  <c r="AD144" i="1"/>
  <c r="AD143" i="1"/>
  <c r="AD166" i="1"/>
  <c r="AD149" i="1"/>
  <c r="AD207" i="1"/>
  <c r="AD192" i="1"/>
  <c r="AD198" i="1"/>
  <c r="AD216" i="1"/>
  <c r="AD153" i="1"/>
  <c r="AD191" i="1"/>
  <c r="AD208" i="1"/>
  <c r="AD236" i="1"/>
  <c r="AD183" i="1"/>
  <c r="AD152" i="1"/>
  <c r="Z27" i="1"/>
  <c r="W27" i="1" s="1"/>
  <c r="V28" i="1" s="1"/>
  <c r="AA41" i="1" s="1"/>
  <c r="AD177" i="1"/>
  <c r="AD176" i="1"/>
  <c r="AD169" i="1"/>
  <c r="AD234" i="1"/>
  <c r="AD175" i="1"/>
  <c r="AD186" i="1"/>
  <c r="AD200" i="1"/>
  <c r="AD239" i="1"/>
  <c r="AD217" i="1"/>
  <c r="AD171" i="1"/>
  <c r="AD238" i="1"/>
  <c r="AD196" i="1"/>
  <c r="AD230" i="1"/>
  <c r="AD205" i="1"/>
  <c r="AD184" i="1"/>
  <c r="AD185" i="1"/>
  <c r="AD188" i="1"/>
  <c r="AD157" i="1"/>
  <c r="X57" i="1"/>
  <c r="AD160" i="1"/>
  <c r="AD159" i="1"/>
  <c r="AD237" i="1"/>
  <c r="AD162" i="1"/>
  <c r="AD168" i="1"/>
  <c r="AD209" i="1"/>
  <c r="AD189" i="1"/>
  <c r="AD197" i="1"/>
  <c r="AD156" i="1"/>
  <c r="AD147" i="1"/>
  <c r="AD155" i="1"/>
  <c r="AD154" i="1"/>
  <c r="AD214" i="1"/>
  <c r="AD151" i="1"/>
  <c r="AD203" i="1"/>
  <c r="AD225" i="1"/>
  <c r="AD179" i="1"/>
  <c r="AD201" i="1"/>
  <c r="AD213" i="1"/>
  <c r="AD243" i="1"/>
  <c r="AD174" i="1"/>
  <c r="AD204" i="1"/>
  <c r="AD148" i="1"/>
  <c r="AD161" i="1"/>
  <c r="AD158" i="1"/>
  <c r="AD150" i="1"/>
  <c r="AD146" i="1"/>
  <c r="U42" i="1"/>
  <c r="AD228" i="1"/>
  <c r="AD221" i="1"/>
  <c r="AD211" i="1"/>
  <c r="AD163" i="1"/>
  <c r="AD212" i="1"/>
  <c r="AD241" i="1"/>
  <c r="AD202" i="1"/>
  <c r="AD240" i="1"/>
  <c r="AD235" i="1"/>
  <c r="AD172" i="1"/>
  <c r="AD145" i="1"/>
  <c r="AD227" i="1"/>
  <c r="AD181" i="1"/>
  <c r="AD182" i="1"/>
  <c r="AD233" i="1"/>
  <c r="AD215" i="1"/>
  <c r="AD218" i="1"/>
  <c r="AD220" i="1"/>
  <c r="AA47" i="1"/>
  <c r="X43" i="1"/>
  <c r="X41" i="1"/>
  <c r="AA42" i="1" l="1"/>
  <c r="U31" i="1"/>
  <c r="AA38" i="1" s="1"/>
  <c r="Z38" i="1" s="1"/>
  <c r="U26" i="1"/>
  <c r="E17" i="19"/>
  <c r="U24" i="1"/>
  <c r="V24" i="1" s="1"/>
  <c r="AD142" i="1"/>
  <c r="AB143" i="1" s="1"/>
  <c r="H18" i="19"/>
  <c r="X52" i="1"/>
  <c r="X53" i="1" s="1"/>
  <c r="W52" i="1"/>
  <c r="W53" i="1" s="1"/>
  <c r="G18" i="19"/>
  <c r="V54" i="1"/>
  <c r="U52" i="1"/>
  <c r="E18" i="19"/>
  <c r="Y54" i="1"/>
  <c r="V52" i="1"/>
  <c r="V53" i="1" s="1"/>
  <c r="F18" i="19"/>
  <c r="AB144" i="1" l="1"/>
  <c r="AB145" i="1" s="1"/>
  <c r="AB146" i="1" s="1"/>
  <c r="AB147" i="1" s="1"/>
  <c r="AB148" i="1" s="1"/>
  <c r="AB149" i="1" s="1"/>
  <c r="AB150" i="1" s="1"/>
  <c r="AB151" i="1" s="1"/>
  <c r="AB152" i="1" s="1"/>
  <c r="AB153" i="1" s="1"/>
  <c r="AB154" i="1" s="1"/>
  <c r="AB155" i="1" s="1"/>
  <c r="AB156" i="1" s="1"/>
  <c r="AB157" i="1" s="1"/>
  <c r="AB158" i="1" s="1"/>
  <c r="AB159" i="1" s="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B182" i="1" s="1"/>
  <c r="AB183" i="1" s="1"/>
  <c r="AB184" i="1" s="1"/>
  <c r="AB185" i="1" s="1"/>
  <c r="AB186" i="1" s="1"/>
  <c r="AB187" i="1" s="1"/>
  <c r="AB188" i="1" s="1"/>
  <c r="AB189" i="1" s="1"/>
  <c r="AB190" i="1" s="1"/>
  <c r="AB191" i="1" s="1"/>
  <c r="AB192" i="1" s="1"/>
  <c r="AB193" i="1" s="1"/>
  <c r="AB194" i="1" s="1"/>
  <c r="AB195" i="1" s="1"/>
  <c r="AB196" i="1" s="1"/>
  <c r="AB197" i="1" s="1"/>
  <c r="AB198" i="1" s="1"/>
  <c r="AB199" i="1" s="1"/>
  <c r="AB200" i="1" s="1"/>
  <c r="AB201" i="1" s="1"/>
  <c r="AB202" i="1" s="1"/>
  <c r="AB203" i="1" s="1"/>
  <c r="AB204" i="1" s="1"/>
  <c r="AB205" i="1" s="1"/>
  <c r="AB206" i="1" s="1"/>
  <c r="AB207" i="1" s="1"/>
  <c r="AB208" i="1" s="1"/>
  <c r="AB209" i="1" s="1"/>
  <c r="AB210" i="1" s="1"/>
  <c r="AB211" i="1" s="1"/>
  <c r="AB212" i="1" s="1"/>
  <c r="AB213" i="1" s="1"/>
  <c r="AB214" i="1" s="1"/>
  <c r="AB215" i="1" s="1"/>
  <c r="AB216" i="1" s="1"/>
  <c r="AB217" i="1" s="1"/>
  <c r="AB218" i="1" s="1"/>
  <c r="AB219" i="1" s="1"/>
  <c r="AB220" i="1" s="1"/>
  <c r="AB221" i="1" s="1"/>
  <c r="AB222" i="1" s="1"/>
  <c r="AB223" i="1" s="1"/>
  <c r="AB224" i="1" s="1"/>
  <c r="AB225" i="1" s="1"/>
  <c r="AB226" i="1" s="1"/>
  <c r="AB227" i="1" s="1"/>
  <c r="AB228" i="1" s="1"/>
  <c r="AB229" i="1" s="1"/>
  <c r="AB230" i="1" s="1"/>
  <c r="AB231" i="1" s="1"/>
  <c r="AB232" i="1" s="1"/>
  <c r="AB233" i="1" s="1"/>
  <c r="AB234" i="1" s="1"/>
  <c r="AB235" i="1" s="1"/>
  <c r="AB236" i="1" s="1"/>
  <c r="AB237" i="1" s="1"/>
  <c r="AB238" i="1" s="1"/>
  <c r="AB239" i="1" s="1"/>
  <c r="AB240" i="1" s="1"/>
  <c r="AB241" i="1" s="1"/>
  <c r="AB242" i="1" s="1"/>
  <c r="AB243" i="1" s="1"/>
  <c r="E12" i="19"/>
  <c r="U53" i="1"/>
  <c r="AA53" i="1" s="1"/>
  <c r="AA17" i="1" s="1"/>
  <c r="BW140" i="1" l="1"/>
  <c r="AM140" i="1"/>
  <c r="DD140" i="1"/>
  <c r="CX140" i="1"/>
  <c r="CJ140" i="1"/>
  <c r="AT140" i="1"/>
  <c r="BG140" i="1"/>
  <c r="DV140" i="1"/>
  <c r="CP140" i="1"/>
  <c r="CQ140" i="1"/>
  <c r="DT140" i="1"/>
  <c r="CK140" i="1"/>
  <c r="BY140" i="1"/>
  <c r="CB140" i="1"/>
  <c r="DN140" i="1"/>
  <c r="DI140" i="1"/>
  <c r="CI140" i="1"/>
  <c r="BJ140" i="1"/>
  <c r="BA140" i="1"/>
  <c r="EC140" i="1"/>
  <c r="AX140" i="1"/>
  <c r="DB140" i="1"/>
  <c r="BC140" i="1"/>
  <c r="BR140" i="1"/>
  <c r="BM140" i="1"/>
  <c r="AK140" i="1"/>
  <c r="AS140" i="1"/>
  <c r="CG140" i="1"/>
  <c r="BU140" i="1"/>
  <c r="DC140" i="1"/>
  <c r="DS140" i="1"/>
  <c r="DF140" i="1"/>
  <c r="BD140" i="1"/>
  <c r="BE140" i="1"/>
  <c r="DU140" i="1"/>
  <c r="BP140" i="1"/>
  <c r="DQ140" i="1"/>
  <c r="BS140" i="1"/>
  <c r="DZ140" i="1"/>
  <c r="BL140" i="1"/>
  <c r="CV140" i="1"/>
  <c r="CC140" i="1"/>
  <c r="DH140" i="1"/>
  <c r="CA140" i="1"/>
  <c r="BH140" i="1"/>
  <c r="CH140" i="1"/>
  <c r="AH140" i="1"/>
  <c r="DY140" i="1"/>
  <c r="CZ140" i="1"/>
  <c r="EB140" i="1"/>
  <c r="DK140" i="1"/>
  <c r="BT140" i="1"/>
  <c r="AQ140" i="1"/>
  <c r="CR140" i="1"/>
  <c r="CY140" i="1"/>
  <c r="EA140" i="1"/>
  <c r="CS140" i="1"/>
  <c r="BX140" i="1"/>
  <c r="CL140" i="1"/>
  <c r="DR140" i="1"/>
  <c r="AW140" i="1"/>
  <c r="BN140" i="1"/>
  <c r="CF140" i="1"/>
  <c r="CM140" i="1"/>
  <c r="DG140" i="1"/>
  <c r="DJ140" i="1"/>
  <c r="AR140" i="1"/>
  <c r="CO140" i="1"/>
  <c r="BF140" i="1"/>
  <c r="BQ140" i="1"/>
  <c r="CU140" i="1"/>
  <c r="BB140" i="1"/>
  <c r="AO140" i="1"/>
  <c r="CD140" i="1"/>
  <c r="DM140" i="1"/>
  <c r="DP140" i="1"/>
  <c r="BI140" i="1"/>
  <c r="BO140" i="1"/>
  <c r="DL140" i="1"/>
  <c r="AP140" i="1"/>
  <c r="CT140" i="1"/>
  <c r="AG140" i="1"/>
  <c r="AG139" i="1" s="1"/>
  <c r="V57" i="1" s="1"/>
  <c r="CE140" i="1"/>
  <c r="BV140" i="1"/>
  <c r="AV140" i="1"/>
  <c r="AN140" i="1"/>
  <c r="AI140" i="1"/>
  <c r="DA140" i="1"/>
  <c r="U57" i="1"/>
  <c r="AJ140" i="1"/>
  <c r="DO140" i="1"/>
  <c r="AU140" i="1"/>
  <c r="CN140" i="1"/>
  <c r="BK140" i="1"/>
  <c r="AL140" i="1"/>
  <c r="DX140" i="1"/>
  <c r="AZ140" i="1"/>
  <c r="DW140" i="1"/>
  <c r="AY140" i="1"/>
  <c r="DE140" i="1"/>
  <c r="BZ140" i="1"/>
  <c r="CW140" i="1"/>
  <c r="E13" i="19"/>
  <c r="E14" i="19"/>
  <c r="AH139" i="1" l="1"/>
  <c r="AI139" i="1" s="1"/>
  <c r="AJ139" i="1" s="1"/>
  <c r="AK139" i="1" s="1"/>
  <c r="AL139" i="1" s="1"/>
  <c r="AM139" i="1" s="1"/>
  <c r="AN139" i="1" s="1"/>
  <c r="AO139" i="1" s="1"/>
  <c r="AP139" i="1" s="1"/>
  <c r="AQ139" i="1" s="1"/>
  <c r="AR139" i="1" s="1"/>
  <c r="AS139" i="1" s="1"/>
  <c r="AT139" i="1" s="1"/>
  <c r="AU139" i="1" s="1"/>
  <c r="AV139" i="1" s="1"/>
  <c r="AW139" i="1" s="1"/>
  <c r="AX139" i="1" s="1"/>
  <c r="AY139" i="1" s="1"/>
  <c r="AZ139" i="1" s="1"/>
  <c r="BA139" i="1" s="1"/>
  <c r="BB139" i="1" s="1"/>
  <c r="BC139" i="1" s="1"/>
  <c r="BD139" i="1" s="1"/>
  <c r="BE139" i="1" s="1"/>
  <c r="BF139" i="1" s="1"/>
  <c r="BG139" i="1" s="1"/>
  <c r="BH139" i="1" s="1"/>
  <c r="BI139" i="1" s="1"/>
  <c r="BJ139" i="1" s="1"/>
  <c r="BK139" i="1" s="1"/>
  <c r="BL139" i="1" s="1"/>
  <c r="BM139" i="1" s="1"/>
  <c r="BN139" i="1" s="1"/>
  <c r="BO139" i="1" s="1"/>
  <c r="BP139" i="1" s="1"/>
  <c r="BQ139" i="1" s="1"/>
  <c r="BR139" i="1" s="1"/>
  <c r="BS139" i="1" s="1"/>
  <c r="BT139" i="1" s="1"/>
  <c r="BU139" i="1" s="1"/>
  <c r="BV139" i="1" s="1"/>
  <c r="BW139" i="1" s="1"/>
  <c r="BX139" i="1" s="1"/>
  <c r="BY139" i="1" s="1"/>
  <c r="BZ139" i="1" s="1"/>
  <c r="CA139" i="1" s="1"/>
  <c r="CB139" i="1" s="1"/>
  <c r="CC139" i="1" s="1"/>
  <c r="CD139" i="1" s="1"/>
  <c r="CE139" i="1" s="1"/>
  <c r="CF139" i="1" s="1"/>
  <c r="CG139" i="1" s="1"/>
  <c r="CH139" i="1" s="1"/>
  <c r="CI139" i="1" s="1"/>
  <c r="CJ139" i="1" s="1"/>
  <c r="CK139" i="1" s="1"/>
  <c r="CL139" i="1" s="1"/>
  <c r="CM139" i="1" s="1"/>
  <c r="CN139" i="1" s="1"/>
  <c r="CO139" i="1" s="1"/>
  <c r="CP139" i="1" s="1"/>
  <c r="CQ139" i="1" s="1"/>
  <c r="CR139" i="1" s="1"/>
  <c r="CS139" i="1" s="1"/>
  <c r="CT139" i="1" s="1"/>
  <c r="CU139" i="1" s="1"/>
  <c r="CV139" i="1" s="1"/>
  <c r="CW139" i="1" s="1"/>
  <c r="CX139" i="1" s="1"/>
  <c r="CY139" i="1" s="1"/>
  <c r="CZ139" i="1" s="1"/>
  <c r="DA139" i="1" s="1"/>
  <c r="DB139" i="1" s="1"/>
  <c r="DC139" i="1" s="1"/>
  <c r="DD139" i="1" s="1"/>
  <c r="DE139" i="1" s="1"/>
  <c r="DF139" i="1" s="1"/>
  <c r="DG139" i="1" s="1"/>
  <c r="DH139" i="1" s="1"/>
  <c r="DI139" i="1" s="1"/>
  <c r="DJ139" i="1" s="1"/>
  <c r="DK139" i="1" s="1"/>
  <c r="DL139" i="1" s="1"/>
  <c r="DM139" i="1" s="1"/>
  <c r="DN139" i="1" s="1"/>
  <c r="DO139" i="1" s="1"/>
  <c r="DP139" i="1" s="1"/>
  <c r="DQ139" i="1" s="1"/>
  <c r="DR139" i="1" s="1"/>
  <c r="DS139" i="1" s="1"/>
  <c r="DT139" i="1" s="1"/>
  <c r="DU139" i="1" s="1"/>
  <c r="DV139" i="1" s="1"/>
  <c r="DW139" i="1" s="1"/>
  <c r="DX139" i="1" s="1"/>
  <c r="DY139" i="1" s="1"/>
  <c r="DZ139" i="1" s="1"/>
  <c r="EA139" i="1" s="1"/>
  <c r="EB139" i="1" s="1"/>
  <c r="EC139" i="1" s="1"/>
  <c r="W57" i="1"/>
  <c r="H24" i="19"/>
  <c r="F24" i="19"/>
  <c r="N8" i="2" s="1"/>
  <c r="B224" i="21" s="1"/>
  <c r="G24" i="19"/>
  <c r="E24" i="19"/>
  <c r="G25" i="19" l="1"/>
  <c r="G27" i="19"/>
  <c r="F25" i="19"/>
  <c r="N9" i="2" s="1"/>
  <c r="B225" i="21" s="1"/>
  <c r="F27" i="19"/>
  <c r="H27" i="19"/>
  <c r="H25" i="19"/>
  <c r="H30" i="19" s="1"/>
  <c r="P23" i="2" s="1"/>
  <c r="B233" i="21" s="1"/>
  <c r="E25" i="19"/>
  <c r="E30" i="19" s="1"/>
  <c r="M23" i="2" s="1"/>
  <c r="B215" i="21" s="1"/>
  <c r="E27" i="19"/>
  <c r="M8" i="2"/>
  <c r="G30" i="19" l="1"/>
  <c r="O23" i="2" s="1"/>
  <c r="B227" i="21" s="1"/>
  <c r="G28" i="19"/>
  <c r="S32" i="1" s="1"/>
  <c r="G26" i="19"/>
  <c r="P32" i="1" s="1"/>
  <c r="R32" i="1"/>
  <c r="R31" i="1"/>
  <c r="F28" i="19"/>
  <c r="F26" i="19"/>
  <c r="E28" i="19"/>
  <c r="E26" i="19"/>
  <c r="M9" i="2"/>
  <c r="B219" i="21" s="1"/>
  <c r="R30" i="1"/>
  <c r="H28" i="19"/>
  <c r="S33" i="1" s="1"/>
  <c r="R33" i="1"/>
  <c r="H26" i="19"/>
  <c r="P33" i="1" s="1"/>
  <c r="F30" i="19"/>
  <c r="N23" i="2" s="1"/>
  <c r="B221" i="21" s="1"/>
  <c r="B218" i="21"/>
  <c r="R8" i="2"/>
  <c r="P31" i="1" l="1"/>
  <c r="N13" i="2"/>
  <c r="S31" i="1"/>
  <c r="N10" i="2"/>
  <c r="P30" i="1"/>
  <c r="I26" i="19"/>
  <c r="I29" i="19" s="1"/>
  <c r="M13" i="2"/>
  <c r="M10" i="2"/>
  <c r="S30" i="1"/>
  <c r="J28" i="19"/>
  <c r="R13" i="2" l="1"/>
  <c r="R15" i="2" s="1"/>
  <c r="R10" i="2"/>
  <c r="T13" i="2" l="1"/>
  <c r="B264" i="21"/>
  <c r="R20" i="2"/>
  <c r="B266"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Alan Plumley</author>
  </authors>
  <commentList>
    <comment ref="H10" authorId="0" shapeId="0" xr:uid="{00000000-0006-0000-0000-000002000000}">
      <text>
        <r>
          <rPr>
            <b/>
            <sz val="10"/>
            <color indexed="81"/>
            <rFont val="Geneva"/>
          </rPr>
          <t>Dependents:</t>
        </r>
        <r>
          <rPr>
            <sz val="10"/>
            <color indexed="81"/>
            <rFont val="Geneva"/>
          </rPr>
          <t xml:space="preserve">  You can claim as a dependent anyone who was alive at some time during the year, who meets </t>
        </r>
        <r>
          <rPr>
            <b/>
            <sz val="10"/>
            <color indexed="81"/>
            <rFont val="Geneva"/>
          </rPr>
          <t>all five</t>
        </r>
        <r>
          <rPr>
            <sz val="10"/>
            <color indexed="81"/>
            <rFont val="Geneva"/>
          </rPr>
          <t xml:space="preserve"> of the following tests:
(1) </t>
        </r>
        <r>
          <rPr>
            <b/>
            <sz val="10"/>
            <color indexed="81"/>
            <rFont val="Geneva"/>
          </rPr>
          <t>Relationship:</t>
        </r>
        <r>
          <rPr>
            <sz val="10"/>
            <color indexed="81"/>
            <rFont val="Geneva"/>
          </rPr>
          <t xml:space="preserve">  The person must generally be your relative.
(2) </t>
        </r>
        <r>
          <rPr>
            <b/>
            <sz val="10"/>
            <color indexed="81"/>
            <rFont val="Geneva"/>
          </rPr>
          <t>Married Person:</t>
        </r>
        <r>
          <rPr>
            <sz val="10"/>
            <color indexed="81"/>
            <rFont val="Geneva"/>
          </rPr>
          <t xml:space="preserve">  If the person is married, and files a joint return, you cannot claim him as a dependent.
(3) </t>
        </r>
        <r>
          <rPr>
            <b/>
            <sz val="10"/>
            <color indexed="81"/>
            <rFont val="Geneva"/>
          </rPr>
          <t>Citizen or Resident:</t>
        </r>
        <r>
          <rPr>
            <sz val="10"/>
            <color indexed="81"/>
            <rFont val="Geneva"/>
          </rPr>
          <t xml:space="preserve">  The person </t>
        </r>
        <r>
          <rPr>
            <u/>
            <sz val="10"/>
            <color indexed="81"/>
            <rFont val="Geneva"/>
          </rPr>
          <t>must</t>
        </r>
        <r>
          <rPr>
            <sz val="10"/>
            <color indexed="81"/>
            <rFont val="Geneva"/>
          </rPr>
          <t xml:space="preserve"> be one of the following:
        • A U.S. citizen or resident alien, or
        • A resident of Canada or Mexico, or
        • Your adopted child who lived with you all year in a foreign country
(4) </t>
        </r>
        <r>
          <rPr>
            <b/>
            <sz val="10"/>
            <color indexed="81"/>
            <rFont val="Geneva"/>
          </rPr>
          <t>Income:</t>
        </r>
        <r>
          <rPr>
            <sz val="10"/>
            <color indexed="81"/>
            <rFont val="Geneva"/>
          </rPr>
          <t xml:space="preserve">  Generally, the person's gross income must be less than $2,550.  </t>
        </r>
        <r>
          <rPr>
            <u/>
            <sz val="10"/>
            <color indexed="81"/>
            <rFont val="Geneva"/>
          </rPr>
          <t>Exception:</t>
        </r>
        <r>
          <rPr>
            <sz val="10"/>
            <color indexed="81"/>
            <rFont val="Geneva"/>
          </rPr>
          <t xml:space="preserve">  your child can have gross income of $2,550 or more if:
        • Your child was under age 19 at the end of the year, or
        • Your child was under age 24 at the end of the year and was a student.
(5) </t>
        </r>
        <r>
          <rPr>
            <b/>
            <sz val="10"/>
            <color indexed="81"/>
            <rFont val="Geneva"/>
          </rPr>
          <t>Support:</t>
        </r>
        <r>
          <rPr>
            <sz val="10"/>
            <color indexed="81"/>
            <rFont val="Geneva"/>
          </rPr>
          <t xml:space="preserve">  Generally, you must provide over half of the person's total support for the year.  Support includes food, a place to live, clothing, medical and dental care, and education.</t>
        </r>
      </text>
    </comment>
    <comment ref="H11" authorId="0" shapeId="0" xr:uid="{7E1908B2-7D89-429E-822A-AEC00A54F7F6}">
      <text>
        <r>
          <rPr>
            <b/>
            <sz val="10"/>
            <color indexed="81"/>
            <rFont val="Geneva"/>
          </rPr>
          <t>Dependents:</t>
        </r>
        <r>
          <rPr>
            <sz val="10"/>
            <color indexed="81"/>
            <rFont val="Geneva"/>
          </rPr>
          <t xml:space="preserve">  You can claim as a dependent anyone who was alive at some time during the year, who meets </t>
        </r>
        <r>
          <rPr>
            <b/>
            <sz val="10"/>
            <color indexed="81"/>
            <rFont val="Geneva"/>
          </rPr>
          <t>all five</t>
        </r>
        <r>
          <rPr>
            <sz val="10"/>
            <color indexed="81"/>
            <rFont val="Geneva"/>
          </rPr>
          <t xml:space="preserve"> of the following tests:
(1) </t>
        </r>
        <r>
          <rPr>
            <b/>
            <sz val="10"/>
            <color indexed="81"/>
            <rFont val="Geneva"/>
          </rPr>
          <t>Relationship:</t>
        </r>
        <r>
          <rPr>
            <sz val="10"/>
            <color indexed="81"/>
            <rFont val="Geneva"/>
          </rPr>
          <t xml:space="preserve">  The person must generally be your relative.
(2) </t>
        </r>
        <r>
          <rPr>
            <b/>
            <sz val="10"/>
            <color indexed="81"/>
            <rFont val="Geneva"/>
          </rPr>
          <t>Married Person:</t>
        </r>
        <r>
          <rPr>
            <sz val="10"/>
            <color indexed="81"/>
            <rFont val="Geneva"/>
          </rPr>
          <t xml:space="preserve">  If the person is married, and files a joint return, you cannot claim him as a dependent.
(3) </t>
        </r>
        <r>
          <rPr>
            <b/>
            <sz val="10"/>
            <color indexed="81"/>
            <rFont val="Geneva"/>
          </rPr>
          <t>Citizen or Resident:</t>
        </r>
        <r>
          <rPr>
            <sz val="10"/>
            <color indexed="81"/>
            <rFont val="Geneva"/>
          </rPr>
          <t xml:space="preserve">  The person </t>
        </r>
        <r>
          <rPr>
            <u/>
            <sz val="10"/>
            <color indexed="81"/>
            <rFont val="Geneva"/>
          </rPr>
          <t>must</t>
        </r>
        <r>
          <rPr>
            <sz val="10"/>
            <color indexed="81"/>
            <rFont val="Geneva"/>
          </rPr>
          <t xml:space="preserve"> be one of the following:
        • A U.S. citizen or resident alien, or
        • A resident of Canada or Mexico, or
        • Your adopted child who lived with you all year in a foreign country
(4) </t>
        </r>
        <r>
          <rPr>
            <b/>
            <sz val="10"/>
            <color indexed="81"/>
            <rFont val="Geneva"/>
          </rPr>
          <t>Income:</t>
        </r>
        <r>
          <rPr>
            <sz val="10"/>
            <color indexed="81"/>
            <rFont val="Geneva"/>
          </rPr>
          <t xml:space="preserve">  Generally, the person's gross income must be less than $2,550.  </t>
        </r>
        <r>
          <rPr>
            <u/>
            <sz val="10"/>
            <color indexed="81"/>
            <rFont val="Geneva"/>
          </rPr>
          <t>Exception:</t>
        </r>
        <r>
          <rPr>
            <sz val="10"/>
            <color indexed="81"/>
            <rFont val="Geneva"/>
          </rPr>
          <t xml:space="preserve">  your child can have gross income of $2,550 or more if:
        • Your child was under age 19 at the end of the year, or
        • Your child was under age 24 at the end of the year and was a student.
(5) </t>
        </r>
        <r>
          <rPr>
            <b/>
            <sz val="10"/>
            <color indexed="81"/>
            <rFont val="Geneva"/>
          </rPr>
          <t>Support:</t>
        </r>
        <r>
          <rPr>
            <sz val="10"/>
            <color indexed="81"/>
            <rFont val="Geneva"/>
          </rPr>
          <t xml:space="preserve">  Generally, you must provide over half of the person's total support for the year.  Support includes food, a place to live, clothing, medical and dental care, and education.</t>
        </r>
      </text>
    </comment>
    <comment ref="H37" authorId="0" shapeId="0" xr:uid="{00000000-0006-0000-0000-000009000000}">
      <text>
        <r>
          <rPr>
            <b/>
            <sz val="10"/>
            <color indexed="81"/>
            <rFont val="Geneva"/>
          </rPr>
          <t>Examples of Itemized Deductions:</t>
        </r>
        <r>
          <rPr>
            <sz val="10"/>
            <color indexed="81"/>
            <rFont val="Geneva"/>
          </rPr>
          <t xml:space="preserve">
Medical and Dental Expenses
State and Local Taxes Paid
Mortgage Interest Paid
Charitable Contributions
Casualty and Theft Losses
Unremimbursed Job Expenses
Other Miscellaneous Deductions</t>
        </r>
      </text>
    </comment>
    <comment ref="H39" authorId="0" shapeId="0" xr:uid="{00000000-0006-0000-0000-00000A000000}">
      <text>
        <r>
          <rPr>
            <b/>
            <sz val="10"/>
            <color indexed="81"/>
            <rFont val="Geneva"/>
          </rPr>
          <t>Child or Dependent Care Credit:</t>
        </r>
        <r>
          <rPr>
            <sz val="10"/>
            <color indexed="81"/>
            <rFont val="Geneva"/>
          </rPr>
          <t xml:space="preserve">
These expenses must be work-related child or dependent care expenses.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Alan Plumley</author>
  </authors>
  <commentList>
    <comment ref="C2" authorId="0" shapeId="0" xr:uid="{00000000-0006-0000-0200-000001000000}">
      <text>
        <r>
          <rPr>
            <b/>
            <sz val="12"/>
            <color indexed="81"/>
            <rFont val="Arial"/>
            <family val="2"/>
          </rPr>
          <t>COLA Page 7</t>
        </r>
      </text>
    </comment>
    <comment ref="H2" authorId="0" shapeId="0" xr:uid="{00000000-0006-0000-0200-000002000000}">
      <text>
        <r>
          <rPr>
            <b/>
            <sz val="12"/>
            <color indexed="81"/>
            <rFont val="Arial"/>
            <family val="2"/>
          </rPr>
          <t>COLA Page 7</t>
        </r>
      </text>
    </comment>
    <comment ref="AD4" authorId="0" shapeId="0" xr:uid="{00000000-0006-0000-0200-000003000000}">
      <text>
        <r>
          <rPr>
            <b/>
            <sz val="12"/>
            <color indexed="81"/>
            <rFont val="Arial"/>
            <family val="2"/>
          </rPr>
          <t>COLA Page 7</t>
        </r>
      </text>
    </comment>
    <comment ref="J7" authorId="0" shapeId="0" xr:uid="{00000000-0006-0000-0200-000004000000}">
      <text>
        <r>
          <rPr>
            <b/>
            <sz val="12"/>
            <color indexed="81"/>
            <rFont val="Arial"/>
            <family val="2"/>
          </rPr>
          <t>See Below</t>
        </r>
      </text>
    </comment>
    <comment ref="C8" authorId="0" shapeId="0" xr:uid="{00000000-0006-0000-0200-000005000000}">
      <text>
        <r>
          <rPr>
            <b/>
            <sz val="12"/>
            <color indexed="81"/>
            <rFont val="Arial"/>
            <family val="2"/>
          </rPr>
          <t>COLA Page 7</t>
        </r>
      </text>
    </comment>
    <comment ref="I8" authorId="0" shapeId="0" xr:uid="{00000000-0006-0000-0200-000006000000}">
      <text>
        <r>
          <rPr>
            <b/>
            <sz val="12"/>
            <color indexed="81"/>
            <rFont val="Arial"/>
            <family val="2"/>
          </rPr>
          <t>COLA Page 7</t>
        </r>
      </text>
    </comment>
    <comment ref="K8" authorId="0" shapeId="0" xr:uid="{00000000-0006-0000-0200-000007000000}">
      <text>
        <r>
          <rPr>
            <b/>
            <sz val="12"/>
            <color indexed="81"/>
            <rFont val="Arial"/>
            <family val="2"/>
          </rPr>
          <t>COLA Page 9</t>
        </r>
      </text>
    </comment>
    <comment ref="C9" authorId="0" shapeId="0" xr:uid="{00000000-0006-0000-0200-000008000000}">
      <text>
        <r>
          <rPr>
            <b/>
            <sz val="12"/>
            <color indexed="81"/>
            <rFont val="Arial"/>
            <family val="2"/>
          </rPr>
          <t>COLA Page 7</t>
        </r>
      </text>
    </comment>
    <comment ref="I9" authorId="0" shapeId="0" xr:uid="{00000000-0006-0000-0200-000009000000}">
      <text>
        <r>
          <rPr>
            <b/>
            <sz val="12"/>
            <color indexed="81"/>
            <rFont val="Arial"/>
            <family val="2"/>
          </rPr>
          <t>COLA Page 7</t>
        </r>
      </text>
    </comment>
    <comment ref="C10" authorId="0" shapeId="0" xr:uid="{00000000-0006-0000-0200-00000A000000}">
      <text>
        <r>
          <rPr>
            <b/>
            <sz val="12"/>
            <color indexed="81"/>
            <rFont val="Arial"/>
            <family val="2"/>
          </rPr>
          <t>COLA Page 7</t>
        </r>
      </text>
    </comment>
    <comment ref="I10" authorId="0" shapeId="0" xr:uid="{00000000-0006-0000-0200-00000B000000}">
      <text>
        <r>
          <rPr>
            <b/>
            <sz val="12"/>
            <color indexed="81"/>
            <rFont val="Arial"/>
            <family val="2"/>
          </rPr>
          <t>COLA Page 7</t>
        </r>
      </text>
    </comment>
    <comment ref="C11" authorId="0" shapeId="0" xr:uid="{00000000-0006-0000-0200-00000C000000}">
      <text>
        <r>
          <rPr>
            <b/>
            <sz val="12"/>
            <color indexed="81"/>
            <rFont val="Arial"/>
            <family val="2"/>
          </rPr>
          <t>COLA Page 7</t>
        </r>
      </text>
    </comment>
    <comment ref="I11" authorId="0" shapeId="0" xr:uid="{00000000-0006-0000-0200-00000D000000}">
      <text>
        <r>
          <rPr>
            <b/>
            <sz val="12"/>
            <color indexed="81"/>
            <rFont val="Arial"/>
            <family val="2"/>
          </rPr>
          <t>COLA Page 7</t>
        </r>
      </text>
    </comment>
    <comment ref="AD11" authorId="0" shapeId="0" xr:uid="{00000000-0006-0000-0200-00000E000000}">
      <text>
        <r>
          <rPr>
            <b/>
            <sz val="12"/>
            <color indexed="81"/>
            <rFont val="Arial"/>
            <family val="2"/>
          </rPr>
          <t>COLA Page 9</t>
        </r>
      </text>
    </comment>
    <comment ref="C12" authorId="0" shapeId="0" xr:uid="{00000000-0006-0000-0200-00000F000000}">
      <text>
        <r>
          <rPr>
            <b/>
            <sz val="12"/>
            <color indexed="81"/>
            <rFont val="Arial"/>
            <family val="2"/>
          </rPr>
          <t>COLA Page 7</t>
        </r>
      </text>
    </comment>
    <comment ref="I12" authorId="0" shapeId="0" xr:uid="{00000000-0006-0000-0200-000010000000}">
      <text>
        <r>
          <rPr>
            <b/>
            <sz val="12"/>
            <color indexed="81"/>
            <rFont val="Arial"/>
            <family val="2"/>
          </rPr>
          <t>COLA Page 7</t>
        </r>
      </text>
    </comment>
    <comment ref="B37" authorId="0" shapeId="0" xr:uid="{0F0DD4E8-7273-4716-B3D6-330F77B443E5}">
      <text>
        <r>
          <rPr>
            <b/>
            <sz val="12"/>
            <color indexed="81"/>
            <rFont val="Arial"/>
            <family val="2"/>
          </rPr>
          <t>From OTA</t>
        </r>
      </text>
    </comment>
    <comment ref="C37" authorId="0" shapeId="0" xr:uid="{E55D0692-41F2-4BD0-99BB-3CF787D2414C}">
      <text>
        <r>
          <rPr>
            <b/>
            <sz val="12"/>
            <color indexed="81"/>
            <rFont val="Arial"/>
            <family val="2"/>
          </rPr>
          <t>From OTA</t>
        </r>
      </text>
    </comment>
    <comment ref="D37" authorId="0" shapeId="0" xr:uid="{14CEB695-E396-470C-B99F-CE220E92A597}">
      <text>
        <r>
          <rPr>
            <b/>
            <sz val="12"/>
            <color indexed="81"/>
            <rFont val="Arial"/>
            <family val="2"/>
          </rPr>
          <t>From OTA</t>
        </r>
      </text>
    </comment>
    <comment ref="B38" authorId="0" shapeId="0" xr:uid="{43FA97AC-7C7D-44E1-B920-86059A1B976F}">
      <text>
        <r>
          <rPr>
            <b/>
            <sz val="12"/>
            <color indexed="81"/>
            <rFont val="Arial"/>
            <family val="2"/>
          </rPr>
          <t>From OTA</t>
        </r>
      </text>
    </comment>
    <comment ref="C38" authorId="0" shapeId="0" xr:uid="{CE9B3714-BD66-44FF-B89F-CD30EAA759A8}">
      <text>
        <r>
          <rPr>
            <b/>
            <sz val="12"/>
            <color indexed="81"/>
            <rFont val="Arial"/>
            <family val="2"/>
          </rPr>
          <t>From OTA</t>
        </r>
      </text>
    </comment>
    <comment ref="D38" authorId="0" shapeId="0" xr:uid="{24C026FF-5BD8-46F5-BA8E-0E9913ED7713}">
      <text>
        <r>
          <rPr>
            <b/>
            <sz val="12"/>
            <color indexed="81"/>
            <rFont val="Arial"/>
            <family val="2"/>
          </rPr>
          <t>From OTA</t>
        </r>
      </text>
    </comment>
    <comment ref="B39" authorId="0" shapeId="0" xr:uid="{3CF04D5F-92A4-4446-BFD2-6B83CEE4B963}">
      <text>
        <r>
          <rPr>
            <b/>
            <sz val="12"/>
            <color indexed="81"/>
            <rFont val="Arial"/>
            <family val="2"/>
          </rPr>
          <t>From OTA</t>
        </r>
      </text>
    </comment>
    <comment ref="C39" authorId="0" shapeId="0" xr:uid="{38FC8FE5-255B-4CBD-95EF-FFB2748C6B57}">
      <text>
        <r>
          <rPr>
            <b/>
            <sz val="12"/>
            <color indexed="81"/>
            <rFont val="Arial"/>
            <family val="2"/>
          </rPr>
          <t>From OTA</t>
        </r>
      </text>
    </comment>
    <comment ref="D39" authorId="0" shapeId="0" xr:uid="{5AE76F5F-4831-4888-BFBD-9A29165F1440}">
      <text>
        <r>
          <rPr>
            <b/>
            <sz val="12"/>
            <color indexed="81"/>
            <rFont val="Arial"/>
            <family val="2"/>
          </rPr>
          <t>From OTA</t>
        </r>
      </text>
    </comment>
    <comment ref="B40" authorId="0" shapeId="0" xr:uid="{37C2B09F-72D9-47F5-8336-EB9B45BCD8EF}">
      <text>
        <r>
          <rPr>
            <b/>
            <sz val="12"/>
            <color indexed="81"/>
            <rFont val="Arial"/>
            <family val="2"/>
          </rPr>
          <t>From OTA</t>
        </r>
      </text>
    </comment>
    <comment ref="C40" authorId="0" shapeId="0" xr:uid="{9132A429-F6AD-4BB3-A8DB-B466F831F07D}">
      <text>
        <r>
          <rPr>
            <b/>
            <sz val="12"/>
            <color indexed="81"/>
            <rFont val="Arial"/>
            <family val="2"/>
          </rPr>
          <t>From OTA</t>
        </r>
      </text>
    </comment>
    <comment ref="D40" authorId="0" shapeId="0" xr:uid="{E934FB17-EB14-4615-A6E6-5E5B4F610661}">
      <text>
        <r>
          <rPr>
            <b/>
            <sz val="12"/>
            <color indexed="81"/>
            <rFont val="Arial"/>
            <family val="2"/>
          </rPr>
          <t>From OTA</t>
        </r>
      </text>
    </comment>
    <comment ref="B41" authorId="0" shapeId="0" xr:uid="{3EEDAB39-65B2-4832-BDBF-78BC8458FF07}">
      <text>
        <r>
          <rPr>
            <b/>
            <sz val="12"/>
            <color indexed="81"/>
            <rFont val="Arial"/>
            <family val="2"/>
          </rPr>
          <t>From OTA</t>
        </r>
      </text>
    </comment>
    <comment ref="C41" authorId="0" shapeId="0" xr:uid="{38538458-4633-417B-A3CD-5F91B14A4E94}">
      <text>
        <r>
          <rPr>
            <b/>
            <sz val="12"/>
            <color indexed="81"/>
            <rFont val="Arial"/>
            <family val="2"/>
          </rPr>
          <t>From OTA</t>
        </r>
      </text>
    </comment>
    <comment ref="D41" authorId="0" shapeId="0" xr:uid="{0463126C-C958-412C-AC10-2C73312B1457}">
      <text>
        <r>
          <rPr>
            <b/>
            <sz val="12"/>
            <color indexed="81"/>
            <rFont val="Arial"/>
            <family val="2"/>
          </rPr>
          <t>From OTA</t>
        </r>
      </text>
    </comment>
    <comment ref="B42" authorId="0" shapeId="0" xr:uid="{B6376135-624A-4855-B9E5-A0AB24CECF6A}">
      <text>
        <r>
          <rPr>
            <b/>
            <sz val="12"/>
            <color indexed="81"/>
            <rFont val="Arial"/>
            <family val="2"/>
          </rPr>
          <t>From OTA</t>
        </r>
      </text>
    </comment>
    <comment ref="C42" authorId="0" shapeId="0" xr:uid="{573977BB-D29B-4F2F-869D-B44A33A50A98}">
      <text>
        <r>
          <rPr>
            <b/>
            <sz val="12"/>
            <color indexed="81"/>
            <rFont val="Arial"/>
            <family val="2"/>
          </rPr>
          <t>From OTA</t>
        </r>
      </text>
    </comment>
    <comment ref="D42" authorId="0" shapeId="0" xr:uid="{5277B1D5-3331-4B07-8F7E-26645811A175}">
      <text>
        <r>
          <rPr>
            <b/>
            <sz val="12"/>
            <color indexed="81"/>
            <rFont val="Arial"/>
            <family val="2"/>
          </rPr>
          <t>From OTA</t>
        </r>
      </text>
    </comment>
    <comment ref="B43" authorId="0" shapeId="0" xr:uid="{59B48125-D27A-4F42-817D-83BC2BA30C8A}">
      <text>
        <r>
          <rPr>
            <b/>
            <sz val="12"/>
            <color indexed="81"/>
            <rFont val="Arial"/>
            <family val="2"/>
          </rPr>
          <t>From OTA</t>
        </r>
      </text>
    </comment>
    <comment ref="C43" authorId="0" shapeId="0" xr:uid="{F0D74AA9-AED9-41D8-BAD8-B081414546EA}">
      <text>
        <r>
          <rPr>
            <b/>
            <sz val="12"/>
            <color indexed="81"/>
            <rFont val="Arial"/>
            <family val="2"/>
          </rPr>
          <t>From OTA</t>
        </r>
      </text>
    </comment>
    <comment ref="D43" authorId="0" shapeId="0" xr:uid="{5D3EB381-B6B3-499C-B625-E195BCA79255}">
      <text>
        <r>
          <rPr>
            <b/>
            <sz val="12"/>
            <color indexed="81"/>
            <rFont val="Arial"/>
            <family val="2"/>
          </rPr>
          <t>From OTA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Alan Plumley</author>
  </authors>
  <commentList>
    <comment ref="D32" authorId="0" shapeId="0" xr:uid="{4E8EBBEE-8B73-4D00-AA4C-8904BDF6562A}">
      <text>
        <r>
          <rPr>
            <b/>
            <sz val="9"/>
            <color indexed="81"/>
            <rFont val="Tahoma"/>
            <family val="2"/>
          </rPr>
          <t>Alan Plumley:</t>
        </r>
        <r>
          <rPr>
            <sz val="9"/>
            <color indexed="81"/>
            <rFont val="Tahoma"/>
            <family val="2"/>
          </rPr>
          <t xml:space="preserve">
copy this formula to C32 when we begin recommending withholding on W-4V</t>
        </r>
      </text>
    </comment>
    <comment ref="D40" authorId="0" shapeId="0" xr:uid="{DBB728C7-53DC-4371-A7AF-4F7D69DAE1B3}">
      <text>
        <r>
          <rPr>
            <b/>
            <sz val="9"/>
            <color indexed="81"/>
            <rFont val="Tahoma"/>
            <family val="2"/>
          </rPr>
          <t>Alan Plumley:</t>
        </r>
        <r>
          <rPr>
            <sz val="9"/>
            <color indexed="81"/>
            <rFont val="Tahoma"/>
            <family val="2"/>
          </rPr>
          <t xml:space="preserve">
copy this formula to C32 when we begin recommending withholding on W-4V</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3">
    <bk>
      <extLst>
        <ext uri="{3e2802c4-a4d2-4d8b-9148-e3be6c30e623}">
          <xlrd:rvb i="0"/>
        </ext>
      </extLst>
    </bk>
    <bk>
      <extLst>
        <ext uri="{3e2802c4-a4d2-4d8b-9148-e3be6c30e623}">
          <xlrd:rvb i="1"/>
        </ext>
      </extLst>
    </bk>
    <bk>
      <extLst>
        <ext uri="{3e2802c4-a4d2-4d8b-9148-e3be6c30e623}">
          <xlrd:rvb i="2"/>
        </ext>
      </extLst>
    </bk>
  </futureMetadata>
  <futureMetadata name="XLDAPR" count="1">
    <bk>
      <extLst>
        <ext uri="{bdbb8cdc-fa1e-496e-a857-3c3f30c029c3}">
          <xda:dynamicArrayProperties fDynamic="1" fCollapsed="0"/>
        </ext>
      </extLst>
    </bk>
  </futureMetadata>
  <cellMetadata count="1">
    <bk>
      <rc t="2" v="0"/>
    </bk>
  </cellMetadata>
  <valueMetadata count="3">
    <bk>
      <rc t="1" v="0"/>
    </bk>
    <bk>
      <rc t="1" v="1"/>
    </bk>
    <bk>
      <rc t="1" v="2"/>
    </bk>
  </valueMetadata>
</metadata>
</file>

<file path=xl/sharedStrings.xml><?xml version="1.0" encoding="utf-8"?>
<sst xmlns="http://schemas.openxmlformats.org/spreadsheetml/2006/main" count="1657" uniqueCount="1213">
  <si>
    <t>November 1</t>
  </si>
  <si>
    <t>November 15</t>
  </si>
  <si>
    <t>Child/Dependent Care Credit:</t>
  </si>
  <si>
    <t>Tax—net:</t>
  </si>
  <si>
    <t>Married_Joint</t>
  </si>
  <si>
    <t>Married_Separate</t>
  </si>
  <si>
    <t>Other Miscellaneous Deductions:</t>
  </si>
  <si>
    <r>
      <t>Other earned income</t>
    </r>
    <r>
      <rPr>
        <sz val="12"/>
        <color indexed="12"/>
        <rFont val="Arial"/>
        <family val="2"/>
      </rPr>
      <t>:</t>
    </r>
  </si>
  <si>
    <t>Under withholding:</t>
  </si>
  <si>
    <t>Total Federal income tax withheld to date this year:</t>
  </si>
  <si>
    <t>Status:</t>
  </si>
  <si>
    <t>Married Separate</t>
  </si>
  <si>
    <t>Look-Up Tables (Tax Parameters)</t>
  </si>
  <si>
    <t>Tax Year:</t>
  </si>
  <si>
    <t>4th week of</t>
  </si>
  <si>
    <t>Previous Jobs</t>
  </si>
  <si>
    <t>Every other week</t>
  </si>
  <si>
    <t>Taxes You Paid:</t>
  </si>
  <si>
    <t>TOTAL ITEMIZED DEDUCTIONS:</t>
  </si>
  <si>
    <t>Tot W/h</t>
  </si>
  <si>
    <t>Allow</t>
  </si>
  <si>
    <t>Add'l $</t>
  </si>
  <si>
    <t>Weeks left this year</t>
  </si>
  <si>
    <t>Months left this year</t>
  </si>
  <si>
    <t>Part-Year Current Jobs</t>
  </si>
  <si>
    <t>Results Summary (Given Withholding To Date)</t>
  </si>
  <si>
    <t>Withholding Rate Schedule</t>
  </si>
  <si>
    <t>Named Ranges</t>
  </si>
  <si>
    <t>Interest You Paid:</t>
  </si>
  <si>
    <t>• Dollar Limit</t>
  </si>
  <si>
    <t>No. eligible for CTC</t>
  </si>
  <si>
    <t>Year</t>
  </si>
  <si>
    <t>Job Will Continue Through</t>
  </si>
  <si>
    <t>December 1</t>
  </si>
  <si>
    <t>December 15</t>
  </si>
  <si>
    <t>December 31</t>
  </si>
  <si>
    <t>Began Job This Year</t>
  </si>
  <si>
    <t>Auxilliary parameters &amp;</t>
  </si>
  <si>
    <r>
      <t>Additional Taxes</t>
    </r>
    <r>
      <rPr>
        <sz val="12"/>
        <color indexed="12"/>
        <rFont val="Arial"/>
        <family val="2"/>
      </rPr>
      <t xml:space="preserve"> (Forms 8814 &amp; 4972)</t>
    </r>
  </si>
  <si>
    <t>Rate Bracket Straddle</t>
  </si>
  <si>
    <t>Children</t>
  </si>
  <si>
    <t>Days left this year</t>
  </si>
  <si>
    <t>Can you be claimed as a dependent on another return?</t>
  </si>
  <si>
    <t>Days in month</t>
  </si>
  <si>
    <t>Today's Date</t>
  </si>
  <si>
    <t>Remaining PP</t>
  </si>
  <si>
    <t>Standard Deduction Worksheet</t>
  </si>
  <si>
    <t>Basic standard deduction</t>
  </si>
  <si>
    <t>Can be claimed as a dependent?</t>
  </si>
  <si>
    <t>Modified basic deduction</t>
  </si>
  <si>
    <t>Age/blind amount</t>
  </si>
  <si>
    <t>September 1</t>
  </si>
  <si>
    <t>Household</t>
  </si>
  <si>
    <t>Total Withheld</t>
  </si>
  <si>
    <t>Additional $ to be Withheld</t>
  </si>
  <si>
    <t>Married Joint</t>
  </si>
  <si>
    <t>W/H to date</t>
  </si>
  <si>
    <t>Marginal bracket:</t>
  </si>
  <si>
    <t>Taxable income (true):</t>
  </si>
  <si>
    <t xml:space="preserve">    "Do Nothing" Calculations</t>
  </si>
  <si>
    <t>$ Limit</t>
  </si>
  <si>
    <t># Children</t>
  </si>
  <si>
    <t>September 15</t>
  </si>
  <si>
    <t>October 1</t>
  </si>
  <si>
    <t>October 15</t>
  </si>
  <si>
    <t>Total tax withheld:</t>
  </si>
  <si>
    <t>Child or dependent care expenses</t>
  </si>
  <si>
    <t>What if I do nothing?</t>
  </si>
  <si>
    <t>Current WH/PP</t>
  </si>
  <si>
    <t>June 15</t>
  </si>
  <si>
    <t>July 1</t>
  </si>
  <si>
    <t>Rest of Year (%)</t>
  </si>
  <si>
    <t>Avg. Day</t>
  </si>
  <si>
    <t>Other Credits:</t>
  </si>
  <si>
    <t>Qualifying</t>
  </si>
  <si>
    <t>Widow(er)</t>
  </si>
  <si>
    <t>Base</t>
  </si>
  <si>
    <t>Amount</t>
  </si>
  <si>
    <t>Income subject to w/holding:</t>
  </si>
  <si>
    <t>Tax Rate Schedule</t>
  </si>
  <si>
    <t>Married-J</t>
  </si>
  <si>
    <t>Married-S</t>
  </si>
  <si>
    <t>Yes</t>
  </si>
  <si>
    <t>No</t>
  </si>
  <si>
    <t>July 15</t>
  </si>
  <si>
    <t>August 1</t>
  </si>
  <si>
    <t>August 15</t>
  </si>
  <si>
    <t>Semimonthly</t>
  </si>
  <si>
    <t>Monthly</t>
  </si>
  <si>
    <t>Filing Status</t>
  </si>
  <si>
    <t>Head_of_Household</t>
  </si>
  <si>
    <t>B24:J28</t>
  </si>
  <si>
    <t>D24:J28</t>
  </si>
  <si>
    <t>Percent of year remaining</t>
  </si>
  <si>
    <t>2 or more children</t>
  </si>
  <si>
    <t>Rate</t>
  </si>
  <si>
    <t>Modified AGI (Child Tax Credit):</t>
  </si>
  <si>
    <t>Exemptions:</t>
  </si>
  <si>
    <t>Start Job</t>
  </si>
  <si>
    <t>End Job</t>
  </si>
  <si>
    <t>1st week of</t>
  </si>
  <si>
    <t>2nd week of</t>
  </si>
  <si>
    <t>3rd week of</t>
  </si>
  <si>
    <t>Number of entries to allow on CTC eligibles menu</t>
  </si>
  <si>
    <t>No. of Dependents entered</t>
  </si>
  <si>
    <t>Standard Deduction:</t>
  </si>
  <si>
    <t>Additional</t>
  </si>
  <si>
    <t>Exact Withholding Need</t>
  </si>
  <si>
    <t>Estimated</t>
  </si>
  <si>
    <t>Allowances:</t>
  </si>
  <si>
    <t>Tax Payment</t>
  </si>
  <si>
    <t>Previous Wages or Salary:</t>
  </si>
  <si>
    <t>Marginal rate</t>
  </si>
  <si>
    <t>Withholding Need</t>
  </si>
  <si>
    <t>Job 3</t>
  </si>
  <si>
    <t>Total</t>
  </si>
  <si>
    <t>Aged/Blind</t>
  </si>
  <si>
    <t>Status</t>
  </si>
  <si>
    <t>Marital status:</t>
  </si>
  <si>
    <t>Modified AGI (EITC):</t>
  </si>
  <si>
    <t>Credits:</t>
  </si>
  <si>
    <r>
      <t>Filing Status</t>
    </r>
    <r>
      <rPr>
        <b/>
        <sz val="10"/>
        <color indexed="12"/>
        <rFont val="Arial"/>
        <family val="2"/>
      </rPr>
      <t>:</t>
    </r>
  </si>
  <si>
    <t>Job Duration (%)</t>
  </si>
  <si>
    <t>Job End Date</t>
  </si>
  <si>
    <t>Projected Refund:</t>
  </si>
  <si>
    <t>Full-Year Optimal</t>
  </si>
  <si>
    <t>• Adjusted work-related expenses</t>
  </si>
  <si>
    <t>• Credit amount</t>
  </si>
  <si>
    <r>
      <t>Credits</t>
    </r>
    <r>
      <rPr>
        <b/>
        <sz val="12"/>
        <color indexed="12"/>
        <rFont val="Arial"/>
        <family val="2"/>
      </rPr>
      <t>:</t>
    </r>
  </si>
  <si>
    <t>Itemized Deductions:</t>
  </si>
  <si>
    <t>Unemployment Compensation</t>
  </si>
  <si>
    <t>Exemption value:</t>
  </si>
  <si>
    <t>Itemized</t>
  </si>
  <si>
    <t>F24:J28</t>
  </si>
  <si>
    <t>H24:J28</t>
  </si>
  <si>
    <t>Full-Year Optimal:</t>
  </si>
  <si>
    <t>Job</t>
  </si>
  <si>
    <t>Over withholding:</t>
  </si>
  <si>
    <t>Threshold</t>
  </si>
  <si>
    <t>EITC</t>
  </si>
  <si>
    <t>Input Data</t>
  </si>
  <si>
    <t>Calculations</t>
  </si>
  <si>
    <t>Projected Refund (Balance Due)</t>
  </si>
  <si>
    <t>Allowances on Highest Job</t>
  </si>
  <si>
    <t>Payperiods remaining</t>
  </si>
  <si>
    <t>Deductions</t>
  </si>
  <si>
    <t>Child</t>
  </si>
  <si>
    <t>Twice a month</t>
  </si>
  <si>
    <t>Electronic W-4 Prototype Calculations</t>
  </si>
  <si>
    <t>Married</t>
  </si>
  <si>
    <t>Gifts to Charity:</t>
  </si>
  <si>
    <t>Job 1</t>
  </si>
  <si>
    <t>Job 2</t>
  </si>
  <si>
    <t>Total Payperiods</t>
  </si>
  <si>
    <t>Head of</t>
  </si>
  <si>
    <t>Filing Status:</t>
  </si>
  <si>
    <t>Allowances on Second Job</t>
  </si>
  <si>
    <t>Add'l $ to be withheld this year:</t>
  </si>
  <si>
    <t>Additional $ to be wh / paycheck:</t>
  </si>
  <si>
    <t>Child Tax Credit</t>
  </si>
  <si>
    <t>Combination for Remainder of Year to Minimize Refund</t>
  </si>
  <si>
    <t>Weekly</t>
  </si>
  <si>
    <t>Biweekly</t>
  </si>
  <si>
    <t>No. sources of earned $:</t>
  </si>
  <si>
    <t>Smallest income:</t>
  </si>
  <si>
    <t>Married-Joint Multiple Income Tests</t>
  </si>
  <si>
    <t>Child &amp; Dependent Care Credit Calculation</t>
  </si>
  <si>
    <t>qualifying</t>
  </si>
  <si>
    <t>End of year</t>
  </si>
  <si>
    <t>Marital status</t>
  </si>
  <si>
    <t>= clock offset (days)</t>
  </si>
  <si>
    <t>Casualty and Theft Losses:</t>
  </si>
  <si>
    <t>Additional $ to be withheld:</t>
  </si>
  <si>
    <t>Withholding Calculations</t>
  </si>
  <si>
    <t>Allowances</t>
  </si>
  <si>
    <t>Next lower marginal bracket:</t>
  </si>
  <si>
    <t>Weighted marginal tax rate:</t>
  </si>
  <si>
    <t>B</t>
  </si>
  <si>
    <t>Basic</t>
  </si>
  <si>
    <t>Earned Income Tax Credit:</t>
  </si>
  <si>
    <t>Can you claim exemption from withholding?</t>
  </si>
  <si>
    <t>Income</t>
  </si>
  <si>
    <t>OP:RS:R:E   •   17 Dec 99</t>
  </si>
  <si>
    <t>April 15</t>
  </si>
  <si>
    <t>May 1</t>
  </si>
  <si>
    <t>May 15</t>
  </si>
  <si>
    <t>June 1</t>
  </si>
  <si>
    <t>Output of CTC eligibles menu</t>
  </si>
  <si>
    <t>1 child</t>
  </si>
  <si>
    <t>Tax—preliminary:</t>
  </si>
  <si>
    <t>C</t>
  </si>
  <si>
    <t>Education</t>
  </si>
  <si>
    <t>Total income:</t>
  </si>
  <si>
    <r>
      <t>Filing Status</t>
    </r>
    <r>
      <rPr>
        <b/>
        <sz val="12"/>
        <color indexed="12"/>
        <rFont val="Arial"/>
        <family val="2"/>
      </rPr>
      <t>:</t>
    </r>
  </si>
  <si>
    <t>A</t>
  </si>
  <si>
    <t>AGI</t>
  </si>
  <si>
    <t>Percentage</t>
  </si>
  <si>
    <t>Single</t>
  </si>
  <si>
    <t>Tax Table
Bracket Threshold</t>
  </si>
  <si>
    <t>Head of Household</t>
  </si>
  <si>
    <t>Modeled for:</t>
  </si>
  <si>
    <t>Withholding Allowance:</t>
  </si>
  <si>
    <t>Exemption Phaseout</t>
  </si>
  <si>
    <t>Standard Deduction</t>
  </si>
  <si>
    <t>Other earned income</t>
  </si>
  <si>
    <t>Qualifying Widow(er)+1 Child</t>
  </si>
  <si>
    <r>
      <t>Dependents</t>
    </r>
    <r>
      <rPr>
        <sz val="12"/>
        <color indexed="12"/>
        <rFont val="Arial"/>
        <family val="2"/>
      </rPr>
      <t xml:space="preserve"> (other than your spouse or QW's child) you will claim on your return:</t>
    </r>
  </si>
  <si>
    <t>Today's date</t>
  </si>
  <si>
    <t>LLC Phaseouts?</t>
  </si>
  <si>
    <t>Wage</t>
  </si>
  <si>
    <t xml:space="preserve">Total  </t>
  </si>
  <si>
    <t>intermediate calculations</t>
  </si>
  <si>
    <t>Refund</t>
  </si>
  <si>
    <t>Tax</t>
  </si>
  <si>
    <t>Did  you have a tax liability last year?</t>
  </si>
  <si>
    <t>Projected Results</t>
  </si>
  <si>
    <t>• Earned Income Limit</t>
  </si>
  <si>
    <t>Total No. of PPs</t>
  </si>
  <si>
    <t>Job Start Date</t>
  </si>
  <si>
    <t>Frequency</t>
  </si>
  <si>
    <t>Child &amp; Dependent Care Credit</t>
  </si>
  <si>
    <t>Withholding</t>
  </si>
  <si>
    <t>Earned income</t>
  </si>
  <si>
    <t>Non-Taxable Earned Income (e.g., foreign earned income exclusion):</t>
  </si>
  <si>
    <r>
      <t xml:space="preserve">Number of </t>
    </r>
    <r>
      <rPr>
        <b/>
        <sz val="10"/>
        <color indexed="12"/>
        <rFont val="Arial"/>
        <family val="2"/>
      </rPr>
      <t>Aged/Blind</t>
    </r>
    <r>
      <rPr>
        <sz val="10"/>
        <color indexed="12"/>
        <rFont val="Arial"/>
        <family val="2"/>
      </rPr>
      <t xml:space="preserve"> deductions (you and spouse):</t>
    </r>
  </si>
  <si>
    <t>Taxable income (Tax Table):</t>
  </si>
  <si>
    <t>Marginal</t>
  </si>
  <si>
    <t>Phaseout</t>
  </si>
  <si>
    <t>Credit</t>
  </si>
  <si>
    <t>Credits</t>
  </si>
  <si>
    <t>AGI:</t>
  </si>
  <si>
    <t>January 1</t>
  </si>
  <si>
    <t>Pension?</t>
  </si>
  <si>
    <t>January 15</t>
  </si>
  <si>
    <t>February 1</t>
  </si>
  <si>
    <t>February 15</t>
  </si>
  <si>
    <t>March 1</t>
  </si>
  <si>
    <t>March 15</t>
  </si>
  <si>
    <t>April 1</t>
  </si>
  <si>
    <t>Additional Medicare Tax:</t>
  </si>
  <si>
    <t>Total Tax</t>
  </si>
  <si>
    <t>Medicare</t>
  </si>
  <si>
    <t>Limit on State &amp; Local Taxes</t>
  </si>
  <si>
    <t>Pay Periods Left in Year</t>
  </si>
  <si>
    <t>N</t>
  </si>
  <si>
    <t>T</t>
  </si>
  <si>
    <t>M</t>
  </si>
  <si>
    <t>2018 EITC Chained CPI</t>
  </si>
  <si>
    <t>Marriage Penalty Relief Included</t>
  </si>
  <si>
    <t>Childless</t>
  </si>
  <si>
    <t>One Qualifying Child</t>
  </si>
  <si>
    <t>Two Qualifying Children</t>
  </si>
  <si>
    <t>Three or More Qualifying Children</t>
  </si>
  <si>
    <t>Earnings</t>
  </si>
  <si>
    <t>Phasein</t>
  </si>
  <si>
    <t>or AGI</t>
  </si>
  <si>
    <t>2018 EITC Senate Chained CPI</t>
  </si>
  <si>
    <t>Single and Head of Household</t>
  </si>
  <si>
    <t>EI Range</t>
  </si>
  <si>
    <t>EITC Amount</t>
  </si>
  <si>
    <t>If EI = 0</t>
  </si>
  <si>
    <t>Then EITC=0</t>
  </si>
  <si>
    <t>If 0 &lt; EI &lt; A</t>
  </si>
  <si>
    <t>Then EITC = R1*EI</t>
  </si>
  <si>
    <r>
      <t xml:space="preserve">If A </t>
    </r>
    <r>
      <rPr>
        <sz val="10"/>
        <rFont val="Calibri"/>
        <family val="2"/>
      </rPr>
      <t xml:space="preserve">≤ </t>
    </r>
    <r>
      <rPr>
        <sz val="10"/>
        <rFont val="Arial"/>
        <family val="2"/>
      </rPr>
      <t>EI ≤ B</t>
    </r>
  </si>
  <si>
    <t>Then EITC = M</t>
  </si>
  <si>
    <r>
      <t>If B &lt;</t>
    </r>
    <r>
      <rPr>
        <sz val="10"/>
        <rFont val="Calibri"/>
        <family val="2"/>
      </rPr>
      <t xml:space="preserve"> </t>
    </r>
    <r>
      <rPr>
        <sz val="10"/>
        <rFont val="Arial"/>
        <family val="2"/>
      </rPr>
      <t>EI &lt; L</t>
    </r>
  </si>
  <si>
    <r>
      <t xml:space="preserve">If EI </t>
    </r>
    <r>
      <rPr>
        <sz val="10"/>
        <rFont val="Calibri"/>
        <family val="2"/>
      </rPr>
      <t>≥</t>
    </r>
    <r>
      <rPr>
        <sz val="10"/>
        <rFont val="Arial"/>
        <family val="2"/>
      </rPr>
      <t xml:space="preserve"> L</t>
    </r>
  </si>
  <si>
    <t>Married-Joint</t>
  </si>
  <si>
    <t>No. of Qualifying Children</t>
  </si>
  <si>
    <t>L</t>
  </si>
  <si>
    <t>R1</t>
  </si>
  <si>
    <t>R2</t>
  </si>
  <si>
    <t>Earned Income = (Wages + Bonus + Other Taxable Earned Income) for all jobs combined</t>
  </si>
  <si>
    <t>3 or more</t>
  </si>
  <si>
    <t>Number Qualifying:</t>
  </si>
  <si>
    <t>Number of non-child dependents</t>
  </si>
  <si>
    <t>• No. of these dependents eligible for Child Tax Credit:</t>
  </si>
  <si>
    <t>EITC qualifying children:</t>
  </si>
  <si>
    <t>EITC:</t>
  </si>
  <si>
    <t>EITC Formula</t>
  </si>
  <si>
    <t>Then EITC = M - R2*(EI-B)</t>
  </si>
  <si>
    <t>Share:</t>
  </si>
  <si>
    <t>Menu #</t>
  </si>
  <si>
    <t>Retirement</t>
  </si>
  <si>
    <t>Cafeteria</t>
  </si>
  <si>
    <t>Projected Income Tax Liability:</t>
  </si>
  <si>
    <t>Projected Total Tax Liability:</t>
  </si>
  <si>
    <t>Projected Additional Medicare Tax:</t>
  </si>
  <si>
    <t>Bonus</t>
  </si>
  <si>
    <t>PP left to end of job</t>
  </si>
  <si>
    <t>Total PP in year</t>
  </si>
  <si>
    <t>Current PPs</t>
  </si>
  <si>
    <t>Paychecks received this year</t>
  </si>
  <si>
    <t>To date:</t>
  </si>
  <si>
    <t>Do Nothing</t>
  </si>
  <si>
    <t>Withholding entire year at current pace</t>
  </si>
  <si>
    <t>Present+Future:</t>
  </si>
  <si>
    <t>Year to Date + Current PPs</t>
  </si>
  <si>
    <t>RPP</t>
  </si>
  <si>
    <t>Pay Periods Left to End of Job (RPP)</t>
  </si>
  <si>
    <t>APP</t>
  </si>
  <si>
    <t>Current Pay Periods Before Withholding is Changed (APP)</t>
  </si>
  <si>
    <t>TPP</t>
  </si>
  <si>
    <t>PPTD</t>
  </si>
  <si>
    <t>Assumed Paychecks Received To Date (PPTD)</t>
  </si>
  <si>
    <t>Days/PP</t>
  </si>
  <si>
    <t>Pay Periods Left This Yr</t>
  </si>
  <si>
    <t>Total:</t>
  </si>
  <si>
    <t>Use regardless of standard deduction?</t>
  </si>
  <si>
    <t>Multiply line 1 by 50% (0.50)</t>
  </si>
  <si>
    <t xml:space="preserve">Subtract line 10 from line 9. If zero or less, enter -0- </t>
  </si>
  <si>
    <t>Enter the smaller of line 9 or line 10</t>
  </si>
  <si>
    <t>Enter one-half of line 12</t>
  </si>
  <si>
    <t>Enter the smaller of line 2 or line 13</t>
  </si>
  <si>
    <t>Multiply line 11 by 85% (0.85). If line 11 is zero, enter -0-</t>
  </si>
  <si>
    <t>Multiply line 1 by 85% (0.85)</t>
  </si>
  <si>
    <t>Married-Separate</t>
  </si>
  <si>
    <t>Qualifying Widow(er)</t>
  </si>
  <si>
    <t>Line 8</t>
  </si>
  <si>
    <t>Line 10</t>
  </si>
  <si>
    <t>Combine lines 2 and 3</t>
  </si>
  <si>
    <t>Enter amount for Line 8 from table</t>
  </si>
  <si>
    <t>Subtract line 8 from line 5</t>
  </si>
  <si>
    <t>Enter amount for Line 10 from table</t>
  </si>
  <si>
    <t>All Others</t>
  </si>
  <si>
    <t xml:space="preserve">Married filing separately: multiply line 5 by 85% (0.85); all others, Add lines 14 and 15.  </t>
  </si>
  <si>
    <t>Filing Status entered by user:</t>
  </si>
  <si>
    <t>Taxable social security benefits. Enter the smaller of line 16 or line 17.</t>
  </si>
  <si>
    <t>Amount to include in taxable income:</t>
  </si>
  <si>
    <t>Social Security Benefits Worksheet- Simplified for Withholding Calculator</t>
  </si>
  <si>
    <t>Self-Employment Tax Calculation- Simplified for Withholding Calculator</t>
  </si>
  <si>
    <t>Multiply line 1 by 92.35% (0.9235). If less than $400, you don't owe self-employment tax.</t>
  </si>
  <si>
    <t>Medicare tax:  multiply line 2 by 2.9% (0.029)</t>
  </si>
  <si>
    <t>Enter the smaller of line 2 or line 5</t>
  </si>
  <si>
    <t xml:space="preserve">Enter the total amount of net profit you expect to earn from self-employment (both farm and non-farm and church employee income) </t>
  </si>
  <si>
    <t>Social security tax:  multiply line 6 by 12.4% (0.124)</t>
  </si>
  <si>
    <t>Self-employment tax:  add lines 7 and 8</t>
  </si>
  <si>
    <t>Add this to the amount of income tax calculated elsewhere</t>
  </si>
  <si>
    <t>Adjustment to income for 1/2 of self-employment tax</t>
  </si>
  <si>
    <r>
      <t>Adjustments</t>
    </r>
    <r>
      <rPr>
        <b/>
        <sz val="12"/>
        <color indexed="12"/>
        <rFont val="Arial"/>
        <family val="2"/>
      </rPr>
      <t xml:space="preserve"> other than 1/2 of self-employment tax:</t>
    </r>
  </si>
  <si>
    <t>Add this to the adjustments amount entered by the user at the bottom of page 3 of the calculator</t>
  </si>
  <si>
    <t>Enter the total amount of social security benefits (from box 5 of all your Forms SSA-1099 and  RRB-1099.)</t>
  </si>
  <si>
    <t>Combine the amounts from Form 1040, lines 7, 8a, 9a, 10 through 14, 15b, 16b, 17 through 19, and 21 (sum of all other taxable income entered by the user)</t>
  </si>
  <si>
    <t>Assumes: 
* no adjustments to income or tax-exempt interest; 
* if married-separate, assumes lived with spouse some of the year.
Line numbers below are from the full worksheet in the 1040 instructions.</t>
  </si>
  <si>
    <t>Approximate Calculation of Taxable Social Security Benefits</t>
  </si>
  <si>
    <t>External
Parameters</t>
  </si>
  <si>
    <t>Limit on earned income subject to social security tax (indexed for inflation)</t>
  </si>
  <si>
    <t>Enter the amount Taxable Income:</t>
  </si>
  <si>
    <t>Enter the amount Qualified Dividends and Cap. Gains Distributions:</t>
  </si>
  <si>
    <t>Head of household</t>
  </si>
  <si>
    <t>For Line 8</t>
  </si>
  <si>
    <t>Lookup Table (External Parameters)</t>
  </si>
  <si>
    <t>Married filing separately</t>
  </si>
  <si>
    <t>Married filing jointly</t>
  </si>
  <si>
    <t>Qualifying widow(er)</t>
  </si>
  <si>
    <t>Enter amount for Line 8 from Lookup Table:</t>
  </si>
  <si>
    <t>For Line 15</t>
  </si>
  <si>
    <t>Enter amount for Line 15 from Lookup Table:</t>
  </si>
  <si>
    <t>Qualified Dividends and Capital Gain Tax Worksheet—Line 11a of 1040</t>
  </si>
  <si>
    <t>Enter the smaller of line 1 or line 8</t>
  </si>
  <si>
    <t>Enter the smaller of line 7 or line 9</t>
  </si>
  <si>
    <t>Subtract Line 4 from Line 1 (but not less than 0)</t>
  </si>
  <si>
    <t>Subtract line 10 from line 9. This amount is taxed at 0%</t>
  </si>
  <si>
    <t xml:space="preserve"> Enter the smaller of line 1 or line 4</t>
  </si>
  <si>
    <t>Enter the smaller of line 1 or line 15</t>
  </si>
  <si>
    <t>Add lines 7 and 11</t>
  </si>
  <si>
    <t>Subtract line 17 from line 16 (but not less than 0)</t>
  </si>
  <si>
    <t>Enter the smaller of line 14 or line 18</t>
  </si>
  <si>
    <t>Multiply line 19 by 15% (0.15)</t>
  </si>
  <si>
    <t>Add lines 11 and 19</t>
  </si>
  <si>
    <t>Subtract line 21 from line 12</t>
  </si>
  <si>
    <t>Figure the tax on the amount on line 7.</t>
  </si>
  <si>
    <t>Add lines 20, 23, and 24</t>
  </si>
  <si>
    <t>Figure the tax on the amount on line 1.</t>
  </si>
  <si>
    <t>Tax on all taxable income. Enter the smaller of line 25 or 26.</t>
  </si>
  <si>
    <t>Subtract line 11 from line 12</t>
  </si>
  <si>
    <t>Multiply line 22 by 20% (0.20)</t>
  </si>
  <si>
    <t>Difference:</t>
  </si>
  <si>
    <t>Net income from self-employment</t>
  </si>
  <si>
    <t>Self-Employment Tax</t>
  </si>
  <si>
    <t>Other credits:</t>
  </si>
  <si>
    <t>Preferred refund:</t>
  </si>
  <si>
    <t>Target</t>
  </si>
  <si>
    <t>Target Refund</t>
  </si>
  <si>
    <t>Projected Self-Employment Tax Liability:</t>
  </si>
  <si>
    <t>Subtract line 3 from line 4 (but not less than zero)</t>
  </si>
  <si>
    <t>Recommended Form W-4V withholding rate:</t>
  </si>
  <si>
    <t>S.S. withholding to date:</t>
  </si>
  <si>
    <t>Projected S.S. withholding rest of year:</t>
  </si>
  <si>
    <t>Monthly Social Security Benefits</t>
  </si>
  <si>
    <t>Months received benefits</t>
  </si>
  <si>
    <t>Total S.S. withholding if do nothing:</t>
  </si>
  <si>
    <t>Recommended Total S.S. withholding this year:</t>
  </si>
  <si>
    <t>Months so far:</t>
  </si>
  <si>
    <t>S.S. Benefits</t>
  </si>
  <si>
    <t xml:space="preserve">No.
of half months </t>
  </si>
  <si>
    <t>Months rest of year:</t>
  </si>
  <si>
    <t>Do-Nothing</t>
  </si>
  <si>
    <t>Current S.S. withholding rate:</t>
  </si>
  <si>
    <t>Overall marginal tax rate:</t>
  </si>
  <si>
    <t>This year</t>
  </si>
  <si>
    <t>If prior job didn't exist:</t>
  </si>
  <si>
    <t>Estimated tax payments:</t>
  </si>
  <si>
    <t>Date most recent pay period ended:</t>
  </si>
  <si>
    <t>Today's 15-Day Period:</t>
  </si>
  <si>
    <t>Day</t>
  </si>
  <si>
    <t>Total Tax Prepayments:</t>
  </si>
  <si>
    <t>Total wages and bonuses (entered elsewhere in the calculator)</t>
  </si>
  <si>
    <t>Last SS check</t>
  </si>
  <si>
    <t>First SS period</t>
  </si>
  <si>
    <t>Unearned Income</t>
  </si>
  <si>
    <t>For Form 8615, “unearned income” includes all taxable income other than earned income. Unearned income includes taxable interest, ordinary dividends, capital gains (including capital gain distributions), rents, royalties, etc. It also includes taxable social security benefits, pension and annuity income, taxable scholarship and fellowship grants not reported on Form W-2, unemployment compensation, alimony, and income (other than earned income) received as the beneficiary of a trust.</t>
  </si>
  <si>
    <t xml:space="preserve">Enter your unearned income (see instructions) </t>
  </si>
  <si>
    <t xml:space="preserve">Subtract line 5 from line 4 </t>
  </si>
  <si>
    <t>Enter your taxable income from Form 1040, line 10</t>
  </si>
  <si>
    <t xml:space="preserve">Enter the tax on the amount on line 4 (see instructions). </t>
  </si>
  <si>
    <t>Be sure to update the tax rates on the Kiddie Tax sheet, as well !!!</t>
  </si>
  <si>
    <t>Kiddie Tax Calculations (Form 8615)</t>
  </si>
  <si>
    <t>2. Enter the smaller of Form 8615, line 4, or line 1</t>
  </si>
  <si>
    <t xml:space="preserve">4. Multiply line 3 by 10% (0.10) </t>
  </si>
  <si>
    <t xml:space="preserve">6. Subtract line 3 from line 5. If zero or less, enter -0- </t>
  </si>
  <si>
    <t xml:space="preserve">7. Multiply line 6 by 12% (0.12) </t>
  </si>
  <si>
    <t xml:space="preserve">9. Subtract line 5 from line 8. If zero or less, enter -0- </t>
  </si>
  <si>
    <t>10. Multiply line 9 by 22% (0.22)</t>
  </si>
  <si>
    <t>12. Enter the smaller of Form 8615, line 4, or line 11</t>
  </si>
  <si>
    <t xml:space="preserve">14. Subtract line 8 from line 13. If zero or less, enter -0- </t>
  </si>
  <si>
    <t>15. Multiply line 14 by 24% (0.24)</t>
  </si>
  <si>
    <t xml:space="preserve">17. Subtract line 13 from line 16. If zero or less, enter -0- </t>
  </si>
  <si>
    <t>18. Multiply line 17 by 32% (0.32)</t>
  </si>
  <si>
    <t xml:space="preserve">20. Enter the smaller of Form 8615, line 4, or line 19 </t>
  </si>
  <si>
    <t xml:space="preserve">22. Subtract line 16 from line 21. If zero or less, enter -0- </t>
  </si>
  <si>
    <t xml:space="preserve">23. Multiply line 22 by 35% (0.35) </t>
  </si>
  <si>
    <t xml:space="preserve">24. Subtract line 21 from Form 8615, line 4. If zero or less, enter -0- </t>
  </si>
  <si>
    <t>25. Multiply line 24 by 37% (0.37)</t>
  </si>
  <si>
    <t>Tax Computation</t>
  </si>
  <si>
    <t>Line 3</t>
  </si>
  <si>
    <t>Line 5</t>
  </si>
  <si>
    <t>Line 21</t>
  </si>
  <si>
    <t>Does Kiddie Tax apply?</t>
  </si>
  <si>
    <t>Single, Married-separate, or HoH?</t>
  </si>
  <si>
    <t xml:space="preserve">Subtract line 2 from line 1. If zero or less, stop; do not complete the rest of this form but do attach it to your return </t>
  </si>
  <si>
    <t>26. Add lines 4, 7, 10, 15, 18, 23, and 25. If Kiddie Tax applies (per cell D9 above), then this amount of income tax is used INSTEAD OF the income tax that would normally be computed. (Note that SE tax and Additional Medicare tax may still apply as usual.)</t>
  </si>
  <si>
    <t>_SD1</t>
  </si>
  <si>
    <t>EOY</t>
  </si>
  <si>
    <t>_PPE1</t>
  </si>
  <si>
    <t>Fed inc. tax withheld from last salary payment:</t>
  </si>
  <si>
    <t>Spouse:  Other Job Benefits</t>
  </si>
  <si>
    <t>Spouse</t>
  </si>
  <si>
    <t>Current Withholding: Spouse</t>
  </si>
  <si>
    <t>You</t>
  </si>
  <si>
    <t>Current Withholding: You</t>
  </si>
  <si>
    <t>You:  Other Job Benefits</t>
  </si>
  <si>
    <t>Your Income</t>
  </si>
  <si>
    <t>Spouse's Income</t>
  </si>
  <si>
    <t>Other Income, etc.</t>
  </si>
  <si>
    <t>Your Job 1</t>
  </si>
  <si>
    <t>S.S</t>
  </si>
  <si>
    <t>S.S.</t>
  </si>
  <si>
    <t>Your Job 2</t>
  </si>
  <si>
    <t>Spouse Job 1</t>
  </si>
  <si>
    <t>Spouse Job 2</t>
  </si>
  <si>
    <t>Your S.S. Benefits</t>
  </si>
  <si>
    <t>Spouse S.S. Benefits</t>
  </si>
  <si>
    <t>21. Enter the smaller of line 20 or the amount listed in the look-up table for your filing status.</t>
  </si>
  <si>
    <t>Look-up Table</t>
  </si>
  <si>
    <t>3. Enter the smaller of line 2 or the amount listed in the look-up table for your filing status.</t>
  </si>
  <si>
    <t>5. Enter the smaller of line 2 or the amount listed in the look-up table for your filing status.</t>
  </si>
  <si>
    <t>13. Enter the smaller of line 12 or $160,725 (updated annually)</t>
  </si>
  <si>
    <t>16. Enter the smaller of line 12 or $204,100 (updated annually)</t>
  </si>
  <si>
    <t>19. Add Form 8615, line 6, and $12,750 (updated annually)</t>
  </si>
  <si>
    <t>11. Add Form 8615, line 6, and $9,300 (updated annually)</t>
  </si>
  <si>
    <t>8. Enter the smaller of line 2 or $84,200 (updated annually)</t>
  </si>
  <si>
    <t>1. Add Form 8615, line 6, and $2,600 (updated annually)</t>
  </si>
  <si>
    <t>Form 8615</t>
  </si>
  <si>
    <t xml:space="preserve">If you did not itemize deductions on Schedule A (Form 1040 or Form 1040NR), enter $2,200 (updated annually). Otherwise, see instructions </t>
  </si>
  <si>
    <t>Other withholding:</t>
  </si>
  <si>
    <t>Job 4</t>
  </si>
  <si>
    <r>
      <t>Current Wages, Salary or Pension</t>
    </r>
    <r>
      <rPr>
        <sz val="12"/>
        <color indexed="12"/>
        <rFont val="Arial"/>
        <family val="2"/>
      </rPr>
      <t xml:space="preserve">:
</t>
    </r>
    <r>
      <rPr>
        <i/>
        <sz val="10"/>
        <color indexed="12"/>
        <rFont val="Arial"/>
        <family val="2"/>
      </rPr>
      <t>Be sure to enter job-related benefits below to the right…</t>
    </r>
  </si>
  <si>
    <t>Days/PP:</t>
  </si>
  <si>
    <t>End of PP</t>
  </si>
  <si>
    <t>Assume that wages are paid on the last day of the PP</t>
  </si>
  <si>
    <t>Pay freqency</t>
  </si>
  <si>
    <t>Start Date:</t>
  </si>
  <si>
    <t>Last PP End</t>
  </si>
  <si>
    <t>End Date:</t>
  </si>
  <si>
    <t>APP+RPP</t>
  </si>
  <si>
    <t>w/h to date + baseline w/h rest of year:</t>
  </si>
  <si>
    <t>W-4 Line 3 (annual credits)</t>
  </si>
  <si>
    <t>Baseline tax withheld rest of year:</t>
  </si>
  <si>
    <t>Recommended Form W-4 Amounts</t>
  </si>
  <si>
    <t>Line 4(c) Add'l w/holding / paycheck:</t>
  </si>
  <si>
    <t>For 2020</t>
  </si>
  <si>
    <t>These amounts should be derived from existing parameters.</t>
  </si>
  <si>
    <t>Estate tax</t>
  </si>
  <si>
    <t>bracket_floor__table__004 for Single</t>
  </si>
  <si>
    <t>bracket_floor__table__005 for Single</t>
  </si>
  <si>
    <t>bracket_floor__table__006 for Single</t>
  </si>
  <si>
    <t>002</t>
  </si>
  <si>
    <t>bracket_floor__table__</t>
  </si>
  <si>
    <t>003</t>
  </si>
  <si>
    <t>007</t>
  </si>
  <si>
    <r>
      <t xml:space="preserve">Enter the smaller of line 3 or line 4. </t>
    </r>
    <r>
      <rPr>
        <b/>
        <sz val="10"/>
        <rFont val="Arial"/>
        <family val="2"/>
      </rPr>
      <t>If zero, stop; do not complete the rest of this form but do attach it to your return</t>
    </r>
  </si>
  <si>
    <t>These amounts have been updated for 2020.</t>
  </si>
  <si>
    <t>These values may need to be updated every year, but generally not.</t>
  </si>
  <si>
    <t>Qualified Business Income Deduction</t>
  </si>
  <si>
    <t>Self-employment income</t>
  </si>
  <si>
    <t>Tentative taxable income</t>
  </si>
  <si>
    <t>Applicable amount</t>
  </si>
  <si>
    <t>Tenative QBI deduction</t>
  </si>
  <si>
    <t>Phaseout threshold</t>
  </si>
  <si>
    <t>Phaseout range</t>
  </si>
  <si>
    <t>Complete Phaseout</t>
  </si>
  <si>
    <t>Reduction in deduction</t>
  </si>
  <si>
    <t>Percent over threshold</t>
  </si>
  <si>
    <t>Final QBI deduction</t>
  </si>
  <si>
    <t>Final Taxable Income</t>
  </si>
  <si>
    <t>D</t>
  </si>
  <si>
    <t>E</t>
  </si>
  <si>
    <t>F</t>
  </si>
  <si>
    <t>G</t>
  </si>
  <si>
    <t>H</t>
  </si>
  <si>
    <t>J</t>
  </si>
  <si>
    <t>K</t>
  </si>
  <si>
    <t>Total SE income of user and spouse</t>
  </si>
  <si>
    <t>AGI minus standard or itemized deductions</t>
  </si>
  <si>
    <t>Threshold at beginning of 32% tax rate bracket for filing status</t>
  </si>
  <si>
    <t>Married: $100,000;  all others: $50,000</t>
  </si>
  <si>
    <t>Net self-employment income</t>
  </si>
  <si>
    <t>Adjustment for self-employed health insurance</t>
  </si>
  <si>
    <t>Adjustment for 1/2 of self-employment tax</t>
  </si>
  <si>
    <t>Adjustment for self-employed retirement plans (SEP, SIMPLE)</t>
  </si>
  <si>
    <t>O</t>
  </si>
  <si>
    <t>Q</t>
  </si>
  <si>
    <t>P</t>
  </si>
  <si>
    <t>TOTAL</t>
  </si>
  <si>
    <t>Minimum of F and G</t>
  </si>
  <si>
    <t>of H</t>
  </si>
  <si>
    <t>K+L</t>
  </si>
  <si>
    <t>MIN(MAX(0,G-K)/L,100%)</t>
  </si>
  <si>
    <t>J*N</t>
  </si>
  <si>
    <t>G-P</t>
  </si>
  <si>
    <t>Entered by user</t>
  </si>
  <si>
    <t>Derived by TWE</t>
  </si>
  <si>
    <t>MAX(B-(C+D+E),0)</t>
  </si>
  <si>
    <t>MAX(J-O,0)</t>
  </si>
  <si>
    <t>W-4 Line 3 amt. needed to stop w/h:</t>
  </si>
  <si>
    <t>% of taxable income</t>
  </si>
  <si>
    <t>Lower bound on Max</t>
  </si>
  <si>
    <t>Upper bound on Max</t>
  </si>
  <si>
    <t>Taxable income</t>
  </si>
  <si>
    <t>Max</t>
  </si>
  <si>
    <t>Increment value</t>
  </si>
  <si>
    <t># increments</t>
  </si>
  <si>
    <t>Future Bonus WH</t>
  </si>
  <si>
    <t>Pension withholding rate:</t>
  </si>
  <si>
    <t>Future</t>
  </si>
  <si>
    <t>Pension Withholding Rate Schedule</t>
  </si>
  <si>
    <t>HoH</t>
  </si>
  <si>
    <t>Pension Withholding Thresholds</t>
  </si>
  <si>
    <t>Total tax withheld (baseline, 0 allowances):</t>
  </si>
  <si>
    <t>Pension Allowances:</t>
  </si>
  <si>
    <t>Pension Withholding for rest of year</t>
  </si>
  <si>
    <t>Allowances need to stop w/h:</t>
  </si>
  <si>
    <t>Line 3 Annual Credits:</t>
  </si>
  <si>
    <r>
      <t>American Opportunity</t>
    </r>
    <r>
      <rPr>
        <sz val="12"/>
        <color indexed="12"/>
        <rFont val="Arial"/>
        <family val="2"/>
      </rPr>
      <t xml:space="preserve"> Credit:</t>
    </r>
  </si>
  <si>
    <r>
      <rPr>
        <u/>
        <sz val="12"/>
        <color rgb="FF0000D4"/>
        <rFont val="Arial"/>
        <family val="2"/>
      </rPr>
      <t>Lifetime Learning</t>
    </r>
    <r>
      <rPr>
        <sz val="12"/>
        <color indexed="12"/>
        <rFont val="Arial"/>
        <family val="2"/>
      </rPr>
      <t xml:space="preserve"> Credit:</t>
    </r>
  </si>
  <si>
    <t>Payer will withhold?</t>
  </si>
  <si>
    <t>Allowed</t>
  </si>
  <si>
    <t>Other</t>
  </si>
  <si>
    <t>Your Prior wages</t>
  </si>
  <si>
    <t>Spouse Prior wages</t>
  </si>
  <si>
    <t>Target refund</t>
  </si>
  <si>
    <t>w/h needed after current PP</t>
  </si>
  <si>
    <t>Total w/h target</t>
  </si>
  <si>
    <t>Baseline withholding per PPd:</t>
  </si>
  <si>
    <t>w/h per PPd needed after current PPd</t>
  </si>
  <si>
    <t>annualized w/h needed</t>
  </si>
  <si>
    <t>Adjustment for student loan interest</t>
  </si>
  <si>
    <t xml:space="preserve">  Student loan interest paid</t>
  </si>
  <si>
    <t>MAGI</t>
  </si>
  <si>
    <t xml:space="preserve">Student loan interest </t>
  </si>
  <si>
    <t>denominator</t>
  </si>
  <si>
    <t>numerator</t>
  </si>
  <si>
    <t>Max deduction</t>
  </si>
  <si>
    <t>Other Adjustments</t>
  </si>
  <si>
    <t>EITC Earned</t>
  </si>
  <si>
    <t>AGI &lt; L?</t>
  </si>
  <si>
    <t>Investment income &lt; limit?</t>
  </si>
  <si>
    <t>Earned Income &lt; L?</t>
  </si>
  <si>
    <t>Child Tax Credit Computations</t>
  </si>
  <si>
    <t>Subtract line 2 from line 1. If zero, stop here; you cannot claim this credit ............</t>
  </si>
  <si>
    <t>Enter the smaller of line 3 or line 4 .......................</t>
  </si>
  <si>
    <t>Earned income (see instructions) ................</t>
  </si>
  <si>
    <t>6a</t>
  </si>
  <si>
    <t>Nontaxable combat pay (see instructions)......</t>
  </si>
  <si>
    <t>6b</t>
  </si>
  <si>
    <t>Is the amount on line 6a more than $2,500?</t>
  </si>
  <si>
    <t>Multiply the amount on line 7 by 15% (0.15) and enter the result ...............</t>
  </si>
  <si>
    <t>Next. On line 4, is the amount $4,200 or more?</t>
  </si>
  <si>
    <t>Part I. All Filers</t>
  </si>
  <si>
    <t>Child Tax Credit and Credit for Other Dependents Worksheet (Form 1040)</t>
  </si>
  <si>
    <t>Add lines 1 and 2</t>
  </si>
  <si>
    <t>Enter the amount from Form 1040, line 8b (AGI)</t>
  </si>
  <si>
    <t>Is the amount on line 4 more than the amount on line 5?</t>
  </si>
  <si>
    <t>Is the amount on line 3 more than the amount on line 7?</t>
  </si>
  <si>
    <t>Number of other dependents x $500</t>
  </si>
  <si>
    <t>Number of qualifying children under age 17 x $2,000</t>
  </si>
  <si>
    <t>Enter  $400,000 (MFJ) or  $200,000 (All others)</t>
  </si>
  <si>
    <t xml:space="preserve">Multiply the amount on line 6 by 5% (0.05). </t>
  </si>
  <si>
    <t>If the result isn’t a multiple of $1,000,increase it to the next multiple of $1,000. For example, increase $425 to $1,000,increase $1,025 to $2,000, etc.</t>
  </si>
  <si>
    <t>Additional Child Tax Credit (Refundable portion, Schedule 8812)</t>
  </si>
  <si>
    <t xml:space="preserve">Enter the amount from line 8 of your CTC Worksheet </t>
  </si>
  <si>
    <t>Total tax before credits</t>
  </si>
  <si>
    <t>Total non-refundable credits (i.e., excluding refundable Ed'n credit, EITC, CTC)</t>
  </si>
  <si>
    <t>Education Credits (Form 8863)</t>
  </si>
  <si>
    <t>Part I. Refundable AOTC</t>
  </si>
  <si>
    <t>Total credit entered by user</t>
  </si>
  <si>
    <t>Enter: $180,000 if married filing jointly; $90,000 otherwise</t>
  </si>
  <si>
    <t>Enter AGI</t>
  </si>
  <si>
    <t xml:space="preserve">Subtract line 3 from line 2. </t>
  </si>
  <si>
    <t>Enter: $20,000 if married filing jointly; $10,000 otherwise</t>
  </si>
  <si>
    <t>Divide line 4 by line 5, but no more than 1.0</t>
  </si>
  <si>
    <t>Multiply line 1 by line 6; if can be claimed as a dependent, enter $0</t>
  </si>
  <si>
    <t>Refundable</t>
  </si>
  <si>
    <t>Subtract line 8 from line 7</t>
  </si>
  <si>
    <t>Part II. Nonrefundable Education Credits</t>
  </si>
  <si>
    <t>Enter the smaller of line 10 or $10,000</t>
  </si>
  <si>
    <t>Multiply line 11 by 20% (0.20)</t>
  </si>
  <si>
    <t>Enter: $136,000 if married filing jointly; $68,000 otherwise</t>
  </si>
  <si>
    <t>Divide line 15 by line 16, but no more than 1.0</t>
  </si>
  <si>
    <t>Multiply line 12 by line 17</t>
  </si>
  <si>
    <t>Credit Limit Worksheet</t>
  </si>
  <si>
    <t>Enter the amount from Form 8863, line 18.....................</t>
  </si>
  <si>
    <t>Enter the amount from Form 8863, line 9......................</t>
  </si>
  <si>
    <t>Add lines 1 and 2..............</t>
  </si>
  <si>
    <t>Subtract line 5 from line 4.........</t>
  </si>
  <si>
    <t>Enter the smaller of line 3 or line 6 here and on Form 8863, line 19........</t>
  </si>
  <si>
    <t>Enter the amount from Form 1040 line 12b (tax before credits)</t>
  </si>
  <si>
    <t>Nonrefundable education credits</t>
  </si>
  <si>
    <t>Nonrefundable</t>
  </si>
  <si>
    <t>Enter the total from Schedule 3 (Form 1040), lines 1 (foreign tax credit) and 2 (C&amp;D care credit)</t>
  </si>
  <si>
    <t>Subtract line 10 from line 9.</t>
  </si>
  <si>
    <t>Is the amount on line 8 more than the amount on line 11?</t>
  </si>
  <si>
    <t>Child Tax Credit and Credit for Other Dependents</t>
  </si>
  <si>
    <t>Enter the amount from Form 1040, line 13a (i.e., line 12 above)</t>
  </si>
  <si>
    <t>Number of qualifying children under 17 with the required SSN x $1,400</t>
  </si>
  <si>
    <t>Part II. Certain Filers Who Have Three or More Qualifying Children</t>
  </si>
  <si>
    <t>Withheld social security, Medicare, and Additional Medicare taxes from Form(s) W-2, boxes 4 and 6. If married filing jointly, include your spouse’s amounts with yours.</t>
  </si>
  <si>
    <t>Add lines 9 and 10</t>
  </si>
  <si>
    <t>Subtract line 12 from line 11. If zero or less, enter -0-</t>
  </si>
  <si>
    <t>Enter the larger of line 8 or line 13</t>
  </si>
  <si>
    <t>Enter the smaller of line 5 or line 14</t>
  </si>
  <si>
    <t>Total wages</t>
  </si>
  <si>
    <t>Medicare tax:  multiply line 1 by 1.45%</t>
  </si>
  <si>
    <t>Social Security: Multiply line 1 by 6.2%</t>
  </si>
  <si>
    <t>Additional Medicare tax</t>
  </si>
  <si>
    <t>Total payroll taxes on wages</t>
  </si>
  <si>
    <t>Enter the total of the amounts from Form 1040, line 18a (EITC), and Schedule 3 (Form 1040), line 11 (excess SS tax withheld; assume this is zero).</t>
  </si>
  <si>
    <t>Enter the total of the amounts from Schedule 1 (Form 1040), line 14 (other gains and losses, Form 4797), and Schedule 2 (Form 1040), line 5 (unreported SS &amp; Medicare tax), plus any taxes that you identified using code “UT” and entered on Schedule 2 (Form 1040), line 8</t>
  </si>
  <si>
    <t>Assume always zero</t>
  </si>
  <si>
    <t>Child Tax Credit + Other Dependents:</t>
  </si>
  <si>
    <t>Income offsets:</t>
  </si>
  <si>
    <t>If Not: Leave line 6 blank. Enter -0- on line 7, and go to line 8.</t>
  </si>
  <si>
    <t>If Yes: Subtract line 5 from line 4</t>
  </si>
  <si>
    <t>=IF(D14&gt;D15,D14-D15,0)</t>
  </si>
  <si>
    <t>=ROUNDUP(D18,-3)</t>
  </si>
  <si>
    <t>Line</t>
  </si>
  <si>
    <t>=IF(D19&gt;0,D19*0.05,0)</t>
  </si>
  <si>
    <t>=MAX(0,D13-D20)</t>
  </si>
  <si>
    <t>If Not: You can't take the credit.</t>
  </si>
  <si>
    <t>If Yes: Subtract line 7 from line 3. Enter the result.</t>
  </si>
  <si>
    <t>From tax calculations</t>
  </si>
  <si>
    <t>From credits calculations/entries</t>
  </si>
  <si>
    <t>=D24-D25</t>
  </si>
  <si>
    <t>If Not: Enter the amount from line 8.</t>
  </si>
  <si>
    <t>=IF(D21&gt;D26,D26,D21)</t>
  </si>
  <si>
    <t>=D21</t>
  </si>
  <si>
    <t>=D27</t>
  </si>
  <si>
    <t>=MAX(0,D34-D35)</t>
  </si>
  <si>
    <t>=MIN(D36,D37)</t>
  </si>
  <si>
    <t>Assume $0</t>
  </si>
  <si>
    <t>=IF(D39&gt;2500,D39-2500,0)</t>
  </si>
  <si>
    <t>If Not: Leave line 7 blank and enter -0- on line 8.</t>
  </si>
  <si>
    <t>If Yes: Subtract $2,500 from the amount on line 6a. Enter the result .....</t>
  </si>
  <si>
    <t>=D41*0.15</t>
  </si>
  <si>
    <t>=IF(D37&gt;=4200,TRUE,FALSE)</t>
  </si>
  <si>
    <t>If FALSE:. If line 8 is zero, stop here; you cannot claim this credit. Otherwise, skip Part II and enter the smaller of line 5 or line 8 on line 15.</t>
  </si>
  <si>
    <t>If TRUE: If line 8 is equal to or more than line 5, skip Part II and enter the amount from line 5 on line 15. Otherwise, go to line 9.</t>
  </si>
  <si>
    <t>=IF(D45=FALSE,IF(D44=0,0,MIN(D38,D44)),IF(D44&gt;=D38,D38,D55))</t>
  </si>
  <si>
    <t>From FICA calculation</t>
  </si>
  <si>
    <t>Assume this is just EITC computed amount</t>
  </si>
  <si>
    <t>=MAX(0,D52-D53)</t>
  </si>
  <si>
    <t>=MAX(D44,D54)</t>
  </si>
  <si>
    <t>=MIN(D38,D55)</t>
  </si>
  <si>
    <t>Part III. Additional Child Tax Credit (Refundable)</t>
  </si>
  <si>
    <t>Formulas</t>
  </si>
  <si>
    <t>FICA: Social Security and Medicare Withholding on Annual Wages</t>
  </si>
  <si>
    <t>Calculated elsewhere</t>
  </si>
  <si>
    <t>Sum of Lines 1 thru 4</t>
  </si>
  <si>
    <t>=MIN(D5,Max Income subject to SS tax)*0.062</t>
  </si>
  <si>
    <t>=D5*0.0145</t>
  </si>
  <si>
    <t>=E11-E12</t>
  </si>
  <si>
    <t>=MIN(E15,10000)</t>
  </si>
  <si>
    <t>=MAX(0,E6-E7)</t>
  </si>
  <si>
    <t>=MIN(E8/E9,1)</t>
  </si>
  <si>
    <t>=IF(IsDependent,0,E5*D10)</t>
  </si>
  <si>
    <t>=E11*0.4</t>
  </si>
  <si>
    <t>=E16*0.2</t>
  </si>
  <si>
    <t>=E18-E19</t>
  </si>
  <si>
    <t>Entered or calculated elsewhere</t>
  </si>
  <si>
    <t>=MIN(E28,E31)</t>
  </si>
  <si>
    <t>=E32</t>
  </si>
  <si>
    <t>Subtract line 14 from line 13. If zero or less, skip lines 16 and 17, enter -0- on line 18, and go to line 19</t>
  </si>
  <si>
    <t>=IF(E20&lt;=0,0,E17*E22)</t>
  </si>
  <si>
    <t>=IF(E20&lt;=0,0,MIN(1,E20/E21))</t>
  </si>
  <si>
    <r>
      <t xml:space="preserve">Multiply line 7 by 40% (0.40).  Then go to line 9 below   </t>
    </r>
    <r>
      <rPr>
        <b/>
        <sz val="10"/>
        <rFont val="Arial"/>
        <family val="2"/>
      </rPr>
      <t>(Refundable AOTC)</t>
    </r>
  </si>
  <si>
    <t>Nonrefundable Credits:</t>
  </si>
  <si>
    <t>Refundable Credits</t>
  </si>
  <si>
    <t>Education: American Opp. Credit</t>
  </si>
  <si>
    <t>Education: Lifetime Learning Credit</t>
  </si>
  <si>
    <t>Investment Income (e.g., interest or dividends):</t>
  </si>
  <si>
    <r>
      <t xml:space="preserve">Number of </t>
    </r>
    <r>
      <rPr>
        <b/>
        <sz val="12"/>
        <color indexed="12"/>
        <rFont val="Arial"/>
        <family val="2"/>
      </rPr>
      <t>Blind</t>
    </r>
    <r>
      <rPr>
        <sz val="12"/>
        <color indexed="12"/>
        <rFont val="Arial"/>
        <family val="2"/>
      </rPr>
      <t xml:space="preserve"> deductions</t>
    </r>
    <r>
      <rPr>
        <sz val="9"/>
        <color indexed="12"/>
        <rFont val="Arial"/>
        <family val="2"/>
      </rPr>
      <t xml:space="preserve"> (you and spouse)</t>
    </r>
    <r>
      <rPr>
        <sz val="12"/>
        <color indexed="12"/>
        <rFont val="Arial"/>
        <family val="2"/>
      </rPr>
      <t>:</t>
    </r>
  </si>
  <si>
    <r>
      <t xml:space="preserve">Number of </t>
    </r>
    <r>
      <rPr>
        <b/>
        <sz val="12"/>
        <color indexed="12"/>
        <rFont val="Arial"/>
        <family val="2"/>
      </rPr>
      <t>Age 65+</t>
    </r>
    <r>
      <rPr>
        <sz val="12"/>
        <color indexed="12"/>
        <rFont val="Arial"/>
        <family val="2"/>
      </rPr>
      <t xml:space="preserve"> deductions</t>
    </r>
    <r>
      <rPr>
        <sz val="9"/>
        <color indexed="12"/>
        <rFont val="Arial"/>
        <family val="2"/>
      </rPr>
      <t xml:space="preserve"> (you and spouse)</t>
    </r>
    <r>
      <rPr>
        <sz val="12"/>
        <color indexed="12"/>
        <rFont val="Arial"/>
        <family val="2"/>
      </rPr>
      <t>:</t>
    </r>
  </si>
  <si>
    <t>if 65+, have dependents?</t>
  </si>
  <si>
    <t>Head Hhld</t>
  </si>
  <si>
    <t>Qual Widow(er)</t>
  </si>
  <si>
    <t>Adjustments</t>
  </si>
  <si>
    <t>Total income</t>
  </si>
  <si>
    <t>Tax before credits</t>
  </si>
  <si>
    <t>Past ETP</t>
  </si>
  <si>
    <t>Future ETP</t>
  </si>
  <si>
    <t>Net wages</t>
  </si>
  <si>
    <t>Past ES Payments</t>
  </si>
  <si>
    <t>Tax liability - withholding and estimated payments to date:</t>
  </si>
  <si>
    <t>Minimum wage withholding for balance of year:</t>
  </si>
  <si>
    <t>Total Refundable Credits:</t>
  </si>
  <si>
    <t>Projected Tax Paid if do nothing:</t>
  </si>
  <si>
    <t>Projected wage withholding for balance of year:</t>
  </si>
  <si>
    <r>
      <rPr>
        <b/>
        <sz val="10"/>
        <rFont val="Arial"/>
        <family val="2"/>
      </rPr>
      <t>Lifetime Learning Credit</t>
    </r>
    <r>
      <rPr>
        <sz val="10"/>
        <rFont val="Arial"/>
        <family val="2"/>
      </rPr>
      <t xml:space="preserve"> amount entered by user</t>
    </r>
  </si>
  <si>
    <t>Total withholding rest of year</t>
  </si>
  <si>
    <t>Total tax withheld all year:</t>
  </si>
  <si>
    <t>Shut down wh?</t>
  </si>
  <si>
    <t>MFS</t>
  </si>
  <si>
    <t>Not Married</t>
  </si>
  <si>
    <t>Age 65+</t>
  </si>
  <si>
    <t>Have dep</t>
  </si>
  <si>
    <t>Eligibility</t>
  </si>
  <si>
    <r>
      <t xml:space="preserve">Display this amount in the </t>
    </r>
    <r>
      <rPr>
        <u/>
        <sz val="10"/>
        <rFont val="Arial"/>
        <family val="2"/>
      </rPr>
      <t>nonrefundable</t>
    </r>
    <r>
      <rPr>
        <sz val="10"/>
        <rFont val="Arial"/>
        <family val="2"/>
      </rPr>
      <t xml:space="preserve"> credits section on Results page as: "Allowed education credits"</t>
    </r>
  </si>
  <si>
    <r>
      <t xml:space="preserve">If MFS or Single with no dependents, set to $0 here for calculations, but display actual amount of LLC entered by user in the </t>
    </r>
    <r>
      <rPr>
        <u/>
        <sz val="10"/>
        <rFont val="Arial"/>
        <family val="2"/>
      </rPr>
      <t>nonrefundable</t>
    </r>
    <r>
      <rPr>
        <sz val="10"/>
        <rFont val="Arial"/>
        <family val="2"/>
      </rPr>
      <t xml:space="preserve"> credits section on the Results page as:  "LLC amount entered"</t>
    </r>
  </si>
  <si>
    <r>
      <t xml:space="preserve">Display this amount in the </t>
    </r>
    <r>
      <rPr>
        <u/>
        <sz val="10"/>
        <rFont val="Arial"/>
        <family val="2"/>
      </rPr>
      <t>refundable</t>
    </r>
    <r>
      <rPr>
        <sz val="10"/>
        <rFont val="Arial"/>
        <family val="2"/>
      </rPr>
      <t xml:space="preserve"> credits section on Results page as: "Refundable portion of AOTC education credit"</t>
    </r>
  </si>
  <si>
    <t>Your Job/Pension</t>
  </si>
  <si>
    <t>Wage ppd 1</t>
  </si>
  <si>
    <t>Wage ppd 2</t>
  </si>
  <si>
    <t>Pay periods/year</t>
  </si>
  <si>
    <t>Total salary expected</t>
  </si>
  <si>
    <t>Remaining pay periods</t>
  </si>
  <si>
    <t>Wages paid to date</t>
  </si>
  <si>
    <t>Hours/ppd</t>
  </si>
  <si>
    <t>Wages/hour</t>
  </si>
  <si>
    <t>Expected total wage this year</t>
  </si>
  <si>
    <t>Priority</t>
  </si>
  <si>
    <t>=E14 (nonrefundable portion of AOC)</t>
  </si>
  <si>
    <t>=E26+E27 (potential total non-refundable ed'n credits)</t>
  </si>
  <si>
    <t>Add'l $/pp</t>
  </si>
  <si>
    <t>Add'l this yr</t>
  </si>
  <si>
    <t>Manual override</t>
  </si>
  <si>
    <t>MAX($P14,0)/R14</t>
  </si>
  <si>
    <t>IF(U47=0,0,IF($Z54&lt;0,MAX(-$Z54,$AA16-U51)*U56/U47,0))</t>
  </si>
  <si>
    <t>=MAX(E29-E30,0)</t>
  </si>
  <si>
    <t>Pay periods so far</t>
  </si>
  <si>
    <t>Wage/paycheck</t>
  </si>
  <si>
    <t>ANNUAL - Job 1</t>
  </si>
  <si>
    <t>ANNUAL - Job 2</t>
  </si>
  <si>
    <t>ENTERED - YEAR TO DATE - Job 1</t>
  </si>
  <si>
    <t>ENTERED - YEAR TO DATE - Job 2</t>
  </si>
  <si>
    <t>ENTERED - YEAR TOTAL - Job 1</t>
  </si>
  <si>
    <t>ENTERED - YEAR TOTAL - Job 2</t>
  </si>
  <si>
    <t>Standard wh/pp:</t>
  </si>
  <si>
    <t>Recommended wh/pp:</t>
  </si>
  <si>
    <t>Planned Estimated Tax Payments Calculation - Logic 1</t>
  </si>
  <si>
    <t>Acceptance Criteria:</t>
  </si>
  <si>
    <t>The system shall determine a minimum amount of wage withholding for the remainder of the year based on the ratio of wages to Total Income by using the following calculations:</t>
  </si>
  <si>
    <t>a. The TWE will first compute the ratio of total wages to Total Income [each of these is already computed in TWE]. The amount withheld from wages for the entire year should be no less than this percentage of Total Tax Liability. (Total Wages) / (Total income) = Minimum Ratio</t>
  </si>
  <si>
    <t>b. The TWE will multiply the percentage (or ratio) from (a) by the Total Tax Liability already computed in TWE. (Minimum Ratio) x (Total Tax Liability) = Minimum amount of wage withholding this year.</t>
  </si>
  <si>
    <t>c. The TWE will subtract from that annual minimum amount of wage withholding any amounts of tax that have already been paid to date through withholding or past estimated tax payments. Minimum amount of wage withholding this year – withholding to date – estimated tax payments made to date = Minimum amount of withholding for the remainder of the year.</t>
  </si>
  <si>
    <t>d. The TWE will compute the recommended amount of tax that would be withheld for the balance of the year [the same as now]. Call this Future Withholding.</t>
  </si>
  <si>
    <t>e. But before entering the usual recommendation on the results page, the TWE will compare Future Withholding with the Minimum amount of withholding for the remainder of the year from step (c) above.</t>
  </si>
  <si>
    <t>-If Future Withholding ≥ Minimum amount of withholding for the remainder of the year, then the TWE will proceed with the standard recommendation, as usual [no change to output from now].</t>
  </si>
  <si>
    <t>-If Future Withholding &lt; Minimum amount of withholding for the remainder of the year, then the TWE will increase the withholding needed to achieve the desired refund so that the withholding for the remainder of the years equals the Minimum amount of withholding for the remainder of the year.</t>
  </si>
  <si>
    <t>f. By enforcing this minimum amount of wage withholding, some amount of planned estimated tax payment might cause total payments to exceed the desired refund; that must not be cause to reduce wage withholding below the minimum amount. That is, the TWE slider should not allow the refund to go lower than the amount of excess future estimated tax payments. (If users really want a refund smaller than that, they should reduce their planned future estimated tax payments.)</t>
  </si>
  <si>
    <t>See the same attached document, Accounting for Limits on RefCredits and Future estimated tax payments.pptx.</t>
  </si>
  <si>
    <r>
      <t>As a</t>
    </r>
    <r>
      <rPr>
        <sz val="10"/>
        <rFont val="Calibri"/>
        <family val="2"/>
        <scheme val="minor"/>
      </rPr>
      <t> user</t>
    </r>
  </si>
  <si>
    <r>
      <t>I want</t>
    </r>
    <r>
      <rPr>
        <sz val="10"/>
        <rFont val="Calibri"/>
        <family val="2"/>
        <scheme val="minor"/>
      </rPr>
      <t> to be able to calculate the planned estimated tax payments</t>
    </r>
  </si>
  <si>
    <r>
      <t>So that</t>
    </r>
    <r>
      <rPr>
        <sz val="10"/>
        <rFont val="Calibri"/>
        <family val="2"/>
        <scheme val="minor"/>
      </rPr>
      <t> I can make sure the calculations for the planned estimated tax payments are accurate.</t>
    </r>
  </si>
  <si>
    <t>Minimum Ratio</t>
  </si>
  <si>
    <t>Withholding and estimated payments to date</t>
  </si>
  <si>
    <t>Minimum amount of wage withholding</t>
  </si>
  <si>
    <t>Is Future Withholding ≥ Minimum amount of withholding?</t>
  </si>
  <si>
    <t>Increase in withholding needed</t>
  </si>
  <si>
    <t>Original W-4 line 3 amount:</t>
  </si>
  <si>
    <t>Original W-4 line 4c amount:</t>
  </si>
  <si>
    <t>Share of standard withholding (or income) rest of year:</t>
  </si>
  <si>
    <t>Updated W-4 line 3 amount:</t>
  </si>
  <si>
    <t>Updated W-4 line 4c amount:</t>
  </si>
  <si>
    <t>Percentage of year remaining for the job:</t>
  </si>
  <si>
    <t>Pay periods remaining:</t>
  </si>
  <si>
    <t>Tax withheld &amp; est'd pymnts:</t>
  </si>
  <si>
    <t>Standard wh per pay period:</t>
  </si>
  <si>
    <t>Minimum withholding for the remainder of the year</t>
  </si>
  <si>
    <t>Check on ratio of total withholding to tax liability</t>
  </si>
  <si>
    <t>Total projected withholding</t>
  </si>
  <si>
    <t>This should NOT include pensions or social security benefits.</t>
  </si>
  <si>
    <t>This SHOULD include withholding on pensions and social security benefits.</t>
  </si>
  <si>
    <t>Wages (past &amp; present)</t>
  </si>
  <si>
    <t>Advance payment of CTC this year:</t>
  </si>
  <si>
    <t>Sum of CTC+COD+ACTC</t>
  </si>
  <si>
    <t>Standard wh rest of year:</t>
  </si>
  <si>
    <t>Line 4c add'l wh rest of year:</t>
  </si>
  <si>
    <t>Total income tax liability</t>
  </si>
  <si>
    <t>Future withholding if planned estimated tax payments are counted like past ones</t>
  </si>
  <si>
    <t>Tax withheld (&amp; past &amp; future est'd payments):</t>
  </si>
  <si>
    <t>incl. future est'd pymnts</t>
  </si>
  <si>
    <t>Minimum Ratio from above</t>
  </si>
  <si>
    <t>Example Scenario</t>
  </si>
  <si>
    <t>Filing status:</t>
  </si>
  <si>
    <t>Dependents:</t>
  </si>
  <si>
    <t>Aged+Blind</t>
  </si>
  <si>
    <t>CTC qualifying children:</t>
  </si>
  <si>
    <t>Start date, Job 1</t>
  </si>
  <si>
    <t>Start date,
Job 1:</t>
  </si>
  <si>
    <t>Withholding to date, Job 1</t>
  </si>
  <si>
    <t>Withholding/ppd, Job 1</t>
  </si>
  <si>
    <t>Pay frequency:</t>
  </si>
  <si>
    <t>Last ppd end date:</t>
  </si>
  <si>
    <t>Annual wages, Job 1:</t>
  </si>
  <si>
    <t>Self-employment income this year:</t>
  </si>
  <si>
    <t>Est'd tax paid to date:</t>
  </si>
  <si>
    <t>Est'd tax payment planned:</t>
  </si>
  <si>
    <t>Adjustments (other than 1/2 of SE tax):</t>
  </si>
  <si>
    <t>Itemized deductions:</t>
  </si>
  <si>
    <t>Credits other than CTC:</t>
  </si>
  <si>
    <t>Preferred Refund:</t>
  </si>
  <si>
    <t>Remainder of Year if use future est'd pymnt</t>
  </si>
  <si>
    <t>Recommended wh/ppd:</t>
  </si>
  <si>
    <t>Line 3 amount rest of year:</t>
  </si>
  <si>
    <t>Treats future estimated tax payments the same as past payments</t>
  </si>
  <si>
    <t>Number of students:</t>
  </si>
  <si>
    <t>Qualified expenses:</t>
  </si>
  <si>
    <t>1=S or MFS; 2=MFJ or QW; 3=HoH</t>
  </si>
  <si>
    <t>Input by user</t>
  </si>
  <si>
    <t>Maximum number of students:</t>
  </si>
  <si>
    <t>=MIN(AOTC entered,2500*E4)</t>
  </si>
  <si>
    <t>=MIN(#students entered,E3)</t>
  </si>
  <si>
    <t>=IF(E1=2,2+E2,1+E2)</t>
  </si>
  <si>
    <t>You can't claim the LLC for any student if you claim the AOTC for that student for the same tax year.</t>
  </si>
  <si>
    <t>Possible to claim both credits?</t>
  </si>
  <si>
    <t>=IF(E4&lt;2,0,1)</t>
  </si>
  <si>
    <t>=E23*E25 (LLC allowed)</t>
  </si>
  <si>
    <t>current_year</t>
  </si>
  <si>
    <t>start_of_year</t>
  </si>
  <si>
    <t>end_of_year</t>
  </si>
  <si>
    <t>TABLE_CUT_1</t>
  </si>
  <si>
    <t>TABLE_CUT_2</t>
  </si>
  <si>
    <t>USE_TABLE</t>
  </si>
  <si>
    <t>SM_TABLE_DIFF</t>
  </si>
  <si>
    <t>BIG_TABLE_DIFF</t>
  </si>
  <si>
    <t>USE_SCHEDULES</t>
  </si>
  <si>
    <t>USE_BIG_TABLE_DIFF</t>
  </si>
  <si>
    <t>effective_income_1</t>
  </si>
  <si>
    <t>effective_income_2</t>
  </si>
  <si>
    <t>effective_income_3</t>
  </si>
  <si>
    <t>SS_TAX_THRESHOLD_1</t>
  </si>
  <si>
    <t>SS_TAX_THRESHOLD_2</t>
  </si>
  <si>
    <t>SD_SINGLE</t>
  </si>
  <si>
    <t>SD_JOINT</t>
  </si>
  <si>
    <t>SD_HOH</t>
  </si>
  <si>
    <t>SD_SEPARATE</t>
  </si>
  <si>
    <t>WH_ALLOW</t>
  </si>
  <si>
    <t>MIN_AMOUNT</t>
  </si>
  <si>
    <t>EARNED_INCOME_BUMP</t>
  </si>
  <si>
    <t>SD_SINGLE_FACTOR</t>
  </si>
  <si>
    <t>SD_MARRIED_FACTOR</t>
  </si>
  <si>
    <t>SD_AGED_AND_BLIND_SINGLE</t>
  </si>
  <si>
    <t>SD_AGED_AND_BLIND_MARRIED</t>
  </si>
  <si>
    <t>EXEMPTION</t>
  </si>
  <si>
    <t>EXEMPTION_DIVISOR</t>
  </si>
  <si>
    <t>EXEMPTION_DIVISOR_SEPARATE</t>
  </si>
  <si>
    <t>EX_SINGLE</t>
  </si>
  <si>
    <t>EX_JOINT</t>
  </si>
  <si>
    <t>EX_SEPARATE</t>
  </si>
  <si>
    <t>EX_HOH</t>
  </si>
  <si>
    <t>EXEMPTION_THRESHHOLD</t>
  </si>
  <si>
    <t>EXEMPTION_REDUCER</t>
  </si>
  <si>
    <t>med_limit</t>
  </si>
  <si>
    <t>SALT_tax_limit</t>
  </si>
  <si>
    <t>SALT_tax_limit_mfs</t>
  </si>
  <si>
    <t>ITEM_DEDUCT_REGULAR</t>
  </si>
  <si>
    <t>ITEM_DEDUCT_SINGLE</t>
  </si>
  <si>
    <t>ITEM_DEDUCT_HOH</t>
  </si>
  <si>
    <t>ITEM_DEDUCT_SEPARATE</t>
  </si>
  <si>
    <t>tax_rate</t>
  </si>
  <si>
    <t>wh_rate</t>
  </si>
  <si>
    <t>wh_rate_married</t>
  </si>
  <si>
    <t>bracket_floor__table__001</t>
  </si>
  <si>
    <t>bracket_floor__table__002</t>
  </si>
  <si>
    <t>bracket_floor__table__003</t>
  </si>
  <si>
    <t>bracket_floor__table__004</t>
  </si>
  <si>
    <t>bracket_floor__table__005</t>
  </si>
  <si>
    <t>bracket_floor__table__006</t>
  </si>
  <si>
    <t>bracket_floor__table__007</t>
  </si>
  <si>
    <t>wh_bracket_floor__table__001</t>
  </si>
  <si>
    <t>wh_bracket_floor__table__002</t>
  </si>
  <si>
    <t>wh_bracket_floor__table__003</t>
  </si>
  <si>
    <t>wh_bracket_floor__table__004</t>
  </si>
  <si>
    <t>wh_bracket_floor__table__005</t>
  </si>
  <si>
    <t>wh_bracket_floor__table__006</t>
  </si>
  <si>
    <t>wh_bracket_floor__table__007</t>
  </si>
  <si>
    <t>BONUS-WH_RATE</t>
  </si>
  <si>
    <t>CH_CR_LIMIT_JOINT</t>
  </si>
  <si>
    <t>CH_CR_LIMIT_SEPARATE</t>
  </si>
  <si>
    <t>CH_CR_LIMIT_SINGLE</t>
  </si>
  <si>
    <t>CH_CR_AMOUNT</t>
  </si>
  <si>
    <t>CH_CR_AGI_PHASEOUT</t>
  </si>
  <si>
    <t>CH_CR_DIMINISH</t>
  </si>
  <si>
    <t>CH_CR_REFUNDABILITY_THRESHOLD</t>
  </si>
  <si>
    <t>NON_CHILD_DEPENDENT_AMOUNT</t>
  </si>
  <si>
    <t>CH_DEP_RATES</t>
  </si>
  <si>
    <t>CH_DEP_LIMIT</t>
  </si>
  <si>
    <t>CH_DEP_AMT</t>
  </si>
  <si>
    <t>CH_DEP_PCT</t>
  </si>
  <si>
    <t>EITC_computation_single__table__001</t>
  </si>
  <si>
    <t>EITC_computation_single__table__002</t>
  </si>
  <si>
    <t>EITC_computation_single__table__003</t>
  </si>
  <si>
    <t>EITC_computation_single__table__004</t>
  </si>
  <si>
    <t>EITC_computation_single__table__005</t>
  </si>
  <si>
    <t>EITC_computation_single__table__006</t>
  </si>
  <si>
    <t>EITC_computation_mfj__table__001</t>
  </si>
  <si>
    <t>EITC_computation_mfj__table__002</t>
  </si>
  <si>
    <t>EITC_computation_mfj__table__003</t>
  </si>
  <si>
    <t>EITC_computation_mfj__table__004</t>
  </si>
  <si>
    <t>EITC_computation_mfj__table__005</t>
  </si>
  <si>
    <t>EITC_computation_mfj__table__006</t>
  </si>
  <si>
    <t>FRACTION_OF_SE_INCOME_SUBJECT_TO_TAX</t>
  </si>
  <si>
    <t>SE_INCOME_THRESHOLD</t>
  </si>
  <si>
    <t>MEDICARE_TAXRATE</t>
  </si>
  <si>
    <t>SS_LIMIT</t>
  </si>
  <si>
    <t>SS_TAXRATE</t>
  </si>
  <si>
    <t>ss_rate</t>
  </si>
  <si>
    <t>medicare_rate</t>
  </si>
  <si>
    <t>addtl_medicare_rate</t>
  </si>
  <si>
    <t>addtl_medicare_threshold</t>
  </si>
  <si>
    <t>addtl_medicare_single_threshold</t>
  </si>
  <si>
    <t>addtl_medicare_mfj_threshold</t>
  </si>
  <si>
    <t>addtl_medicare_mfs_threshold</t>
  </si>
  <si>
    <t>es_threshold</t>
  </si>
  <si>
    <t>pay_periods_left__table__001</t>
  </si>
  <si>
    <t>pay_periods_left__table__002</t>
  </si>
  <si>
    <t>pay_periods_left__table__003</t>
  </si>
  <si>
    <t>pay_periods_left__table__004</t>
  </si>
  <si>
    <t>pay_periods_left__table__005</t>
  </si>
  <si>
    <t>julian_dates</t>
  </si>
  <si>
    <t>julian_dates_leap_year</t>
  </si>
  <si>
    <t>tax bracket 1</t>
  </si>
  <si>
    <t>0 kids</t>
  </si>
  <si>
    <t>tax bracket 2</t>
  </si>
  <si>
    <t>MFJ/QW</t>
  </si>
  <si>
    <t>1 kid</t>
  </si>
  <si>
    <t>tax bracket 3</t>
  </si>
  <si>
    <t>2 kids</t>
  </si>
  <si>
    <t>Updated for 2022</t>
  </si>
  <si>
    <t>Updated for 2021</t>
  </si>
  <si>
    <t>tax bracket 4</t>
  </si>
  <si>
    <t>3+ kids</t>
  </si>
  <si>
    <t>tax bracket 5</t>
  </si>
  <si>
    <t>New in 2022</t>
  </si>
  <si>
    <t>tax bracket 6</t>
  </si>
  <si>
    <t>tax bracket 7</t>
  </si>
  <si>
    <t>No change</t>
  </si>
  <si>
    <t>DateRun</t>
  </si>
  <si>
    <t>About You</t>
  </si>
  <si>
    <t>Claimed as a Dependent</t>
  </si>
  <si>
    <t>"Job" 1</t>
  </si>
  <si>
    <t>Job start1</t>
  </si>
  <si>
    <t>Job end1</t>
  </si>
  <si>
    <t>recentPPd End1</t>
  </si>
  <si>
    <t>paymentPerPPd1</t>
  </si>
  <si>
    <t>paymentYTD1</t>
  </si>
  <si>
    <t>annualPayment1</t>
  </si>
  <si>
    <t>taxWhPerPPd1</t>
  </si>
  <si>
    <t>taxWhYTD1</t>
  </si>
  <si>
    <t>401kPerPPd1</t>
  </si>
  <si>
    <t>401kYTD1</t>
  </si>
  <si>
    <t>HSAPerPPd1</t>
  </si>
  <si>
    <t>HSAYTD1</t>
  </si>
  <si>
    <t>FutureBonusAmount1</t>
  </si>
  <si>
    <t>PastBonusAmount1</t>
  </si>
  <si>
    <t>"Job" 2</t>
  </si>
  <si>
    <t>"Job" 3</t>
  </si>
  <si>
    <t>"Job" 4</t>
  </si>
  <si>
    <t>Start date</t>
  </si>
  <si>
    <t>End date</t>
  </si>
  <si>
    <t>SS monthly benefit</t>
  </si>
  <si>
    <t>SS benefit YTD</t>
  </si>
  <si>
    <t>SS monthly withholding</t>
  </si>
  <si>
    <t>SS withholding YTD</t>
  </si>
  <si>
    <t>scholarshipAmount</t>
  </si>
  <si>
    <t>scholarshipTaxPaid</t>
  </si>
  <si>
    <t>unemploymentAmount</t>
  </si>
  <si>
    <t>unemploymentTaxPaid</t>
  </si>
  <si>
    <t>investmentAmount</t>
  </si>
  <si>
    <t>investmentTaxPaid</t>
  </si>
  <si>
    <t>otherTaxableIncome</t>
  </si>
  <si>
    <t>studentLoanInterest</t>
  </si>
  <si>
    <t>educatorExpense</t>
  </si>
  <si>
    <t>IRAcontribution</t>
  </si>
  <si>
    <t>HSAdeduction</t>
  </si>
  <si>
    <t>movingExpense</t>
  </si>
  <si>
    <t>alimonyPaid</t>
  </si>
  <si>
    <t>penaltyEarlyWithdrawal</t>
  </si>
  <si>
    <t>businessCredits</t>
  </si>
  <si>
    <t>MedicalExpenses</t>
  </si>
  <si>
    <t>SALT you paid</t>
  </si>
  <si>
    <t>Interest you Paid</t>
  </si>
  <si>
    <t>Gifts to Charity</t>
  </si>
  <si>
    <t>Casualty Lossess</t>
  </si>
  <si>
    <t>Other Itemized Deductions</t>
  </si>
  <si>
    <t>Tax Credits</t>
  </si>
  <si>
    <t>Child1Age</t>
  </si>
  <si>
    <t>Child2Age</t>
  </si>
  <si>
    <t>qualChildrenCDCC</t>
  </si>
  <si>
    <t>ChildCareExpenses</t>
  </si>
  <si>
    <t>How many QC for EITC</t>
  </si>
  <si>
    <t>Adoption Tax Credit</t>
  </si>
  <si>
    <t>Foreign Tax Credit</t>
  </si>
  <si>
    <t>Number of students</t>
  </si>
  <si>
    <t>AOTC</t>
  </si>
  <si>
    <t>LLC</t>
  </si>
  <si>
    <t>Retirement Savings Credit</t>
  </si>
  <si>
    <t>Residental Energy Credit</t>
  </si>
  <si>
    <t>Mortgage Interest Credit</t>
  </si>
  <si>
    <t>Elderly or Disabled Credit</t>
  </si>
  <si>
    <t>General Business Credit</t>
  </si>
  <si>
    <t>AMT Credit</t>
  </si>
  <si>
    <t>AltMotorVehicleCredit</t>
  </si>
  <si>
    <t>AltFuelVehicleCredit</t>
  </si>
  <si>
    <t>Plug-inElectricVehicleCredit</t>
  </si>
  <si>
    <t>Results</t>
  </si>
  <si>
    <t>do-nothingTaxWithholding</t>
  </si>
  <si>
    <t>anticipatedTaxObligation</t>
  </si>
  <si>
    <t>Summary Table</t>
  </si>
  <si>
    <t>Total pre-tax income</t>
  </si>
  <si>
    <t>Expected total prepaid this yr</t>
  </si>
  <si>
    <t>studentLoanInterest allowed</t>
  </si>
  <si>
    <t>educatorExpense allowed</t>
  </si>
  <si>
    <t>Total Adjustments</t>
  </si>
  <si>
    <t>medicalExpenses allowed</t>
  </si>
  <si>
    <t>SALT deduction allowed</t>
  </si>
  <si>
    <t>Total deductions</t>
  </si>
  <si>
    <t>Tax Before Credits</t>
  </si>
  <si>
    <t>CTC + Credit for Other Dep</t>
  </si>
  <si>
    <t>C&amp;DCC</t>
  </si>
  <si>
    <t>Non-Ref Edn credits</t>
  </si>
  <si>
    <t>Total non-refundable credits</t>
  </si>
  <si>
    <t>Addl CTC</t>
  </si>
  <si>
    <t>Refundable Edn credits</t>
  </si>
  <si>
    <t>Total refundable credits</t>
  </si>
  <si>
    <t>Final Summary</t>
  </si>
  <si>
    <t>Tax after credits</t>
  </si>
  <si>
    <t>Other intermediate values</t>
  </si>
  <si>
    <t>Projected refund after credits</t>
  </si>
  <si>
    <t>PayPeriods to date</t>
  </si>
  <si>
    <t>PayPeriods before new W-4</t>
  </si>
  <si>
    <t>PPds remaining with new W-4</t>
  </si>
  <si>
    <r>
      <t xml:space="preserve">F-Status </t>
    </r>
    <r>
      <rPr>
        <sz val="10"/>
        <color theme="1"/>
        <rFont val="Calibri"/>
        <family val="2"/>
        <scheme val="minor"/>
      </rPr>
      <t>(1=S; 2=MJ; 3=MS; 4=HH; 5=QW)</t>
    </r>
  </si>
  <si>
    <t>Scenario:</t>
  </si>
  <si>
    <t>Total Aged</t>
  </si>
  <si>
    <t>Total Blind</t>
  </si>
  <si>
    <t>Pension? (1=yes)</t>
  </si>
  <si>
    <r>
      <t xml:space="preserve">payFrequency1 </t>
    </r>
    <r>
      <rPr>
        <sz val="9"/>
        <color theme="1"/>
        <rFont val="Calibri"/>
        <family val="2"/>
        <scheme val="minor"/>
      </rPr>
      <t>(1=W; 2=BW; 3=SM; 4=M)</t>
    </r>
  </si>
  <si>
    <t>EmployerToWithhold1 (1=yes)</t>
  </si>
  <si>
    <t>Total Adjustments entered</t>
  </si>
  <si>
    <t>Slider position</t>
  </si>
  <si>
    <t>Slider Position (0, 5, or 15)</t>
  </si>
  <si>
    <t>Job or pension?</t>
  </si>
  <si>
    <t>Plan to claim dependents?</t>
  </si>
  <si>
    <t>Number of jobs</t>
  </si>
  <si>
    <t>What best describes when you earn?</t>
  </si>
  <si>
    <t>Is this correct?</t>
  </si>
  <si>
    <t>Present</t>
  </si>
  <si>
    <t>Past</t>
  </si>
  <si>
    <t>Start Date</t>
  </si>
  <si>
    <t>End Date</t>
  </si>
  <si>
    <t>Enter wages or salary year-to-date</t>
  </si>
  <si>
    <t>Enter taxes paid year-to-date</t>
  </si>
  <si>
    <t>Select any that apply 1</t>
  </si>
  <si>
    <t>401k</t>
  </si>
  <si>
    <t>Job start2</t>
  </si>
  <si>
    <t>Job end2</t>
  </si>
  <si>
    <r>
      <t xml:space="preserve">payFrequency2 </t>
    </r>
    <r>
      <rPr>
        <sz val="9"/>
        <color theme="1"/>
        <rFont val="Calibri"/>
        <family val="2"/>
        <scheme val="minor"/>
      </rPr>
      <t>(1=W; 2=BW; 3=SM; 4=M)</t>
    </r>
  </si>
  <si>
    <t>recentPPd End2</t>
  </si>
  <si>
    <t>paymentPerPPd2</t>
  </si>
  <si>
    <t>paymentYTD2</t>
  </si>
  <si>
    <t>annualPayment2</t>
  </si>
  <si>
    <t>taxWhPerPPd2</t>
  </si>
  <si>
    <t>taxWhYTD2</t>
  </si>
  <si>
    <t>Select any that apply 2</t>
  </si>
  <si>
    <t>401kPerPPd2</t>
  </si>
  <si>
    <t>401kYTD2</t>
  </si>
  <si>
    <t>HSAPerPPd2</t>
  </si>
  <si>
    <t>HSAYTD2</t>
  </si>
  <si>
    <t>FutureBonusAmount2</t>
  </si>
  <si>
    <t>PastBonusAmount2</t>
  </si>
  <si>
    <t>Job start3</t>
  </si>
  <si>
    <t>Job end3</t>
  </si>
  <si>
    <r>
      <t xml:space="preserve">payFrequency3 </t>
    </r>
    <r>
      <rPr>
        <sz val="9"/>
        <color theme="1"/>
        <rFont val="Calibri"/>
        <family val="2"/>
        <scheme val="minor"/>
      </rPr>
      <t>(1=W; 2=BW; 3=SM; 4=M)</t>
    </r>
  </si>
  <si>
    <t>recentPPd End3</t>
  </si>
  <si>
    <t>paymentPerPPd3</t>
  </si>
  <si>
    <t>paymentYTD3</t>
  </si>
  <si>
    <t>annualPayment3</t>
  </si>
  <si>
    <t>taxWhPerPPd3</t>
  </si>
  <si>
    <t>taxWhYTD3</t>
  </si>
  <si>
    <t>Select any that apply 3</t>
  </si>
  <si>
    <t>401kPerPPd3</t>
  </si>
  <si>
    <t>401kYTD3</t>
  </si>
  <si>
    <t>HSAPerPPd3</t>
  </si>
  <si>
    <t>HSAYTD3</t>
  </si>
  <si>
    <t>FutureBonusAmount3</t>
  </si>
  <si>
    <t>EmployerToWithhold3 (1=yes)</t>
  </si>
  <si>
    <t>PastBonusAmount3</t>
  </si>
  <si>
    <t>EmployerToWithhold2 (1=yes)</t>
  </si>
  <si>
    <t>Job start4</t>
  </si>
  <si>
    <t>Job end4</t>
  </si>
  <si>
    <r>
      <t xml:space="preserve">payFrequency4 </t>
    </r>
    <r>
      <rPr>
        <sz val="9"/>
        <color theme="1"/>
        <rFont val="Calibri"/>
        <family val="2"/>
        <scheme val="minor"/>
      </rPr>
      <t>(1=W; 2=BW; 3=SM; 4=M)</t>
    </r>
  </si>
  <si>
    <t>recentPPd End4</t>
  </si>
  <si>
    <t>paymentPerPPd4</t>
  </si>
  <si>
    <t>paymentYTD4</t>
  </si>
  <si>
    <t>annualPayment4</t>
  </si>
  <si>
    <t>taxWhPerPPd4</t>
  </si>
  <si>
    <t>taxWhYTD4</t>
  </si>
  <si>
    <t>Select any that apply 4</t>
  </si>
  <si>
    <t>401kPerPPd4</t>
  </si>
  <si>
    <t>401kYTD4</t>
  </si>
  <si>
    <t>HSAPerPPd4</t>
  </si>
  <si>
    <t>HSAYTD4</t>
  </si>
  <si>
    <t>FutureBonusAmount4</t>
  </si>
  <si>
    <t>EmployerToWithhold4 (1=yes)</t>
  </si>
  <si>
    <t>PastBonusAmount4</t>
  </si>
  <si>
    <r>
      <t>Itemize even if smaller</t>
    </r>
    <r>
      <rPr>
        <sz val="10"/>
        <color theme="1"/>
        <rFont val="Calibri"/>
        <family val="2"/>
        <scheme val="minor"/>
      </rPr>
      <t xml:space="preserve"> (1=yes)</t>
    </r>
  </si>
  <si>
    <t>WhNeedPerPPd1</t>
  </si>
  <si>
    <t>standardWhAmount1</t>
  </si>
  <si>
    <t>W4-P Allowances1</t>
  </si>
  <si>
    <t>W-4 Line3Amount1</t>
  </si>
  <si>
    <t>W-4 Line4cAmount1</t>
  </si>
  <si>
    <t>WhNeedPerPPd2</t>
  </si>
  <si>
    <t>standardWhAmount2</t>
  </si>
  <si>
    <t>W4-P Allowances2</t>
  </si>
  <si>
    <t>W-4 Line3Amount2</t>
  </si>
  <si>
    <t>W-4 Line4cAmount2</t>
  </si>
  <si>
    <t>WhNeedPerPPd3</t>
  </si>
  <si>
    <t>standardWhAmount3</t>
  </si>
  <si>
    <t>W4-P Allowances3</t>
  </si>
  <si>
    <t>W-4 Line3Amount3</t>
  </si>
  <si>
    <t>W-4 Line4cAmount3</t>
  </si>
  <si>
    <t>WhNeedPerPPd4</t>
  </si>
  <si>
    <t>standardWhAmount4</t>
  </si>
  <si>
    <t>W4-P Allowances4</t>
  </si>
  <si>
    <t>W-4 Line3Amount4</t>
  </si>
  <si>
    <t>W-4 Line4cAmount4</t>
  </si>
  <si>
    <t>1A</t>
  </si>
  <si>
    <t>ANNUAL - Job 3</t>
  </si>
  <si>
    <t>ANNUAL - Job 4</t>
  </si>
  <si>
    <t>ENTERED - YEAR TO DATE - Job 3</t>
  </si>
  <si>
    <t>ENTERED - YEAR TO DATE - Job 4</t>
  </si>
  <si>
    <t>ENTERED - YEAR TOTAL - Job 3</t>
  </si>
  <si>
    <t>ENTERED - YEAR TOTAL - Job 4</t>
  </si>
  <si>
    <t>Social Security: User</t>
  </si>
  <si>
    <t>Social Security: Spouse</t>
  </si>
  <si>
    <t>selfEmploymentAmount-User</t>
  </si>
  <si>
    <t>selfEmploymentAmount-Spouse</t>
  </si>
  <si>
    <t>Past estimated payments-User</t>
  </si>
  <si>
    <t>Planned estimated payments-User</t>
  </si>
  <si>
    <t>Past estimated payments-Spouse</t>
  </si>
  <si>
    <t>Planned estimated payments-Spouse</t>
  </si>
  <si>
    <t>Previous job income-User</t>
  </si>
  <si>
    <t>Withholding from previous job-User</t>
  </si>
  <si>
    <t>Previous job income-Spouse</t>
  </si>
  <si>
    <t>Withholding from previous job-Spouse</t>
  </si>
  <si>
    <t>do-nothingRefund (Baldue)</t>
  </si>
  <si>
    <t>Educator expense</t>
  </si>
  <si>
    <t>Cap</t>
  </si>
  <si>
    <t>RecommTaxWillPayThisYr</t>
  </si>
  <si>
    <t>65 or Older (1=yes)</t>
  </si>
  <si>
    <t>Spouse 65 or Older (1=yes)</t>
  </si>
  <si>
    <t>Blind (1=yes)</t>
  </si>
  <si>
    <t>Spouse Blind (1=yes)</t>
  </si>
  <si>
    <t>dependent SD</t>
  </si>
  <si>
    <t>Age/blind</t>
  </si>
  <si>
    <t>If Yes: Enter the amount from line 11. Also, you may be able to take the additional child tax credit if line 1 is more than zero.</t>
  </si>
  <si>
    <t>=D7*1500</t>
  </si>
  <si>
    <t>MFJ</t>
  </si>
  <si>
    <t>Others</t>
  </si>
  <si>
    <t>Completely phased out:</t>
  </si>
  <si>
    <t>Phaseout begins:</t>
  </si>
  <si>
    <t>Student Loan Interest</t>
  </si>
  <si>
    <t>Phaseout rate</t>
  </si>
  <si>
    <t>Deduction cap</t>
  </si>
  <si>
    <t>External parameters</t>
  </si>
  <si>
    <t>Began:</t>
  </si>
  <si>
    <t>single</t>
  </si>
  <si>
    <t>biweekly</t>
  </si>
  <si>
    <t>10/13/2021</t>
  </si>
  <si>
    <t>monthly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</si>
</sst>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_)"/>
    <numFmt numFmtId="165" formatCode="0.00_)"/>
    <numFmt numFmtId="166" formatCode="0.0%"/>
    <numFmt numFmtId="167" formatCode="0.0_)"/>
    <numFmt numFmtId="168" formatCode="_(* #,##0_);_(* \(#,##0\);_(* &quot;-&quot;??_);_(@_)"/>
    <numFmt numFmtId="169" formatCode="&quot;$&quot;#,##0.00"/>
    <numFmt numFmtId="170" formatCode="&quot;$&quot;#,##0"/>
    <numFmt numFmtId="171" formatCode="_(&quot;$&quot;* #,##0_);_(&quot;$&quot;* \(#,##0\);_(&quot;$&quot;* &quot;-&quot;??_);_(@_)"/>
    <numFmt numFmtId="172" formatCode="0.0"/>
    <numFmt numFmtId="173" formatCode="0.0000_)"/>
    <numFmt numFmtId="174" formatCode="mmm\ d\,\ yyyy"/>
    <numFmt numFmtId="175" formatCode="0.000%"/>
    <numFmt numFmtId="176" formatCode="d\ mmm\ yyyy"/>
    <numFmt numFmtId="177" formatCode="0.000"/>
  </numFmts>
  <fonts count="76">
    <font>
      <sz val="10"/>
      <name val="Arial"/>
    </font>
    <font>
      <sz val="11"/>
      <color theme="1"/>
      <name val="Calibri"/>
      <family val="2"/>
      <scheme val="minor"/>
    </font>
    <font>
      <sz val="11"/>
      <color theme="1"/>
      <name val="Calibri"/>
      <family val="2"/>
      <scheme val="minor"/>
    </font>
    <font>
      <b/>
      <sz val="10"/>
      <name val="Arial"/>
      <family val="2"/>
    </font>
    <font>
      <sz val="10"/>
      <name val="Arial"/>
      <family val="2"/>
    </font>
    <font>
      <sz val="10"/>
      <color indexed="12"/>
      <name val="Arial"/>
      <family val="2"/>
    </font>
    <font>
      <b/>
      <sz val="12"/>
      <color indexed="12"/>
      <name val="Arial"/>
      <family val="2"/>
    </font>
    <font>
      <sz val="12"/>
      <color indexed="12"/>
      <name val="Arial"/>
      <family val="2"/>
    </font>
    <font>
      <i/>
      <sz val="10"/>
      <color indexed="12"/>
      <name val="Arial"/>
      <family val="2"/>
    </font>
    <font>
      <b/>
      <i/>
      <sz val="12"/>
      <color indexed="12"/>
      <name val="Arial"/>
      <family val="2"/>
    </font>
    <font>
      <b/>
      <i/>
      <sz val="24"/>
      <color indexed="18"/>
      <name val="Arial"/>
      <family val="2"/>
    </font>
    <font>
      <sz val="12"/>
      <name val="Arial"/>
      <family val="2"/>
    </font>
    <font>
      <sz val="10"/>
      <name val="Arial"/>
      <family val="2"/>
    </font>
    <font>
      <sz val="12"/>
      <color indexed="41"/>
      <name val="Arial"/>
      <family val="2"/>
    </font>
    <font>
      <sz val="9"/>
      <color indexed="12"/>
      <name val="Arial"/>
      <family val="2"/>
    </font>
    <font>
      <u/>
      <sz val="12"/>
      <color indexed="12"/>
      <name val="Arial"/>
      <family val="2"/>
    </font>
    <font>
      <b/>
      <sz val="10"/>
      <color indexed="81"/>
      <name val="Geneva"/>
    </font>
    <font>
      <sz val="10"/>
      <color indexed="81"/>
      <name val="Geneva"/>
    </font>
    <font>
      <b/>
      <u/>
      <sz val="12"/>
      <color indexed="12"/>
      <name val="Arial"/>
      <family val="2"/>
    </font>
    <font>
      <u/>
      <sz val="10"/>
      <color indexed="81"/>
      <name val="Geneva"/>
    </font>
    <font>
      <b/>
      <u/>
      <sz val="10"/>
      <color indexed="12"/>
      <name val="Arial"/>
      <family val="2"/>
    </font>
    <font>
      <b/>
      <sz val="10"/>
      <color indexed="12"/>
      <name val="Arial"/>
      <family val="2"/>
    </font>
    <font>
      <b/>
      <sz val="12"/>
      <name val="Arial"/>
      <family val="2"/>
    </font>
    <font>
      <b/>
      <sz val="11"/>
      <color indexed="12"/>
      <name val="Arial"/>
      <family val="2"/>
    </font>
    <font>
      <b/>
      <sz val="14"/>
      <color indexed="12"/>
      <name val="Arial"/>
      <family val="2"/>
    </font>
    <font>
      <b/>
      <sz val="12"/>
      <color indexed="10"/>
      <name val="Arial"/>
      <family val="2"/>
    </font>
    <font>
      <b/>
      <sz val="14"/>
      <color indexed="9"/>
      <name val="Arial"/>
      <family val="2"/>
    </font>
    <font>
      <b/>
      <sz val="12"/>
      <color indexed="17"/>
      <name val="Arial"/>
      <family val="2"/>
    </font>
    <font>
      <sz val="10"/>
      <color indexed="17"/>
      <name val="Arial"/>
      <family val="2"/>
    </font>
    <font>
      <u/>
      <sz val="10"/>
      <name val="Arial"/>
      <family val="2"/>
    </font>
    <font>
      <b/>
      <i/>
      <u/>
      <sz val="10"/>
      <color indexed="12"/>
      <name val="Arial"/>
      <family val="2"/>
    </font>
    <font>
      <sz val="14"/>
      <name val="Arial"/>
      <family val="2"/>
    </font>
    <font>
      <u/>
      <sz val="10"/>
      <color indexed="12"/>
      <name val="Arial"/>
      <family val="2"/>
    </font>
    <font>
      <sz val="10"/>
      <color indexed="41"/>
      <name val="Arial"/>
      <family val="2"/>
    </font>
    <font>
      <b/>
      <u/>
      <sz val="14"/>
      <color indexed="12"/>
      <name val="Arial"/>
      <family val="2"/>
    </font>
    <font>
      <sz val="10"/>
      <color indexed="10"/>
      <name val="Arial"/>
      <family val="2"/>
    </font>
    <font>
      <sz val="8"/>
      <name val="Arial"/>
      <family val="2"/>
    </font>
    <font>
      <b/>
      <sz val="12"/>
      <color indexed="14"/>
      <name val="Arial"/>
      <family val="2"/>
    </font>
    <font>
      <b/>
      <sz val="10"/>
      <color indexed="17"/>
      <name val="Arial"/>
      <family val="2"/>
    </font>
    <font>
      <b/>
      <sz val="12"/>
      <color indexed="81"/>
      <name val="Arial"/>
      <family val="2"/>
    </font>
    <font>
      <b/>
      <u/>
      <sz val="12"/>
      <color indexed="10"/>
      <name val="Arial"/>
      <family val="2"/>
    </font>
    <font>
      <sz val="9"/>
      <color rgb="FF000000"/>
      <name val="Arial"/>
      <family val="2"/>
    </font>
    <font>
      <sz val="10"/>
      <name val="Times New Roman"/>
      <family val="1"/>
    </font>
    <font>
      <b/>
      <sz val="10"/>
      <name val="Calibri"/>
      <family val="2"/>
    </font>
    <font>
      <sz val="10"/>
      <name val="Calibri"/>
      <family val="2"/>
    </font>
    <font>
      <sz val="11"/>
      <color indexed="12"/>
      <name val="Arial"/>
      <family val="2"/>
    </font>
    <font>
      <b/>
      <i/>
      <u/>
      <sz val="12"/>
      <color indexed="12"/>
      <name val="Arial"/>
      <family val="2"/>
    </font>
    <font>
      <b/>
      <i/>
      <sz val="10"/>
      <name val="Arial"/>
      <family val="2"/>
    </font>
    <font>
      <b/>
      <sz val="12"/>
      <color rgb="FF0070C0"/>
      <name val="Arial"/>
      <family val="2"/>
    </font>
    <font>
      <b/>
      <sz val="10"/>
      <color rgb="FF0070C0"/>
      <name val="Arial"/>
      <family val="2"/>
    </font>
    <font>
      <sz val="9"/>
      <color indexed="81"/>
      <name val="Tahoma"/>
      <family val="2"/>
    </font>
    <font>
      <b/>
      <sz val="9"/>
      <color indexed="81"/>
      <name val="Tahoma"/>
      <family val="2"/>
    </font>
    <font>
      <b/>
      <sz val="16"/>
      <color theme="1"/>
      <name val="Arial"/>
      <family val="2"/>
    </font>
    <font>
      <b/>
      <sz val="14"/>
      <color theme="1"/>
      <name val="Arial"/>
      <family val="2"/>
    </font>
    <font>
      <b/>
      <sz val="11"/>
      <color theme="1"/>
      <name val="Calibri"/>
      <family val="2"/>
      <scheme val="minor"/>
    </font>
    <font>
      <sz val="10"/>
      <color theme="1"/>
      <name val="Arial"/>
      <family val="2"/>
    </font>
    <font>
      <u/>
      <sz val="12"/>
      <color rgb="FF0000D4"/>
      <name val="Arial"/>
      <family val="2"/>
    </font>
    <font>
      <sz val="12"/>
      <color theme="1"/>
      <name val="Arial"/>
      <family val="2"/>
    </font>
    <font>
      <b/>
      <sz val="14"/>
      <color rgb="FF002060"/>
      <name val="Arial"/>
      <family val="2"/>
    </font>
    <font>
      <b/>
      <sz val="8"/>
      <color indexed="12"/>
      <name val="Arial"/>
      <family val="2"/>
    </font>
    <font>
      <b/>
      <sz val="12"/>
      <color theme="1"/>
      <name val="Arial"/>
      <family val="2"/>
    </font>
    <font>
      <b/>
      <sz val="10"/>
      <color theme="1"/>
      <name val="Arial"/>
      <family val="2"/>
    </font>
    <font>
      <sz val="10"/>
      <color theme="3" tint="0.79998168889431442"/>
      <name val="Arial"/>
      <family val="2"/>
    </font>
    <font>
      <sz val="10"/>
      <color rgb="FFFFC5C5"/>
      <name val="Arial"/>
      <family val="2"/>
    </font>
    <font>
      <b/>
      <sz val="10"/>
      <name val="Calibri"/>
      <family val="2"/>
      <scheme val="minor"/>
    </font>
    <font>
      <sz val="10"/>
      <name val="Calibri"/>
      <family val="2"/>
      <scheme val="minor"/>
    </font>
    <font>
      <b/>
      <u/>
      <sz val="12"/>
      <name val="Calibri"/>
      <family val="2"/>
      <scheme val="minor"/>
    </font>
    <font>
      <sz val="10"/>
      <color theme="0"/>
      <name val="Arial"/>
      <family val="2"/>
    </font>
    <font>
      <b/>
      <sz val="10"/>
      <color theme="0"/>
      <name val="Arial"/>
      <family val="2"/>
    </font>
    <font>
      <sz val="12"/>
      <color theme="1"/>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sz val="9"/>
      <color theme="1"/>
      <name val="Calibri"/>
      <family val="2"/>
      <scheme val="minor"/>
    </font>
    <font>
      <b/>
      <sz val="14"/>
      <name val="Arial"/>
      <family val="2"/>
    </font>
    <font>
      <b/>
      <sz val="9"/>
      <color rgb="FF0041C4"/>
      <name val="Arial"/>
      <family val="2"/>
    </font>
  </fonts>
  <fills count="50">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indexed="41"/>
        <bgColor indexed="64"/>
      </patternFill>
    </fill>
    <fill>
      <patternFill patternType="solid">
        <fgColor indexed="40"/>
        <bgColor indexed="64"/>
      </patternFill>
    </fill>
    <fill>
      <patternFill patternType="solid">
        <fgColor indexed="47"/>
        <bgColor indexed="64"/>
      </patternFill>
    </fill>
    <fill>
      <patternFill patternType="solid">
        <fgColor indexed="9"/>
        <bgColor indexed="64"/>
      </patternFill>
    </fill>
    <fill>
      <patternFill patternType="solid">
        <fgColor indexed="42"/>
        <bgColor indexed="64"/>
      </patternFill>
    </fill>
    <fill>
      <patternFill patternType="solid">
        <fgColor indexed="52"/>
        <bgColor indexed="64"/>
      </patternFill>
    </fill>
    <fill>
      <patternFill patternType="solid">
        <fgColor indexed="51"/>
        <bgColor indexed="64"/>
      </patternFill>
    </fill>
    <fill>
      <patternFill patternType="solid">
        <fgColor indexed="48"/>
        <bgColor indexed="64"/>
      </patternFill>
    </fill>
    <fill>
      <patternFill patternType="solid">
        <fgColor indexed="19"/>
        <bgColor indexed="64"/>
      </patternFill>
    </fill>
    <fill>
      <patternFill patternType="solid">
        <fgColor rgb="FF92D050"/>
        <bgColor indexed="64"/>
      </patternFill>
    </fill>
    <fill>
      <patternFill patternType="solid">
        <fgColor rgb="FFFFFF00"/>
        <bgColor indexed="64"/>
      </patternFill>
    </fill>
    <fill>
      <patternFill patternType="solid">
        <fgColor rgb="FFA4FEA8"/>
        <bgColor indexed="64"/>
      </patternFill>
    </fill>
    <fill>
      <patternFill patternType="solid">
        <fgColor rgb="FF8EA9DB"/>
        <bgColor indexed="64"/>
      </patternFill>
    </fill>
    <fill>
      <patternFill patternType="solid">
        <fgColor rgb="FFB4C6E7"/>
        <bgColor indexed="64"/>
      </patternFill>
    </fill>
    <fill>
      <patternFill patternType="solid">
        <fgColor rgb="FFD9E1F2"/>
        <bgColor indexed="64"/>
      </patternFill>
    </fill>
    <fill>
      <patternFill patternType="solid">
        <fgColor rgb="FFC6E0B4"/>
        <bgColor indexed="64"/>
      </patternFill>
    </fill>
    <fill>
      <patternFill patternType="solid">
        <fgColor theme="4" tint="0.79998168889431442"/>
        <bgColor indexed="64"/>
      </patternFill>
    </fill>
    <fill>
      <patternFill patternType="solid">
        <fgColor theme="0"/>
        <bgColor indexed="64"/>
      </patternFill>
    </fill>
    <fill>
      <patternFill patternType="solid">
        <fgColor rgb="FFFFFF99"/>
        <bgColor indexed="64"/>
      </patternFill>
    </fill>
    <fill>
      <patternFill patternType="solid">
        <fgColor theme="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C5C5"/>
        <bgColor indexed="64"/>
      </patternFill>
    </fill>
    <fill>
      <patternFill patternType="solid">
        <fgColor theme="1"/>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rgb="FFCCFFFF"/>
        <bgColor indexed="64"/>
      </patternFill>
    </fill>
    <fill>
      <patternFill patternType="solid">
        <fgColor rgb="FFFF7575"/>
        <bgColor indexed="64"/>
      </patternFill>
    </fill>
    <fill>
      <patternFill patternType="solid">
        <fgColor rgb="FFFFBDBD"/>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FF6600"/>
        <bgColor indexed="64"/>
      </patternFill>
    </fill>
    <fill>
      <patternFill patternType="solid">
        <fgColor rgb="FF0070C0"/>
        <bgColor indexed="64"/>
      </patternFill>
    </fill>
    <fill>
      <patternFill patternType="solid">
        <fgColor rgb="FF00B050"/>
        <bgColor indexed="64"/>
      </patternFill>
    </fill>
    <fill>
      <patternFill patternType="solid">
        <fgColor rgb="FFFF0000"/>
        <bgColor indexed="64"/>
      </patternFill>
    </fill>
    <fill>
      <patternFill patternType="solid">
        <fgColor rgb="FFFFC9C9"/>
        <bgColor indexed="64"/>
      </patternFill>
    </fill>
  </fills>
  <borders count="87">
    <border>
      <left/>
      <right/>
      <top/>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thin">
        <color indexed="64"/>
      </top>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right style="medium">
        <color rgb="FF000000"/>
      </right>
      <top style="medium">
        <color indexed="64"/>
      </top>
      <bottom style="medium">
        <color indexed="64"/>
      </bottom>
      <diagonal/>
    </border>
    <border>
      <left style="medium">
        <color rgb="FF000000"/>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double">
        <color indexed="64"/>
      </top>
      <bottom/>
      <diagonal/>
    </border>
    <border>
      <left style="medium">
        <color indexed="64"/>
      </left>
      <right/>
      <top style="thin">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right style="thin">
        <color auto="1"/>
      </right>
      <top style="hair">
        <color auto="1"/>
      </top>
      <bottom style="thin">
        <color auto="1"/>
      </bottom>
      <diagonal/>
    </border>
    <border>
      <left style="hair">
        <color auto="1"/>
      </left>
      <right/>
      <top style="hair">
        <color auto="1"/>
      </top>
      <bottom style="hair">
        <color auto="1"/>
      </bottom>
      <diagonal/>
    </border>
    <border>
      <left/>
      <right style="thin">
        <color auto="1"/>
      </right>
      <top style="hair">
        <color auto="1"/>
      </top>
      <bottom style="hair">
        <color auto="1"/>
      </bottom>
      <diagonal/>
    </border>
    <border>
      <left style="hair">
        <color auto="1"/>
      </left>
      <right/>
      <top/>
      <bottom style="thin">
        <color auto="1"/>
      </bottom>
      <diagonal/>
    </border>
    <border>
      <left style="thin">
        <color indexed="64"/>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top style="thick">
        <color indexed="64"/>
      </top>
      <bottom/>
      <diagonal/>
    </border>
    <border>
      <left/>
      <right style="thin">
        <color indexed="64"/>
      </right>
      <top style="thick">
        <color indexed="64"/>
      </top>
      <bottom/>
      <diagonal/>
    </border>
    <border>
      <left style="thin">
        <color indexed="64"/>
      </left>
      <right style="thin">
        <color indexed="64"/>
      </right>
      <top style="thick">
        <color indexed="64"/>
      </top>
      <bottom style="thin">
        <color indexed="64"/>
      </bottom>
      <diagonal/>
    </border>
    <border>
      <left style="thin">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bottom style="thin">
        <color indexed="64"/>
      </bottom>
      <diagonal/>
    </border>
  </borders>
  <cellStyleXfs count="8">
    <xf numFmtId="0" fontId="0" fillId="0" borderId="0"/>
    <xf numFmtId="43" fontId="4" fillId="0" borderId="0" applyFont="0" applyFill="0" applyBorder="0" applyAlignment="0" applyProtection="0"/>
    <xf numFmtId="44" fontId="4" fillId="0" borderId="0" applyFont="0" applyFill="0" applyBorder="0" applyAlignment="0" applyProtection="0"/>
    <xf numFmtId="0" fontId="32" fillId="0" borderId="0" applyNumberFormat="0" applyFill="0" applyBorder="0" applyAlignment="0" applyProtection="0">
      <alignment vertical="top"/>
      <protection locked="0"/>
    </xf>
    <xf numFmtId="9" fontId="4" fillId="0" borderId="0" applyFont="0" applyFill="0" applyBorder="0" applyAlignment="0" applyProtection="0"/>
    <xf numFmtId="0" fontId="2" fillId="0" borderId="0"/>
    <xf numFmtId="0" fontId="1" fillId="0" borderId="0"/>
    <xf numFmtId="0" fontId="69" fillId="0" borderId="0"/>
  </cellStyleXfs>
  <cellXfs count="1152">
    <xf numFmtId="0" fontId="0" fillId="0" borderId="0" xfId="0"/>
    <xf numFmtId="0" fontId="12" fillId="0" borderId="0" xfId="0" applyFont="1"/>
    <xf numFmtId="0" fontId="12" fillId="2" borderId="1" xfId="0" applyFont="1" applyFill="1" applyBorder="1" applyProtection="1"/>
    <xf numFmtId="0" fontId="12" fillId="2" borderId="0" xfId="0" applyFont="1" applyFill="1" applyBorder="1" applyProtection="1"/>
    <xf numFmtId="0" fontId="12" fillId="2" borderId="2" xfId="0" applyFont="1" applyFill="1" applyBorder="1" applyProtection="1"/>
    <xf numFmtId="0" fontId="0" fillId="0" borderId="0" xfId="0" applyProtection="1"/>
    <xf numFmtId="0" fontId="6" fillId="0" borderId="0" xfId="0" applyFont="1" applyAlignment="1" applyProtection="1">
      <alignment horizontal="left"/>
    </xf>
    <xf numFmtId="0" fontId="6" fillId="0" borderId="3" xfId="0" applyFont="1" applyBorder="1" applyAlignment="1" applyProtection="1">
      <alignment horizontal="left"/>
    </xf>
    <xf numFmtId="0" fontId="0" fillId="0" borderId="4" xfId="0" applyBorder="1" applyProtection="1"/>
    <xf numFmtId="0" fontId="0" fillId="0" borderId="5" xfId="0" applyBorder="1" applyProtection="1"/>
    <xf numFmtId="0" fontId="5" fillId="0" borderId="0" xfId="0" applyFont="1" applyAlignment="1" applyProtection="1">
      <alignment horizontal="center"/>
    </xf>
    <xf numFmtId="0" fontId="0" fillId="0" borderId="1" xfId="0" applyBorder="1" applyProtection="1"/>
    <xf numFmtId="0" fontId="0" fillId="0" borderId="0" xfId="0" applyBorder="1" applyProtection="1"/>
    <xf numFmtId="0" fontId="0" fillId="0" borderId="2" xfId="0" applyBorder="1" applyProtection="1"/>
    <xf numFmtId="0" fontId="5" fillId="0" borderId="0" xfId="0" applyFont="1" applyAlignment="1" applyProtection="1">
      <alignment horizontal="left"/>
    </xf>
    <xf numFmtId="5" fontId="5" fillId="0" borderId="0" xfId="0" applyNumberFormat="1" applyFont="1" applyProtection="1"/>
    <xf numFmtId="164" fontId="5" fillId="0" borderId="0" xfId="0" applyNumberFormat="1" applyFont="1" applyProtection="1"/>
    <xf numFmtId="0" fontId="5" fillId="0" borderId="0" xfId="0" applyFont="1" applyAlignment="1" applyProtection="1">
      <alignment horizontal="right"/>
    </xf>
    <xf numFmtId="5" fontId="5" fillId="0" borderId="0" xfId="0" applyNumberFormat="1" applyFont="1" applyAlignment="1" applyProtection="1">
      <alignment horizontal="right"/>
    </xf>
    <xf numFmtId="0" fontId="5" fillId="0" borderId="1" xfId="0" applyFont="1" applyBorder="1" applyAlignment="1" applyProtection="1">
      <alignment horizontal="left"/>
    </xf>
    <xf numFmtId="0" fontId="6" fillId="0" borderId="0" xfId="0" applyFont="1" applyBorder="1" applyAlignment="1" applyProtection="1">
      <alignment horizontal="left"/>
    </xf>
    <xf numFmtId="5" fontId="5" fillId="0" borderId="2" xfId="0" applyNumberFormat="1" applyFont="1" applyBorder="1" applyProtection="1"/>
    <xf numFmtId="5" fontId="5" fillId="0" borderId="0" xfId="0" applyNumberFormat="1" applyFont="1" applyBorder="1" applyProtection="1"/>
    <xf numFmtId="0" fontId="5" fillId="0" borderId="0" xfId="0" applyFont="1" applyBorder="1" applyAlignment="1" applyProtection="1">
      <alignment horizontal="left"/>
    </xf>
    <xf numFmtId="165" fontId="5" fillId="0" borderId="0" xfId="0" applyNumberFormat="1" applyFont="1" applyProtection="1"/>
    <xf numFmtId="166" fontId="5" fillId="0" borderId="0" xfId="0" applyNumberFormat="1" applyFont="1" applyProtection="1"/>
    <xf numFmtId="167" fontId="5" fillId="0" borderId="0" xfId="0" applyNumberFormat="1" applyFont="1" applyProtection="1"/>
    <xf numFmtId="0" fontId="0" fillId="0" borderId="0" xfId="0" applyAlignment="1" applyProtection="1">
      <alignment horizontal="right"/>
    </xf>
    <xf numFmtId="0" fontId="6" fillId="0" borderId="1" xfId="0" applyFont="1" applyBorder="1" applyAlignment="1" applyProtection="1">
      <alignment horizontal="left"/>
    </xf>
    <xf numFmtId="7" fontId="5" fillId="0" borderId="0" xfId="0" applyNumberFormat="1" applyFont="1" applyBorder="1" applyProtection="1"/>
    <xf numFmtId="0" fontId="0" fillId="0" borderId="6" xfId="0" applyBorder="1" applyProtection="1"/>
    <xf numFmtId="0" fontId="0" fillId="0" borderId="7" xfId="0" applyBorder="1" applyProtection="1"/>
    <xf numFmtId="0" fontId="0" fillId="0" borderId="8" xfId="0" applyBorder="1" applyProtection="1"/>
    <xf numFmtId="0" fontId="0" fillId="0" borderId="3" xfId="0" applyBorder="1" applyProtection="1"/>
    <xf numFmtId="0" fontId="6" fillId="0" borderId="0" xfId="0" applyFont="1" applyBorder="1" applyAlignment="1" applyProtection="1">
      <alignment horizontal="right"/>
    </xf>
    <xf numFmtId="7" fontId="5" fillId="0" borderId="0" xfId="0" applyNumberFormat="1" applyFont="1" applyProtection="1"/>
    <xf numFmtId="164" fontId="5" fillId="0" borderId="0" xfId="0" applyNumberFormat="1" applyFont="1" applyBorder="1" applyProtection="1"/>
    <xf numFmtId="0" fontId="5" fillId="0" borderId="0" xfId="0" applyFont="1" applyBorder="1" applyAlignment="1" applyProtection="1">
      <alignment horizontal="right"/>
    </xf>
    <xf numFmtId="0" fontId="5" fillId="0" borderId="2" xfId="0" applyFont="1" applyBorder="1" applyAlignment="1" applyProtection="1">
      <alignment horizontal="right"/>
    </xf>
    <xf numFmtId="0" fontId="5" fillId="0" borderId="9" xfId="0" applyFont="1" applyBorder="1" applyAlignment="1" applyProtection="1">
      <alignment horizontal="right"/>
    </xf>
    <xf numFmtId="0" fontId="8" fillId="0" borderId="1" xfId="0" applyFont="1" applyBorder="1" applyAlignment="1" applyProtection="1">
      <alignment horizontal="left"/>
    </xf>
    <xf numFmtId="0" fontId="9" fillId="0" borderId="0" xfId="0" applyFont="1" applyBorder="1" applyAlignment="1" applyProtection="1">
      <alignment horizontal="right"/>
    </xf>
    <xf numFmtId="166" fontId="5" fillId="0" borderId="0" xfId="4" applyNumberFormat="1" applyFont="1" applyBorder="1" applyProtection="1"/>
    <xf numFmtId="7" fontId="5" fillId="0" borderId="7" xfId="0" applyNumberFormat="1" applyFont="1" applyBorder="1" applyProtection="1"/>
    <xf numFmtId="167" fontId="5" fillId="0" borderId="0" xfId="0" applyNumberFormat="1" applyFont="1" applyBorder="1" applyProtection="1"/>
    <xf numFmtId="0" fontId="5" fillId="0" borderId="6" xfId="0" applyFont="1" applyBorder="1" applyAlignment="1" applyProtection="1">
      <alignment horizontal="left"/>
    </xf>
    <xf numFmtId="5" fontId="5" fillId="0" borderId="8" xfId="0" applyNumberFormat="1" applyFont="1" applyBorder="1" applyProtection="1"/>
    <xf numFmtId="0" fontId="6" fillId="0" borderId="0" xfId="0" applyFont="1" applyAlignment="1" applyProtection="1">
      <alignment horizontal="right"/>
    </xf>
    <xf numFmtId="167" fontId="5" fillId="0" borderId="2" xfId="0" applyNumberFormat="1" applyFont="1" applyBorder="1" applyProtection="1"/>
    <xf numFmtId="167" fontId="6" fillId="0" borderId="0" xfId="0" applyNumberFormat="1" applyFont="1" applyBorder="1" applyProtection="1"/>
    <xf numFmtId="7" fontId="6" fillId="0" borderId="0" xfId="0" applyNumberFormat="1" applyFont="1" applyProtection="1"/>
    <xf numFmtId="0" fontId="12" fillId="4" borderId="1" xfId="0" applyFont="1" applyFill="1" applyBorder="1" applyProtection="1"/>
    <xf numFmtId="164" fontId="11" fillId="4" borderId="10" xfId="0" applyNumberFormat="1" applyFont="1" applyFill="1" applyBorder="1" applyProtection="1">
      <protection locked="0" hidden="1"/>
    </xf>
    <xf numFmtId="0" fontId="12" fillId="4" borderId="0" xfId="0" applyFont="1" applyFill="1" applyBorder="1" applyProtection="1"/>
    <xf numFmtId="0" fontId="5" fillId="0" borderId="9" xfId="0" applyFont="1" applyBorder="1" applyAlignment="1" applyProtection="1">
      <alignment horizontal="left"/>
    </xf>
    <xf numFmtId="0" fontId="0" fillId="0" borderId="9" xfId="0" applyBorder="1" applyProtection="1"/>
    <xf numFmtId="0" fontId="0" fillId="0" borderId="11" xfId="0" applyBorder="1" applyProtection="1"/>
    <xf numFmtId="164" fontId="5" fillId="0" borderId="1" xfId="0" applyNumberFormat="1" applyFont="1" applyBorder="1" applyProtection="1"/>
    <xf numFmtId="164" fontId="5" fillId="0" borderId="6" xfId="0" applyNumberFormat="1" applyFont="1" applyBorder="1" applyProtection="1"/>
    <xf numFmtId="164" fontId="5" fillId="0" borderId="4" xfId="0" applyNumberFormat="1" applyFont="1" applyBorder="1" applyProtection="1"/>
    <xf numFmtId="5" fontId="5" fillId="0" borderId="4" xfId="0" applyNumberFormat="1" applyFont="1" applyBorder="1" applyProtection="1"/>
    <xf numFmtId="0" fontId="5" fillId="0" borderId="4" xfId="0" applyFont="1" applyBorder="1" applyAlignment="1" applyProtection="1">
      <alignment horizontal="right"/>
    </xf>
    <xf numFmtId="0" fontId="5" fillId="0" borderId="7" xfId="0" applyFont="1" applyBorder="1" applyAlignment="1" applyProtection="1">
      <alignment horizontal="left"/>
    </xf>
    <xf numFmtId="0" fontId="6" fillId="2" borderId="1" xfId="0" applyFont="1" applyFill="1" applyBorder="1" applyAlignment="1" applyProtection="1">
      <alignment horizontal="left"/>
      <protection hidden="1"/>
    </xf>
    <xf numFmtId="0" fontId="7" fillId="3" borderId="1" xfId="0" applyFont="1" applyFill="1" applyBorder="1" applyAlignment="1" applyProtection="1">
      <alignment horizontal="left"/>
      <protection hidden="1"/>
    </xf>
    <xf numFmtId="0" fontId="6" fillId="2" borderId="0" xfId="0" applyFont="1" applyFill="1" applyBorder="1" applyAlignment="1" applyProtection="1">
      <alignment horizontal="right"/>
      <protection hidden="1"/>
    </xf>
    <xf numFmtId="0" fontId="6" fillId="2" borderId="2" xfId="0" applyFont="1" applyFill="1" applyBorder="1" applyAlignment="1" applyProtection="1">
      <alignment horizontal="right"/>
      <protection hidden="1"/>
    </xf>
    <xf numFmtId="0" fontId="7" fillId="2" borderId="1" xfId="0" applyFont="1" applyFill="1" applyBorder="1" applyAlignment="1" applyProtection="1">
      <alignment horizontal="left"/>
      <protection hidden="1"/>
    </xf>
    <xf numFmtId="7" fontId="7" fillId="2" borderId="0" xfId="0" applyNumberFormat="1" applyFont="1" applyFill="1" applyBorder="1" applyProtection="1">
      <protection hidden="1"/>
    </xf>
    <xf numFmtId="7" fontId="6" fillId="2" borderId="0" xfId="0" applyNumberFormat="1" applyFont="1" applyFill="1" applyBorder="1" applyProtection="1">
      <protection hidden="1"/>
    </xf>
    <xf numFmtId="0" fontId="12" fillId="2" borderId="6" xfId="0" applyFont="1" applyFill="1" applyBorder="1" applyProtection="1">
      <protection hidden="1"/>
    </xf>
    <xf numFmtId="0" fontId="12" fillId="2" borderId="7" xfId="0" applyFont="1" applyFill="1" applyBorder="1" applyProtection="1">
      <protection hidden="1"/>
    </xf>
    <xf numFmtId="0" fontId="12" fillId="2" borderId="8" xfId="0" applyFont="1" applyFill="1" applyBorder="1" applyProtection="1">
      <protection hidden="1"/>
    </xf>
    <xf numFmtId="0" fontId="7" fillId="4" borderId="1" xfId="0" applyFont="1" applyFill="1" applyBorder="1" applyAlignment="1" applyProtection="1">
      <alignment horizontal="left"/>
      <protection hidden="1"/>
    </xf>
    <xf numFmtId="0" fontId="7" fillId="4" borderId="0" xfId="0" applyFont="1" applyFill="1" applyBorder="1" applyAlignment="1" applyProtection="1">
      <alignment horizontal="left"/>
      <protection hidden="1"/>
    </xf>
    <xf numFmtId="0" fontId="18" fillId="4" borderId="1" xfId="0" applyFont="1" applyFill="1" applyBorder="1" applyAlignment="1" applyProtection="1">
      <alignment horizontal="left"/>
      <protection hidden="1"/>
    </xf>
    <xf numFmtId="0" fontId="15" fillId="4" borderId="1" xfId="0" applyFont="1" applyFill="1" applyBorder="1" applyAlignment="1" applyProtection="1">
      <alignment horizontal="left"/>
      <protection hidden="1"/>
    </xf>
    <xf numFmtId="0" fontId="11" fillId="4" borderId="1" xfId="0" applyFont="1" applyFill="1" applyBorder="1" applyProtection="1">
      <protection hidden="1"/>
    </xf>
    <xf numFmtId="0" fontId="11" fillId="4" borderId="0" xfId="0" applyFont="1" applyFill="1" applyBorder="1" applyProtection="1">
      <protection hidden="1"/>
    </xf>
    <xf numFmtId="0" fontId="5" fillId="4" borderId="1" xfId="0" applyFont="1" applyFill="1" applyBorder="1" applyAlignment="1" applyProtection="1">
      <alignment horizontal="left"/>
      <protection hidden="1"/>
    </xf>
    <xf numFmtId="0" fontId="20" fillId="4" borderId="1" xfId="0" applyFont="1" applyFill="1" applyBorder="1" applyAlignment="1" applyProtection="1">
      <alignment horizontal="left"/>
      <protection hidden="1"/>
    </xf>
    <xf numFmtId="0" fontId="12" fillId="0" borderId="1" xfId="0" applyFont="1" applyBorder="1"/>
    <xf numFmtId="164" fontId="5" fillId="4" borderId="3" xfId="0" applyNumberFormat="1" applyFont="1" applyFill="1" applyBorder="1" applyProtection="1"/>
    <xf numFmtId="5" fontId="0" fillId="4" borderId="5" xfId="0" applyNumberFormat="1" applyFill="1" applyBorder="1" applyProtection="1"/>
    <xf numFmtId="164" fontId="5" fillId="4" borderId="1" xfId="0" applyNumberFormat="1" applyFont="1" applyFill="1" applyBorder="1" applyProtection="1"/>
    <xf numFmtId="5" fontId="0" fillId="4" borderId="2" xfId="0" applyNumberFormat="1" applyFill="1" applyBorder="1" applyProtection="1"/>
    <xf numFmtId="164" fontId="5" fillId="4" borderId="6" xfId="0" applyNumberFormat="1" applyFont="1" applyFill="1" applyBorder="1" applyProtection="1"/>
    <xf numFmtId="5" fontId="0" fillId="4" borderId="8" xfId="0" applyNumberFormat="1" applyFill="1" applyBorder="1" applyProtection="1"/>
    <xf numFmtId="0" fontId="0" fillId="0" borderId="0" xfId="0" applyAlignment="1" applyProtection="1">
      <alignment horizontal="left"/>
    </xf>
    <xf numFmtId="0" fontId="23" fillId="0" borderId="0" xfId="0" applyFont="1" applyBorder="1" applyAlignment="1" applyProtection="1">
      <alignment horizontal="right"/>
    </xf>
    <xf numFmtId="5" fontId="0" fillId="0" borderId="2" xfId="0" applyNumberFormat="1" applyBorder="1" applyProtection="1"/>
    <xf numFmtId="5" fontId="0" fillId="0" borderId="8" xfId="0" applyNumberFormat="1" applyBorder="1" applyProtection="1"/>
    <xf numFmtId="0" fontId="7" fillId="4" borderId="3" xfId="0" applyFont="1" applyFill="1" applyBorder="1"/>
    <xf numFmtId="0" fontId="7" fillId="4" borderId="1" xfId="0" applyFont="1" applyFill="1" applyBorder="1"/>
    <xf numFmtId="0" fontId="6" fillId="4" borderId="6" xfId="0" applyFont="1" applyFill="1" applyBorder="1"/>
    <xf numFmtId="6" fontId="7" fillId="4" borderId="2" xfId="0" applyNumberFormat="1" applyFont="1" applyFill="1" applyBorder="1"/>
    <xf numFmtId="0" fontId="5" fillId="0" borderId="0" xfId="0" applyFont="1" applyProtection="1"/>
    <xf numFmtId="5" fontId="25" fillId="0" borderId="0" xfId="0" applyNumberFormat="1" applyFont="1" applyProtection="1"/>
    <xf numFmtId="7" fontId="6" fillId="0" borderId="0" xfId="0" applyNumberFormat="1" applyFont="1" applyAlignment="1" applyProtection="1">
      <alignment horizontal="right"/>
    </xf>
    <xf numFmtId="0" fontId="22" fillId="0" borderId="0" xfId="0" applyFont="1" applyProtection="1"/>
    <xf numFmtId="0" fontId="6" fillId="3" borderId="0" xfId="0" applyFont="1" applyFill="1" applyBorder="1" applyAlignment="1" applyProtection="1">
      <alignment horizontal="right"/>
      <protection hidden="1"/>
    </xf>
    <xf numFmtId="0" fontId="6" fillId="3" borderId="2" xfId="0" applyFont="1" applyFill="1" applyBorder="1" applyAlignment="1" applyProtection="1">
      <alignment horizontal="right"/>
      <protection hidden="1"/>
    </xf>
    <xf numFmtId="0" fontId="12" fillId="0" borderId="1" xfId="0" applyFont="1" applyBorder="1" applyAlignment="1">
      <alignment horizontal="center" vertical="center"/>
    </xf>
    <xf numFmtId="0" fontId="12" fillId="0" borderId="0" xfId="0" applyFont="1" applyAlignment="1">
      <alignment horizontal="center" vertical="center"/>
    </xf>
    <xf numFmtId="164" fontId="13" fillId="4" borderId="2" xfId="0" applyNumberFormat="1" applyFont="1" applyFill="1" applyBorder="1" applyProtection="1">
      <protection hidden="1"/>
    </xf>
    <xf numFmtId="0" fontId="0" fillId="4" borderId="2" xfId="0" applyFill="1" applyBorder="1" applyProtection="1">
      <protection hidden="1"/>
    </xf>
    <xf numFmtId="164" fontId="7" fillId="0" borderId="13" xfId="0" applyNumberFormat="1" applyFont="1" applyBorder="1" applyProtection="1">
      <protection locked="0" hidden="1"/>
    </xf>
    <xf numFmtId="0" fontId="11" fillId="4" borderId="2" xfId="0" applyFont="1" applyFill="1" applyBorder="1" applyProtection="1">
      <protection hidden="1"/>
    </xf>
    <xf numFmtId="0" fontId="11" fillId="3" borderId="0" xfId="0" applyFont="1" applyFill="1" applyBorder="1" applyProtection="1">
      <protection hidden="1"/>
    </xf>
    <xf numFmtId="5" fontId="7" fillId="3" borderId="2" xfId="0" applyNumberFormat="1" applyFont="1" applyFill="1" applyBorder="1" applyProtection="1">
      <protection hidden="1"/>
    </xf>
    <xf numFmtId="5" fontId="7" fillId="2" borderId="0" xfId="0" applyNumberFormat="1" applyFont="1" applyFill="1" applyBorder="1" applyProtection="1">
      <protection hidden="1"/>
    </xf>
    <xf numFmtId="164" fontId="7" fillId="3" borderId="0" xfId="0" applyNumberFormat="1" applyFont="1" applyFill="1" applyBorder="1" applyAlignment="1" applyProtection="1">
      <alignment horizontal="right"/>
      <protection hidden="1"/>
    </xf>
    <xf numFmtId="5" fontId="27" fillId="0" borderId="0" xfId="0" applyNumberFormat="1" applyFont="1" applyProtection="1"/>
    <xf numFmtId="166" fontId="27" fillId="0" borderId="9" xfId="0" applyNumberFormat="1" applyFont="1" applyBorder="1" applyProtection="1"/>
    <xf numFmtId="7" fontId="12" fillId="2" borderId="0" xfId="0" applyNumberFormat="1" applyFont="1" applyFill="1" applyBorder="1" applyProtection="1">
      <protection hidden="1"/>
    </xf>
    <xf numFmtId="0" fontId="0" fillId="2" borderId="0" xfId="0" applyFill="1" applyBorder="1"/>
    <xf numFmtId="0" fontId="0" fillId="2" borderId="1" xfId="0" applyFill="1" applyBorder="1"/>
    <xf numFmtId="0" fontId="0" fillId="2" borderId="2" xfId="0" applyFill="1" applyBorder="1"/>
    <xf numFmtId="16" fontId="0" fillId="0" borderId="0" xfId="0" applyNumberFormat="1"/>
    <xf numFmtId="0" fontId="0" fillId="0" borderId="0" xfId="0" applyFill="1" applyBorder="1"/>
    <xf numFmtId="0" fontId="0" fillId="0" borderId="0" xfId="0" applyFill="1" applyBorder="1" applyProtection="1"/>
    <xf numFmtId="0" fontId="0" fillId="2" borderId="0" xfId="0" applyFill="1" applyBorder="1" applyProtection="1"/>
    <xf numFmtId="171" fontId="0" fillId="0" borderId="0" xfId="2" applyNumberFormat="1" applyFont="1" applyFill="1" applyBorder="1"/>
    <xf numFmtId="0" fontId="0" fillId="2" borderId="7" xfId="0" applyFill="1" applyBorder="1" applyProtection="1"/>
    <xf numFmtId="0" fontId="0" fillId="2" borderId="8" xfId="0" applyFill="1" applyBorder="1" applyProtection="1"/>
    <xf numFmtId="164" fontId="5" fillId="0" borderId="3" xfId="0" applyNumberFormat="1" applyFont="1" applyBorder="1" applyProtection="1"/>
    <xf numFmtId="3" fontId="0" fillId="0" borderId="0" xfId="0" applyNumberFormat="1" applyProtection="1"/>
    <xf numFmtId="0" fontId="0" fillId="0" borderId="0" xfId="0" applyAlignment="1">
      <alignment horizontal="right"/>
    </xf>
    <xf numFmtId="0" fontId="6" fillId="0" borderId="0" xfId="0" applyFont="1" applyProtection="1"/>
    <xf numFmtId="168" fontId="0" fillId="0" borderId="0" xfId="0" applyNumberFormat="1" applyProtection="1"/>
    <xf numFmtId="0" fontId="30" fillId="0" borderId="1" xfId="0" applyFont="1" applyBorder="1" applyAlignment="1" applyProtection="1">
      <alignment horizontal="center"/>
    </xf>
    <xf numFmtId="0" fontId="6" fillId="6" borderId="6" xfId="0" applyFont="1" applyFill="1" applyBorder="1" applyAlignment="1" applyProtection="1">
      <alignment horizontal="left"/>
      <protection hidden="1"/>
    </xf>
    <xf numFmtId="7" fontId="6" fillId="6" borderId="7" xfId="0" applyNumberFormat="1" applyFont="1" applyFill="1" applyBorder="1" applyProtection="1">
      <protection hidden="1"/>
    </xf>
    <xf numFmtId="7" fontId="0" fillId="0" borderId="0" xfId="0" applyNumberFormat="1" applyProtection="1"/>
    <xf numFmtId="0" fontId="18" fillId="4" borderId="0" xfId="0" applyFont="1" applyFill="1" applyBorder="1" applyAlignment="1" applyProtection="1">
      <alignment horizontal="left"/>
      <protection hidden="1"/>
    </xf>
    <xf numFmtId="0" fontId="15" fillId="4" borderId="0" xfId="0" applyFont="1" applyFill="1" applyBorder="1" applyAlignment="1" applyProtection="1">
      <alignment horizontal="left"/>
      <protection hidden="1"/>
    </xf>
    <xf numFmtId="0" fontId="0" fillId="7" borderId="0" xfId="0" applyFill="1" applyBorder="1"/>
    <xf numFmtId="0" fontId="6" fillId="6" borderId="1" xfId="0" applyFont="1" applyFill="1" applyBorder="1" applyAlignment="1" applyProtection="1">
      <alignment horizontal="left"/>
      <protection hidden="1"/>
    </xf>
    <xf numFmtId="7" fontId="5" fillId="6" borderId="0" xfId="0" applyNumberFormat="1" applyFont="1" applyFill="1" applyBorder="1" applyProtection="1">
      <protection hidden="1"/>
    </xf>
    <xf numFmtId="0" fontId="24" fillId="0" borderId="0" xfId="0" applyFont="1" applyFill="1" applyBorder="1" applyAlignment="1">
      <alignment horizontal="center" vertical="center"/>
    </xf>
    <xf numFmtId="0" fontId="5" fillId="0" borderId="0" xfId="0" applyFont="1" applyFill="1" applyBorder="1"/>
    <xf numFmtId="0" fontId="33" fillId="0" borderId="0" xfId="0" applyFont="1" applyFill="1" applyBorder="1"/>
    <xf numFmtId="0" fontId="6" fillId="4" borderId="17" xfId="0" applyFont="1" applyFill="1" applyBorder="1" applyAlignment="1" applyProtection="1">
      <alignment horizontal="left"/>
      <protection hidden="1"/>
    </xf>
    <xf numFmtId="0" fontId="6" fillId="4" borderId="18" xfId="0" applyFont="1" applyFill="1" applyBorder="1" applyAlignment="1" applyProtection="1">
      <alignment horizontal="left"/>
      <protection hidden="1"/>
    </xf>
    <xf numFmtId="0" fontId="7" fillId="4" borderId="18" xfId="0" applyFont="1" applyFill="1" applyBorder="1" applyAlignment="1" applyProtection="1">
      <alignment horizontal="left"/>
      <protection hidden="1"/>
    </xf>
    <xf numFmtId="0" fontId="6" fillId="3" borderId="1" xfId="0" applyFont="1" applyFill="1" applyBorder="1" applyAlignment="1" applyProtection="1">
      <alignment horizontal="left"/>
      <protection hidden="1"/>
    </xf>
    <xf numFmtId="0" fontId="12" fillId="2" borderId="18" xfId="0" applyFont="1" applyFill="1" applyBorder="1" applyProtection="1">
      <protection hidden="1"/>
    </xf>
    <xf numFmtId="0" fontId="12" fillId="2" borderId="19" xfId="0" applyFont="1" applyFill="1" applyBorder="1" applyProtection="1">
      <protection hidden="1"/>
    </xf>
    <xf numFmtId="166" fontId="0" fillId="0" borderId="0" xfId="4" applyNumberFormat="1" applyFont="1"/>
    <xf numFmtId="164" fontId="0" fillId="0" borderId="0" xfId="0" applyNumberFormat="1" applyProtection="1"/>
    <xf numFmtId="0" fontId="29" fillId="0" borderId="0" xfId="0" applyFont="1" applyAlignment="1" applyProtection="1">
      <alignment horizontal="right"/>
    </xf>
    <xf numFmtId="0" fontId="35" fillId="0" borderId="0" xfId="0" applyFont="1" applyProtection="1"/>
    <xf numFmtId="0" fontId="0" fillId="0" borderId="0" xfId="0" applyBorder="1" applyAlignment="1" applyProtection="1">
      <alignment horizontal="center" wrapText="1"/>
    </xf>
    <xf numFmtId="166" fontId="0" fillId="0" borderId="0" xfId="0" applyNumberFormat="1" applyProtection="1"/>
    <xf numFmtId="0" fontId="22" fillId="0" borderId="0" xfId="0" applyFont="1" applyAlignment="1" applyProtection="1">
      <alignment horizontal="right"/>
    </xf>
    <xf numFmtId="5" fontId="0" fillId="0" borderId="0" xfId="0" applyNumberFormat="1" applyProtection="1"/>
    <xf numFmtId="171" fontId="0" fillId="0" borderId="0" xfId="0" applyNumberFormat="1" applyFill="1" applyBorder="1" applyProtection="1"/>
    <xf numFmtId="7" fontId="6" fillId="0" borderId="7" xfId="0" applyNumberFormat="1" applyFont="1" applyBorder="1" applyProtection="1"/>
    <xf numFmtId="0" fontId="0" fillId="2" borderId="1" xfId="0" applyFill="1" applyBorder="1" applyProtection="1"/>
    <xf numFmtId="0" fontId="0" fillId="2" borderId="2" xfId="0" applyFill="1" applyBorder="1" applyProtection="1"/>
    <xf numFmtId="0" fontId="29" fillId="2" borderId="1" xfId="0" applyFont="1" applyFill="1" applyBorder="1" applyAlignment="1">
      <alignment horizontal="right"/>
    </xf>
    <xf numFmtId="0" fontId="29" fillId="2" borderId="0" xfId="0" applyFont="1" applyFill="1" applyBorder="1"/>
    <xf numFmtId="166" fontId="0" fillId="2" borderId="1" xfId="4" applyNumberFormat="1" applyFont="1" applyFill="1" applyBorder="1"/>
    <xf numFmtId="166" fontId="0" fillId="2" borderId="0" xfId="4" applyNumberFormat="1" applyFont="1" applyFill="1" applyBorder="1"/>
    <xf numFmtId="0" fontId="29" fillId="2" borderId="1" xfId="0" applyFont="1" applyFill="1" applyBorder="1" applyAlignment="1" applyProtection="1">
      <alignment horizontal="right"/>
    </xf>
    <xf numFmtId="0" fontId="29" fillId="2" borderId="0" xfId="0" applyFont="1" applyFill="1" applyBorder="1" applyAlignment="1" applyProtection="1">
      <alignment horizontal="right"/>
    </xf>
    <xf numFmtId="0" fontId="29" fillId="2" borderId="2" xfId="0" applyFont="1" applyFill="1" applyBorder="1" applyAlignment="1" applyProtection="1">
      <alignment horizontal="right"/>
    </xf>
    <xf numFmtId="0" fontId="0" fillId="2" borderId="4" xfId="0" applyFill="1" applyBorder="1" applyProtection="1"/>
    <xf numFmtId="0" fontId="32" fillId="0" borderId="0" xfId="0" applyFont="1" applyAlignment="1" applyProtection="1">
      <alignment horizontal="right"/>
    </xf>
    <xf numFmtId="0" fontId="0" fillId="2" borderId="1" xfId="0" applyFill="1" applyBorder="1" applyAlignment="1" applyProtection="1">
      <alignment horizontal="center"/>
    </xf>
    <xf numFmtId="0" fontId="0" fillId="2" borderId="1" xfId="0" applyFill="1" applyBorder="1" applyAlignment="1">
      <alignment horizontal="center"/>
    </xf>
    <xf numFmtId="0" fontId="0" fillId="2" borderId="6" xfId="0" applyFill="1" applyBorder="1" applyAlignment="1">
      <alignment horizontal="center"/>
    </xf>
    <xf numFmtId="0" fontId="0" fillId="2" borderId="9" xfId="0" applyFill="1" applyBorder="1" applyAlignment="1">
      <alignment horizontal="right"/>
    </xf>
    <xf numFmtId="166" fontId="0" fillId="2" borderId="21" xfId="4" applyNumberFormat="1" applyFont="1" applyFill="1" applyBorder="1"/>
    <xf numFmtId="166" fontId="0" fillId="2" borderId="22" xfId="4" applyNumberFormat="1" applyFont="1" applyFill="1" applyBorder="1"/>
    <xf numFmtId="7" fontId="0" fillId="0" borderId="0" xfId="0" applyNumberFormat="1" applyBorder="1" applyProtection="1"/>
    <xf numFmtId="0" fontId="29" fillId="0" borderId="5" xfId="0" applyFont="1" applyBorder="1" applyAlignment="1" applyProtection="1">
      <alignment horizontal="right"/>
    </xf>
    <xf numFmtId="5" fontId="0" fillId="4" borderId="22" xfId="0" applyNumberFormat="1" applyFill="1" applyBorder="1" applyProtection="1"/>
    <xf numFmtId="0" fontId="0" fillId="8" borderId="6" xfId="0" applyFill="1" applyBorder="1" applyProtection="1"/>
    <xf numFmtId="0" fontId="0" fillId="8" borderId="7" xfId="0" applyFill="1" applyBorder="1" applyProtection="1"/>
    <xf numFmtId="0" fontId="0" fillId="8" borderId="8" xfId="0" applyFill="1" applyBorder="1" applyProtection="1"/>
    <xf numFmtId="0" fontId="5" fillId="8" borderId="23" xfId="0" applyFont="1" applyFill="1" applyBorder="1" applyAlignment="1" applyProtection="1">
      <alignment horizontal="right"/>
    </xf>
    <xf numFmtId="0" fontId="5" fillId="8" borderId="24" xfId="0" applyFont="1" applyFill="1" applyBorder="1" applyAlignment="1" applyProtection="1">
      <alignment horizontal="right"/>
    </xf>
    <xf numFmtId="0" fontId="0" fillId="8" borderId="3" xfId="0" applyFill="1" applyBorder="1" applyProtection="1"/>
    <xf numFmtId="0" fontId="0" fillId="8" borderId="5" xfId="0" applyFill="1" applyBorder="1" applyProtection="1"/>
    <xf numFmtId="0" fontId="0" fillId="8" borderId="1" xfId="0" applyFill="1" applyBorder="1" applyProtection="1"/>
    <xf numFmtId="0" fontId="0" fillId="8" borderId="2" xfId="0" applyFill="1" applyBorder="1" applyProtection="1"/>
    <xf numFmtId="0" fontId="0" fillId="8" borderId="1" xfId="0" applyFill="1" applyBorder="1"/>
    <xf numFmtId="0" fontId="0" fillId="8" borderId="0" xfId="0" applyFill="1" applyBorder="1" applyProtection="1"/>
    <xf numFmtId="0" fontId="6" fillId="8" borderId="3" xfId="0" applyFont="1" applyFill="1" applyBorder="1" applyAlignment="1" applyProtection="1">
      <alignment horizontal="left"/>
    </xf>
    <xf numFmtId="0" fontId="0" fillId="8" borderId="4" xfId="0" applyFill="1" applyBorder="1" applyProtection="1"/>
    <xf numFmtId="0" fontId="5" fillId="8" borderId="1" xfId="0" applyFont="1" applyFill="1" applyBorder="1" applyAlignment="1" applyProtection="1">
      <alignment horizontal="left"/>
    </xf>
    <xf numFmtId="5" fontId="5" fillId="8" borderId="2" xfId="0" applyNumberFormat="1" applyFont="1" applyFill="1" applyBorder="1" applyProtection="1"/>
    <xf numFmtId="0" fontId="5" fillId="8" borderId="6" xfId="0" applyFont="1" applyFill="1" applyBorder="1" applyAlignment="1" applyProtection="1">
      <alignment horizontal="left"/>
    </xf>
    <xf numFmtId="5" fontId="5" fillId="8" borderId="8" xfId="0" applyNumberFormat="1" applyFont="1" applyFill="1" applyBorder="1" applyProtection="1"/>
    <xf numFmtId="0" fontId="0" fillId="8" borderId="0" xfId="1" applyNumberFormat="1" applyFont="1" applyFill="1" applyBorder="1" applyProtection="1"/>
    <xf numFmtId="5" fontId="0" fillId="8" borderId="2" xfId="0" applyNumberFormat="1" applyFill="1" applyBorder="1" applyProtection="1"/>
    <xf numFmtId="0" fontId="0" fillId="8" borderId="0" xfId="0" applyNumberFormat="1" applyFill="1" applyBorder="1" applyProtection="1"/>
    <xf numFmtId="0" fontId="0" fillId="8" borderId="11" xfId="0" applyFill="1" applyBorder="1" applyProtection="1"/>
    <xf numFmtId="0" fontId="0" fillId="8" borderId="9" xfId="0" applyFill="1" applyBorder="1" applyProtection="1"/>
    <xf numFmtId="0" fontId="0" fillId="8" borderId="9" xfId="0" applyNumberFormat="1" applyFill="1" applyBorder="1" applyProtection="1"/>
    <xf numFmtId="5" fontId="0" fillId="8" borderId="12" xfId="0" applyNumberFormat="1" applyFill="1" applyBorder="1" applyProtection="1"/>
    <xf numFmtId="5" fontId="0" fillId="8" borderId="8" xfId="0" applyNumberFormat="1" applyFill="1" applyBorder="1" applyProtection="1"/>
    <xf numFmtId="0" fontId="22" fillId="8" borderId="3" xfId="0" applyFont="1" applyFill="1" applyBorder="1" applyProtection="1"/>
    <xf numFmtId="0" fontId="11" fillId="4" borderId="0" xfId="0" applyFont="1" applyFill="1" applyBorder="1" applyAlignment="1" applyProtection="1">
      <alignment horizontal="right"/>
      <protection hidden="1"/>
    </xf>
    <xf numFmtId="0" fontId="5" fillId="0" borderId="0" xfId="0" applyFont="1" applyFill="1" applyBorder="1" applyAlignment="1" applyProtection="1">
      <alignment horizontal="left"/>
    </xf>
    <xf numFmtId="5" fontId="5" fillId="0" borderId="0" xfId="0" applyNumberFormat="1" applyFont="1" applyFill="1" applyBorder="1" applyProtection="1"/>
    <xf numFmtId="164" fontId="5" fillId="0" borderId="0" xfId="0" applyNumberFormat="1" applyFont="1" applyFill="1" applyBorder="1" applyProtection="1"/>
    <xf numFmtId="0" fontId="5" fillId="0" borderId="7" xfId="0" applyFont="1" applyFill="1" applyBorder="1" applyAlignment="1" applyProtection="1">
      <alignment horizontal="left"/>
    </xf>
    <xf numFmtId="5" fontId="5" fillId="0" borderId="7" xfId="0" applyNumberFormat="1" applyFont="1" applyFill="1" applyBorder="1" applyProtection="1"/>
    <xf numFmtId="164" fontId="5" fillId="0" borderId="7" xfId="0" applyNumberFormat="1" applyFont="1" applyFill="1" applyBorder="1" applyProtection="1"/>
    <xf numFmtId="0" fontId="0" fillId="0" borderId="0" xfId="0" applyFill="1" applyProtection="1"/>
    <xf numFmtId="5" fontId="0" fillId="0" borderId="0" xfId="0" applyNumberFormat="1" applyFill="1" applyProtection="1"/>
    <xf numFmtId="0" fontId="5" fillId="0" borderId="1" xfId="0" applyFont="1" applyFill="1" applyBorder="1" applyAlignment="1" applyProtection="1">
      <alignment horizontal="right"/>
    </xf>
    <xf numFmtId="0" fontId="5" fillId="0" borderId="2" xfId="0" applyFont="1" applyFill="1" applyBorder="1" applyAlignment="1" applyProtection="1">
      <alignment horizontal="right"/>
    </xf>
    <xf numFmtId="5" fontId="5" fillId="0" borderId="2" xfId="0" applyNumberFormat="1" applyFont="1" applyFill="1" applyBorder="1" applyProtection="1"/>
    <xf numFmtId="0" fontId="6" fillId="0" borderId="4" xfId="0" applyFont="1" applyFill="1" applyBorder="1" applyAlignment="1" applyProtection="1">
      <alignment horizontal="left"/>
    </xf>
    <xf numFmtId="0" fontId="0" fillId="0" borderId="4" xfId="0" applyFill="1" applyBorder="1" applyProtection="1"/>
    <xf numFmtId="0" fontId="5" fillId="0" borderId="4" xfId="0" applyFont="1" applyFill="1" applyBorder="1" applyAlignment="1" applyProtection="1">
      <alignment horizontal="right"/>
    </xf>
    <xf numFmtId="0" fontId="6" fillId="0" borderId="25" xfId="0" applyFont="1" applyFill="1" applyBorder="1" applyAlignment="1" applyProtection="1">
      <alignment horizontal="left"/>
    </xf>
    <xf numFmtId="0" fontId="0" fillId="0" borderId="26" xfId="0" applyFill="1" applyBorder="1" applyProtection="1"/>
    <xf numFmtId="0" fontId="6" fillId="0" borderId="27" xfId="0" applyFont="1" applyFill="1" applyBorder="1" applyAlignment="1" applyProtection="1">
      <alignment horizontal="right"/>
    </xf>
    <xf numFmtId="0" fontId="5" fillId="0" borderId="0" xfId="0" applyFont="1" applyFill="1" applyBorder="1" applyAlignment="1" applyProtection="1">
      <alignment horizontal="right"/>
    </xf>
    <xf numFmtId="0" fontId="5" fillId="0" borderId="0" xfId="0" applyFont="1" applyFill="1" applyAlignment="1" applyProtection="1">
      <alignment horizontal="right"/>
    </xf>
    <xf numFmtId="0" fontId="5" fillId="0" borderId="9" xfId="0" applyFont="1" applyFill="1" applyBorder="1" applyAlignment="1" applyProtection="1">
      <alignment horizontal="right"/>
    </xf>
    <xf numFmtId="0" fontId="5" fillId="0" borderId="12" xfId="0" applyFont="1" applyFill="1" applyBorder="1" applyAlignment="1" applyProtection="1">
      <alignment horizontal="right"/>
    </xf>
    <xf numFmtId="0" fontId="5" fillId="0" borderId="11" xfId="0" applyFont="1" applyFill="1" applyBorder="1" applyAlignment="1" applyProtection="1">
      <alignment horizontal="right"/>
    </xf>
    <xf numFmtId="0" fontId="0" fillId="0" borderId="2" xfId="0" applyFill="1" applyBorder="1" applyProtection="1"/>
    <xf numFmtId="7" fontId="5" fillId="0" borderId="0" xfId="0" applyNumberFormat="1" applyFont="1" applyFill="1" applyProtection="1"/>
    <xf numFmtId="5" fontId="5" fillId="0" borderId="1" xfId="0" applyNumberFormat="1" applyFont="1" applyFill="1" applyBorder="1" applyProtection="1"/>
    <xf numFmtId="7" fontId="5" fillId="0" borderId="0" xfId="0" applyNumberFormat="1" applyFont="1" applyFill="1" applyBorder="1" applyProtection="1"/>
    <xf numFmtId="164" fontId="5" fillId="0" borderId="0" xfId="0" applyNumberFormat="1" applyFont="1" applyFill="1" applyProtection="1"/>
    <xf numFmtId="5" fontId="5" fillId="0" borderId="6" xfId="0" applyNumberFormat="1" applyFont="1" applyFill="1" applyBorder="1" applyProtection="1"/>
    <xf numFmtId="7" fontId="5" fillId="0" borderId="7" xfId="0" applyNumberFormat="1" applyFont="1" applyFill="1" applyBorder="1" applyProtection="1"/>
    <xf numFmtId="166" fontId="5" fillId="0" borderId="2" xfId="0" applyNumberFormat="1" applyFont="1" applyFill="1" applyBorder="1" applyProtection="1"/>
    <xf numFmtId="5" fontId="4" fillId="0" borderId="1" xfId="0" applyNumberFormat="1" applyFont="1" applyFill="1" applyBorder="1" applyProtection="1"/>
    <xf numFmtId="9" fontId="22" fillId="3" borderId="2" xfId="0" applyNumberFormat="1" applyFont="1" applyFill="1" applyBorder="1" applyProtection="1"/>
    <xf numFmtId="5" fontId="22" fillId="3" borderId="1" xfId="0" applyNumberFormat="1" applyFont="1" applyFill="1" applyBorder="1" applyProtection="1"/>
    <xf numFmtId="0" fontId="0" fillId="0" borderId="7" xfId="0" applyFill="1" applyBorder="1" applyProtection="1"/>
    <xf numFmtId="0" fontId="0" fillId="0" borderId="8" xfId="0" applyFill="1" applyBorder="1" applyProtection="1"/>
    <xf numFmtId="0" fontId="5" fillId="0" borderId="28" xfId="0" applyFont="1" applyFill="1" applyBorder="1" applyAlignment="1" applyProtection="1">
      <alignment horizontal="right"/>
    </xf>
    <xf numFmtId="0" fontId="5" fillId="0" borderId="24" xfId="0" applyFont="1" applyFill="1" applyBorder="1" applyAlignment="1" applyProtection="1">
      <alignment horizontal="right"/>
    </xf>
    <xf numFmtId="5" fontId="22" fillId="3" borderId="2" xfId="0" applyNumberFormat="1" applyFont="1" applyFill="1" applyBorder="1" applyProtection="1"/>
    <xf numFmtId="5" fontId="22" fillId="3" borderId="8" xfId="0" applyNumberFormat="1" applyFont="1" applyFill="1" applyBorder="1" applyProtection="1"/>
    <xf numFmtId="5" fontId="11" fillId="4" borderId="0" xfId="0" applyNumberFormat="1" applyFont="1" applyFill="1" applyBorder="1" applyAlignment="1">
      <alignment horizontal="left"/>
    </xf>
    <xf numFmtId="0" fontId="35" fillId="0" borderId="23" xfId="0" applyFont="1" applyBorder="1" applyAlignment="1">
      <alignment horizontal="right"/>
    </xf>
    <xf numFmtId="0" fontId="35" fillId="0" borderId="24" xfId="0" applyFont="1" applyBorder="1" applyAlignment="1" applyProtection="1">
      <alignment horizontal="right"/>
    </xf>
    <xf numFmtId="0" fontId="35" fillId="0" borderId="1" xfId="0" applyFont="1" applyBorder="1" applyProtection="1"/>
    <xf numFmtId="5" fontId="35" fillId="0" borderId="2" xfId="0" applyNumberFormat="1" applyFont="1" applyFill="1" applyBorder="1" applyProtection="1"/>
    <xf numFmtId="0" fontId="35" fillId="0" borderId="6" xfId="0" applyFont="1" applyBorder="1" applyProtection="1"/>
    <xf numFmtId="5" fontId="35" fillId="0" borderId="8" xfId="0" applyNumberFormat="1" applyFont="1" applyFill="1" applyBorder="1" applyProtection="1"/>
    <xf numFmtId="0" fontId="22" fillId="0" borderId="0" xfId="0" applyFont="1" applyAlignment="1" applyProtection="1">
      <alignment horizontal="left"/>
    </xf>
    <xf numFmtId="0" fontId="0" fillId="6" borderId="3" xfId="0" applyFill="1" applyBorder="1"/>
    <xf numFmtId="0" fontId="0" fillId="6" borderId="4" xfId="0" applyFill="1" applyBorder="1"/>
    <xf numFmtId="15" fontId="0" fillId="6" borderId="4" xfId="0" applyNumberFormat="1" applyFill="1" applyBorder="1"/>
    <xf numFmtId="0" fontId="22" fillId="6" borderId="1" xfId="0" applyFont="1" applyFill="1" applyBorder="1" applyAlignment="1">
      <alignment horizontal="left"/>
    </xf>
    <xf numFmtId="0" fontId="0" fillId="6" borderId="0" xfId="0" applyFill="1" applyBorder="1"/>
    <xf numFmtId="15" fontId="0" fillId="6" borderId="0" xfId="0" applyNumberFormat="1" applyFill="1" applyBorder="1"/>
    <xf numFmtId="0" fontId="0" fillId="6" borderId="0" xfId="0" applyFill="1" applyBorder="1" applyProtection="1"/>
    <xf numFmtId="0" fontId="0" fillId="6" borderId="2" xfId="0" applyFill="1" applyBorder="1"/>
    <xf numFmtId="0" fontId="0" fillId="6" borderId="1" xfId="0" applyFill="1" applyBorder="1"/>
    <xf numFmtId="1" fontId="0" fillId="6" borderId="0" xfId="0" applyNumberFormat="1" applyFill="1" applyBorder="1"/>
    <xf numFmtId="0" fontId="29" fillId="6" borderId="0" xfId="0" applyFont="1" applyFill="1" applyBorder="1" applyAlignment="1">
      <alignment horizontal="centerContinuous"/>
    </xf>
    <xf numFmtId="0" fontId="29" fillId="6" borderId="0" xfId="0" applyFont="1" applyFill="1" applyBorder="1" applyAlignment="1" applyProtection="1">
      <alignment horizontal="right"/>
    </xf>
    <xf numFmtId="0" fontId="29" fillId="6" borderId="0" xfId="0" applyFont="1" applyFill="1" applyBorder="1" applyAlignment="1">
      <alignment horizontal="right"/>
    </xf>
    <xf numFmtId="0" fontId="29" fillId="6" borderId="2" xfId="0" applyFont="1" applyFill="1" applyBorder="1" applyAlignment="1">
      <alignment horizontal="right"/>
    </xf>
    <xf numFmtId="0" fontId="29" fillId="6" borderId="0" xfId="0" applyFont="1" applyFill="1" applyBorder="1" applyAlignment="1">
      <alignment horizontal="center"/>
    </xf>
    <xf numFmtId="0" fontId="0" fillId="6" borderId="7" xfId="0" applyFill="1" applyBorder="1" applyProtection="1"/>
    <xf numFmtId="0" fontId="0" fillId="6" borderId="8" xfId="0" applyFill="1" applyBorder="1" applyProtection="1"/>
    <xf numFmtId="164" fontId="5" fillId="9" borderId="34" xfId="0" applyNumberFormat="1" applyFont="1" applyFill="1" applyBorder="1" applyProtection="1"/>
    <xf numFmtId="164" fontId="5" fillId="9" borderId="0" xfId="0" applyNumberFormat="1" applyFont="1" applyFill="1" applyBorder="1" applyProtection="1"/>
    <xf numFmtId="164" fontId="5" fillId="9" borderId="35" xfId="0" applyNumberFormat="1" applyFont="1" applyFill="1" applyBorder="1" applyProtection="1"/>
    <xf numFmtId="0" fontId="0" fillId="2" borderId="0" xfId="0" applyFill="1" applyAlignment="1" applyProtection="1">
      <alignment horizontal="centerContinuous" wrapText="1"/>
    </xf>
    <xf numFmtId="0" fontId="22" fillId="2" borderId="0" xfId="0" applyFont="1" applyFill="1" applyAlignment="1" applyProtection="1">
      <alignment horizontal="centerContinuous" wrapText="1"/>
    </xf>
    <xf numFmtId="170" fontId="3" fillId="2" borderId="0" xfId="0" applyNumberFormat="1" applyFont="1" applyFill="1" applyProtection="1"/>
    <xf numFmtId="0" fontId="40" fillId="4" borderId="1" xfId="3" applyFont="1" applyFill="1" applyBorder="1" applyAlignment="1" applyProtection="1">
      <alignment horizontal="left"/>
      <protection hidden="1"/>
    </xf>
    <xf numFmtId="5" fontId="5" fillId="0" borderId="0" xfId="0" quotePrefix="1" applyNumberFormat="1" applyFont="1" applyProtection="1"/>
    <xf numFmtId="5" fontId="5" fillId="10" borderId="2" xfId="0" applyNumberFormat="1" applyFont="1" applyFill="1" applyBorder="1" applyProtection="1"/>
    <xf numFmtId="173" fontId="5" fillId="0" borderId="0" xfId="0" applyNumberFormat="1" applyFont="1" applyProtection="1"/>
    <xf numFmtId="0" fontId="28" fillId="0" borderId="1" xfId="0" applyFont="1" applyBorder="1" applyProtection="1"/>
    <xf numFmtId="5" fontId="28" fillId="0" borderId="0" xfId="0" applyNumberFormat="1" applyFont="1" applyBorder="1" applyProtection="1"/>
    <xf numFmtId="0" fontId="28" fillId="0" borderId="4" xfId="0" applyFont="1" applyBorder="1" applyAlignment="1" applyProtection="1">
      <alignment horizontal="right" wrapText="1"/>
    </xf>
    <xf numFmtId="0" fontId="6" fillId="0" borderId="23" xfId="0" applyFont="1" applyFill="1" applyBorder="1" applyAlignment="1" applyProtection="1">
      <alignment horizontal="centerContinuous"/>
    </xf>
    <xf numFmtId="0" fontId="6" fillId="0" borderId="28" xfId="0" applyFont="1" applyFill="1" applyBorder="1" applyAlignment="1" applyProtection="1">
      <alignment horizontal="centerContinuous"/>
    </xf>
    <xf numFmtId="0" fontId="6" fillId="0" borderId="24" xfId="0" applyFont="1" applyFill="1" applyBorder="1" applyAlignment="1" applyProtection="1">
      <alignment horizontal="centerContinuous"/>
    </xf>
    <xf numFmtId="0" fontId="0" fillId="0" borderId="23" xfId="0" applyBorder="1" applyProtection="1"/>
    <xf numFmtId="0" fontId="0" fillId="0" borderId="28" xfId="0" applyFill="1" applyBorder="1" applyAlignment="1" applyProtection="1">
      <alignment horizontal="centerContinuous"/>
    </xf>
    <xf numFmtId="0" fontId="0" fillId="0" borderId="28" xfId="0" applyBorder="1" applyAlignment="1" applyProtection="1">
      <alignment horizontal="centerContinuous"/>
    </xf>
    <xf numFmtId="166" fontId="5" fillId="0" borderId="1" xfId="0" applyNumberFormat="1" applyFont="1" applyFill="1" applyBorder="1" applyProtection="1"/>
    <xf numFmtId="166" fontId="5" fillId="0" borderId="0" xfId="0" applyNumberFormat="1" applyFont="1" applyFill="1" applyBorder="1" applyProtection="1"/>
    <xf numFmtId="0" fontId="3" fillId="0" borderId="0" xfId="0" applyFont="1"/>
    <xf numFmtId="170" fontId="0" fillId="0" borderId="0" xfId="0" applyNumberFormat="1"/>
    <xf numFmtId="5" fontId="0" fillId="0" borderId="0" xfId="0" applyNumberFormat="1" applyAlignment="1">
      <alignment horizontal="right"/>
    </xf>
    <xf numFmtId="169" fontId="0" fillId="0" borderId="2" xfId="0" applyNumberFormat="1" applyBorder="1" applyProtection="1"/>
    <xf numFmtId="7" fontId="0" fillId="0" borderId="2" xfId="0" applyNumberFormat="1" applyBorder="1" applyProtection="1"/>
    <xf numFmtId="0" fontId="0" fillId="2" borderId="23" xfId="0" applyFill="1" applyBorder="1" applyAlignment="1" applyProtection="1">
      <alignment horizontal="right"/>
    </xf>
    <xf numFmtId="0" fontId="0" fillId="2" borderId="28" xfId="0" applyFill="1" applyBorder="1" applyAlignment="1" applyProtection="1">
      <alignment horizontal="right"/>
    </xf>
    <xf numFmtId="166" fontId="27" fillId="8" borderId="0" xfId="0" applyNumberFormat="1" applyFont="1" applyFill="1" applyBorder="1" applyProtection="1"/>
    <xf numFmtId="174" fontId="0" fillId="6" borderId="1" xfId="0" quotePrefix="1" applyNumberFormat="1" applyFill="1" applyBorder="1" applyAlignment="1" applyProtection="1">
      <alignment horizontal="right"/>
    </xf>
    <xf numFmtId="174" fontId="0" fillId="6" borderId="6" xfId="0" quotePrefix="1" applyNumberFormat="1" applyFill="1" applyBorder="1" applyAlignment="1" applyProtection="1">
      <alignment horizontal="right"/>
    </xf>
    <xf numFmtId="1" fontId="5" fillId="0" borderId="0" xfId="0" applyNumberFormat="1" applyFont="1" applyProtection="1"/>
    <xf numFmtId="0" fontId="0" fillId="4" borderId="3" xfId="0" applyFill="1" applyBorder="1" applyProtection="1"/>
    <xf numFmtId="0" fontId="0" fillId="4" borderId="4" xfId="0" applyFill="1" applyBorder="1" applyProtection="1"/>
    <xf numFmtId="0" fontId="4" fillId="4" borderId="24" xfId="0" applyFont="1" applyFill="1" applyBorder="1" applyAlignment="1" applyProtection="1">
      <alignment horizontal="centerContinuous"/>
    </xf>
    <xf numFmtId="0" fontId="0" fillId="4" borderId="0" xfId="0" applyFill="1" applyBorder="1" applyProtection="1"/>
    <xf numFmtId="174" fontId="0" fillId="4" borderId="1" xfId="0" quotePrefix="1" applyNumberFormat="1" applyFill="1" applyBorder="1" applyAlignment="1" applyProtection="1">
      <alignment horizontal="left"/>
    </xf>
    <xf numFmtId="0" fontId="0" fillId="4" borderId="2" xfId="0" applyFill="1" applyBorder="1" applyProtection="1"/>
    <xf numFmtId="174" fontId="0" fillId="4" borderId="6" xfId="0" quotePrefix="1" applyNumberFormat="1" applyFill="1" applyBorder="1" applyAlignment="1" applyProtection="1">
      <alignment horizontal="left"/>
    </xf>
    <xf numFmtId="0" fontId="0" fillId="4" borderId="7" xfId="0" applyFill="1" applyBorder="1" applyProtection="1"/>
    <xf numFmtId="0" fontId="0" fillId="4" borderId="8" xfId="0" applyFill="1" applyBorder="1" applyProtection="1"/>
    <xf numFmtId="0" fontId="3" fillId="4" borderId="11" xfId="0" applyFont="1" applyFill="1" applyBorder="1" applyProtection="1"/>
    <xf numFmtId="0" fontId="0" fillId="4" borderId="9" xfId="0" applyFill="1" applyBorder="1" applyAlignment="1" applyProtection="1">
      <alignment horizontal="right"/>
    </xf>
    <xf numFmtId="0" fontId="0" fillId="4" borderId="9" xfId="0" applyFill="1" applyBorder="1" applyAlignment="1">
      <alignment horizontal="right"/>
    </xf>
    <xf numFmtId="0" fontId="0" fillId="4" borderId="12" xfId="0" applyFill="1" applyBorder="1" applyAlignment="1">
      <alignment horizontal="right"/>
    </xf>
    <xf numFmtId="0" fontId="0" fillId="2" borderId="24" xfId="0" applyFill="1" applyBorder="1" applyAlignment="1" applyProtection="1">
      <alignment horizontal="right"/>
    </xf>
    <xf numFmtId="0" fontId="3" fillId="4" borderId="9" xfId="0" applyFont="1" applyFill="1" applyBorder="1" applyAlignment="1">
      <alignment horizontal="centerContinuous"/>
    </xf>
    <xf numFmtId="0" fontId="4" fillId="4" borderId="9" xfId="0" applyFont="1" applyFill="1" applyBorder="1" applyAlignment="1" applyProtection="1">
      <alignment horizontal="centerContinuous"/>
    </xf>
    <xf numFmtId="0" fontId="4" fillId="4" borderId="9" xfId="0" applyFont="1" applyFill="1" applyBorder="1" applyAlignment="1">
      <alignment horizontal="centerContinuous"/>
    </xf>
    <xf numFmtId="0" fontId="0" fillId="2" borderId="3" xfId="0" applyFill="1" applyBorder="1" applyProtection="1"/>
    <xf numFmtId="0" fontId="3" fillId="2" borderId="28" xfId="0" applyFont="1" applyFill="1" applyBorder="1" applyAlignment="1">
      <alignment horizontal="centerContinuous"/>
    </xf>
    <xf numFmtId="0" fontId="4" fillId="2" borderId="28" xfId="0" applyFont="1" applyFill="1" applyBorder="1" applyAlignment="1">
      <alignment horizontal="centerContinuous"/>
    </xf>
    <xf numFmtId="0" fontId="4" fillId="2" borderId="28" xfId="0" applyFont="1" applyFill="1" applyBorder="1" applyAlignment="1" applyProtection="1">
      <alignment horizontal="centerContinuous"/>
    </xf>
    <xf numFmtId="0" fontId="4" fillId="2" borderId="24" xfId="0" applyFont="1" applyFill="1" applyBorder="1" applyAlignment="1" applyProtection="1">
      <alignment horizontal="centerContinuous"/>
    </xf>
    <xf numFmtId="0" fontId="3" fillId="2" borderId="11" xfId="0" applyFont="1" applyFill="1" applyBorder="1" applyProtection="1"/>
    <xf numFmtId="0" fontId="0" fillId="2" borderId="9" xfId="0" applyFill="1" applyBorder="1" applyProtection="1"/>
    <xf numFmtId="0" fontId="0" fillId="2" borderId="9" xfId="0" applyFill="1" applyBorder="1" applyAlignment="1" applyProtection="1">
      <alignment horizontal="right"/>
    </xf>
    <xf numFmtId="0" fontId="0" fillId="2" borderId="12" xfId="0" applyFill="1" applyBorder="1" applyAlignment="1">
      <alignment horizontal="right"/>
    </xf>
    <xf numFmtId="174" fontId="0" fillId="2" borderId="1" xfId="0" quotePrefix="1" applyNumberFormat="1" applyFill="1" applyBorder="1" applyAlignment="1" applyProtection="1">
      <alignment horizontal="left"/>
    </xf>
    <xf numFmtId="174" fontId="0" fillId="2" borderId="6" xfId="0" quotePrefix="1" applyNumberFormat="1" applyFill="1" applyBorder="1" applyAlignment="1" applyProtection="1">
      <alignment horizontal="left"/>
    </xf>
    <xf numFmtId="164" fontId="0" fillId="2" borderId="0" xfId="0" applyNumberFormat="1" applyFill="1" applyBorder="1" applyProtection="1"/>
    <xf numFmtId="0" fontId="29" fillId="2" borderId="0" xfId="0" applyFont="1" applyFill="1" applyBorder="1" applyAlignment="1">
      <alignment horizontal="right"/>
    </xf>
    <xf numFmtId="175" fontId="5" fillId="0" borderId="0" xfId="4" applyNumberFormat="1" applyFont="1" applyBorder="1" applyProtection="1"/>
    <xf numFmtId="7" fontId="0" fillId="0" borderId="0" xfId="0" applyNumberFormat="1"/>
    <xf numFmtId="5" fontId="0" fillId="0" borderId="0" xfId="0" applyNumberFormat="1"/>
    <xf numFmtId="175" fontId="0" fillId="0" borderId="0" xfId="0" applyNumberFormat="1" applyProtection="1"/>
    <xf numFmtId="5" fontId="25" fillId="13" borderId="0" xfId="0" applyNumberFormat="1" applyFont="1" applyFill="1" applyProtection="1"/>
    <xf numFmtId="7" fontId="41" fillId="0" borderId="0" xfId="0" applyNumberFormat="1" applyFont="1"/>
    <xf numFmtId="0" fontId="4" fillId="0" borderId="1" xfId="0" applyFont="1" applyBorder="1" applyProtection="1"/>
    <xf numFmtId="166" fontId="5" fillId="0" borderId="9" xfId="0" applyNumberFormat="1" applyFont="1" applyBorder="1" applyAlignment="1" applyProtection="1">
      <alignment horizontal="right"/>
    </xf>
    <xf numFmtId="5" fontId="25" fillId="14" borderId="0" xfId="0" applyNumberFormat="1" applyFont="1" applyFill="1" applyBorder="1" applyProtection="1"/>
    <xf numFmtId="5" fontId="25" fillId="14" borderId="7" xfId="0" applyNumberFormat="1" applyFont="1" applyFill="1" applyBorder="1" applyProtection="1"/>
    <xf numFmtId="14" fontId="0" fillId="0" borderId="0" xfId="0" applyNumberFormat="1" applyProtection="1"/>
    <xf numFmtId="166" fontId="5" fillId="0" borderId="8" xfId="0" applyNumberFormat="1" applyFont="1" applyFill="1" applyBorder="1" applyProtection="1"/>
    <xf numFmtId="5" fontId="25" fillId="15" borderId="0" xfId="0" applyNumberFormat="1" applyFont="1" applyFill="1" applyProtection="1"/>
    <xf numFmtId="5" fontId="25" fillId="13" borderId="0" xfId="0" applyNumberFormat="1" applyFont="1" applyFill="1" applyBorder="1" applyProtection="1"/>
    <xf numFmtId="5" fontId="25" fillId="13" borderId="7" xfId="0" applyNumberFormat="1" applyFont="1" applyFill="1" applyBorder="1" applyProtection="1"/>
    <xf numFmtId="5" fontId="28" fillId="15" borderId="2" xfId="0" applyNumberFormat="1" applyFont="1" applyFill="1" applyBorder="1" applyProtection="1"/>
    <xf numFmtId="5" fontId="28" fillId="15" borderId="8" xfId="0" applyNumberFormat="1" applyFont="1" applyFill="1" applyBorder="1" applyProtection="1"/>
    <xf numFmtId="0" fontId="0" fillId="0" borderId="1" xfId="0" applyBorder="1" applyAlignment="1">
      <alignment horizontal="center"/>
    </xf>
    <xf numFmtId="7" fontId="0" fillId="0" borderId="10" xfId="0" applyNumberFormat="1" applyBorder="1" applyProtection="1"/>
    <xf numFmtId="0" fontId="0" fillId="4" borderId="0" xfId="0" applyFill="1" applyBorder="1" applyAlignment="1" applyProtection="1"/>
    <xf numFmtId="0" fontId="22" fillId="6" borderId="0" xfId="0" applyFont="1" applyFill="1" applyBorder="1" applyAlignment="1">
      <alignment horizontal="left"/>
    </xf>
    <xf numFmtId="0" fontId="4" fillId="6" borderId="9" xfId="0" applyFont="1" applyFill="1" applyBorder="1" applyAlignment="1">
      <alignment horizontal="right"/>
    </xf>
    <xf numFmtId="0" fontId="0" fillId="6" borderId="9" xfId="0" applyFill="1" applyBorder="1" applyAlignment="1">
      <alignment horizontal="right"/>
    </xf>
    <xf numFmtId="0" fontId="4" fillId="6" borderId="11" xfId="0" applyFont="1" applyFill="1" applyBorder="1" applyAlignment="1">
      <alignment horizontal="right"/>
    </xf>
    <xf numFmtId="0" fontId="43" fillId="0" borderId="21" xfId="0" applyFont="1" applyBorder="1" applyAlignment="1">
      <alignment horizontal="center" vertical="center"/>
    </xf>
    <xf numFmtId="0" fontId="43" fillId="0" borderId="2" xfId="0" applyFont="1" applyBorder="1" applyAlignment="1">
      <alignment horizontal="center" vertical="center"/>
    </xf>
    <xf numFmtId="0" fontId="43" fillId="0" borderId="22" xfId="0" applyFont="1" applyBorder="1" applyAlignment="1">
      <alignment horizontal="center" vertical="center"/>
    </xf>
    <xf numFmtId="0" fontId="43" fillId="0" borderId="8" xfId="0" applyFont="1" applyBorder="1" applyAlignment="1">
      <alignment horizontal="center" vertical="center"/>
    </xf>
    <xf numFmtId="0" fontId="44" fillId="0" borderId="1" xfId="0" applyFont="1" applyBorder="1" applyAlignment="1">
      <alignment horizontal="right" vertical="center"/>
    </xf>
    <xf numFmtId="0" fontId="44" fillId="0" borderId="0" xfId="0" applyFont="1" applyAlignment="1">
      <alignment horizontal="right" vertical="center"/>
    </xf>
    <xf numFmtId="10" fontId="44" fillId="0" borderId="0" xfId="0" applyNumberFormat="1" applyFont="1" applyAlignment="1">
      <alignment horizontal="right" vertical="center"/>
    </xf>
    <xf numFmtId="10" fontId="44" fillId="0" borderId="2" xfId="0" applyNumberFormat="1" applyFont="1" applyBorder="1" applyAlignment="1">
      <alignment horizontal="right" vertical="center"/>
    </xf>
    <xf numFmtId="3" fontId="44" fillId="0" borderId="1" xfId="0" applyNumberFormat="1" applyFont="1" applyBorder="1" applyAlignment="1">
      <alignment horizontal="right" vertical="center"/>
    </xf>
    <xf numFmtId="3" fontId="44" fillId="0" borderId="0" xfId="0" applyNumberFormat="1" applyFont="1" applyAlignment="1">
      <alignment horizontal="right" vertical="center"/>
    </xf>
    <xf numFmtId="3" fontId="44" fillId="19" borderId="1" xfId="0" applyNumberFormat="1" applyFont="1" applyFill="1" applyBorder="1" applyAlignment="1">
      <alignment horizontal="right" vertical="center"/>
    </xf>
    <xf numFmtId="3" fontId="44" fillId="19" borderId="0" xfId="0" applyNumberFormat="1" applyFont="1" applyFill="1" applyAlignment="1">
      <alignment horizontal="right" vertical="center"/>
    </xf>
    <xf numFmtId="3" fontId="44" fillId="0" borderId="6" xfId="0" applyNumberFormat="1" applyFont="1" applyBorder="1" applyAlignment="1">
      <alignment horizontal="right" vertical="center"/>
    </xf>
    <xf numFmtId="0" fontId="44" fillId="0" borderId="7" xfId="0" applyFont="1" applyBorder="1" applyAlignment="1">
      <alignment horizontal="right" vertical="center"/>
    </xf>
    <xf numFmtId="10" fontId="44" fillId="0" borderId="7" xfId="0" applyNumberFormat="1" applyFont="1" applyBorder="1" applyAlignment="1">
      <alignment horizontal="right" vertical="center"/>
    </xf>
    <xf numFmtId="9" fontId="44" fillId="0" borderId="7" xfId="0" applyNumberFormat="1" applyFont="1" applyBorder="1" applyAlignment="1">
      <alignment horizontal="right" vertical="center"/>
    </xf>
    <xf numFmtId="9" fontId="44" fillId="0" borderId="8" xfId="0" applyNumberFormat="1" applyFont="1" applyBorder="1" applyAlignment="1">
      <alignment horizontal="right" vertical="center"/>
    </xf>
    <xf numFmtId="3" fontId="44" fillId="0" borderId="7" xfId="0" applyNumberFormat="1" applyFont="1" applyBorder="1" applyAlignment="1">
      <alignment horizontal="right" vertical="center"/>
    </xf>
    <xf numFmtId="0" fontId="4" fillId="0" borderId="0" xfId="0" applyFont="1"/>
    <xf numFmtId="0" fontId="44" fillId="19" borderId="1" xfId="0" applyFont="1" applyFill="1" applyBorder="1" applyAlignment="1">
      <alignment horizontal="right" vertical="center"/>
    </xf>
    <xf numFmtId="0" fontId="44" fillId="19" borderId="0" xfId="0" applyFont="1" applyFill="1" applyAlignment="1">
      <alignment horizontal="right" vertical="center"/>
    </xf>
    <xf numFmtId="0" fontId="42" fillId="19" borderId="1" xfId="0" applyFont="1" applyFill="1" applyBorder="1"/>
    <xf numFmtId="10" fontId="0" fillId="0" borderId="0" xfId="0" applyNumberFormat="1" applyBorder="1"/>
    <xf numFmtId="0" fontId="4" fillId="0" borderId="6" xfId="0" applyFont="1" applyBorder="1" applyAlignment="1">
      <alignment horizontal="center"/>
    </xf>
    <xf numFmtId="0" fontId="3" fillId="20" borderId="28" xfId="0" applyFont="1" applyFill="1" applyBorder="1" applyAlignment="1">
      <alignment horizontal="centerContinuous" vertical="center"/>
    </xf>
    <xf numFmtId="0" fontId="0" fillId="20" borderId="28" xfId="0" applyFill="1" applyBorder="1" applyAlignment="1">
      <alignment horizontal="centerContinuous"/>
    </xf>
    <xf numFmtId="0" fontId="0" fillId="20" borderId="24" xfId="0" applyFill="1" applyBorder="1" applyAlignment="1">
      <alignment horizontal="centerContinuous"/>
    </xf>
    <xf numFmtId="0" fontId="3" fillId="20" borderId="9" xfId="0" applyFont="1" applyFill="1" applyBorder="1" applyAlignment="1">
      <alignment horizontal="center"/>
    </xf>
    <xf numFmtId="0" fontId="3" fillId="20" borderId="9" xfId="0" applyFont="1" applyFill="1" applyBorder="1" applyAlignment="1">
      <alignment horizontal="center" wrapText="1"/>
    </xf>
    <xf numFmtId="0" fontId="3" fillId="20" borderId="12" xfId="0" applyFont="1" applyFill="1" applyBorder="1" applyAlignment="1">
      <alignment horizontal="center"/>
    </xf>
    <xf numFmtId="170" fontId="0" fillId="0" borderId="0" xfId="0" applyNumberFormat="1" applyBorder="1"/>
    <xf numFmtId="16" fontId="0" fillId="2" borderId="0" xfId="0" quotePrefix="1" applyNumberFormat="1" applyFill="1" applyBorder="1" applyAlignment="1" applyProtection="1">
      <alignment horizontal="left"/>
    </xf>
    <xf numFmtId="0" fontId="0" fillId="2" borderId="0" xfId="0" quotePrefix="1" applyFill="1" applyBorder="1" applyAlignment="1" applyProtection="1">
      <alignment horizontal="left"/>
    </xf>
    <xf numFmtId="0" fontId="0" fillId="2" borderId="0" xfId="0" quotePrefix="1" applyFill="1" applyBorder="1" applyAlignment="1">
      <alignment horizontal="left"/>
    </xf>
    <xf numFmtId="0" fontId="0" fillId="2" borderId="7" xfId="0" quotePrefix="1" applyFill="1" applyBorder="1" applyAlignment="1">
      <alignment horizontal="left"/>
    </xf>
    <xf numFmtId="0" fontId="4" fillId="0" borderId="0" xfId="0" applyFont="1" applyProtection="1"/>
    <xf numFmtId="0" fontId="4" fillId="0" borderId="0" xfId="0" applyFont="1" applyFill="1" applyBorder="1"/>
    <xf numFmtId="0" fontId="4" fillId="0" borderId="0" xfId="0" applyFont="1" applyAlignment="1">
      <alignment horizontal="right"/>
    </xf>
    <xf numFmtId="0" fontId="4" fillId="0" borderId="1" xfId="0" applyFont="1" applyBorder="1"/>
    <xf numFmtId="0" fontId="4" fillId="0" borderId="0" xfId="0" applyFont="1" applyBorder="1"/>
    <xf numFmtId="0" fontId="0" fillId="0" borderId="0" xfId="0" applyBorder="1"/>
    <xf numFmtId="0" fontId="0" fillId="0" borderId="2" xfId="0" applyBorder="1"/>
    <xf numFmtId="0" fontId="0" fillId="0" borderId="6" xfId="0" applyBorder="1"/>
    <xf numFmtId="0" fontId="0" fillId="0" borderId="7" xfId="0" applyBorder="1"/>
    <xf numFmtId="0" fontId="3" fillId="13" borderId="23" xfId="0" applyFont="1" applyFill="1" applyBorder="1"/>
    <xf numFmtId="0" fontId="3" fillId="13" borderId="28" xfId="0" applyFont="1" applyFill="1" applyBorder="1"/>
    <xf numFmtId="0" fontId="0" fillId="13" borderId="28" xfId="0" applyFill="1" applyBorder="1"/>
    <xf numFmtId="0" fontId="3" fillId="13" borderId="24" xfId="0" applyFont="1" applyFill="1" applyBorder="1"/>
    <xf numFmtId="170" fontId="0" fillId="0" borderId="2" xfId="0" applyNumberFormat="1" applyBorder="1" applyAlignment="1">
      <alignment horizontal="center" vertical="center"/>
    </xf>
    <xf numFmtId="0" fontId="4" fillId="0" borderId="38" xfId="0" applyFont="1" applyBorder="1" applyAlignment="1">
      <alignment horizontal="right"/>
    </xf>
    <xf numFmtId="169" fontId="0" fillId="0" borderId="2" xfId="0" applyNumberFormat="1" applyBorder="1" applyAlignment="1">
      <alignment horizontal="center" vertical="center"/>
    </xf>
    <xf numFmtId="0" fontId="46" fillId="4" borderId="0" xfId="0" applyFont="1" applyFill="1" applyBorder="1" applyAlignment="1" applyProtection="1">
      <alignment horizontal="left"/>
      <protection hidden="1"/>
    </xf>
    <xf numFmtId="0" fontId="9" fillId="4" borderId="0" xfId="0" applyFont="1" applyFill="1" applyBorder="1" applyAlignment="1" applyProtection="1">
      <alignment horizontal="right"/>
      <protection hidden="1"/>
    </xf>
    <xf numFmtId="0" fontId="0" fillId="6" borderId="37" xfId="0" applyFill="1" applyBorder="1" applyAlignment="1">
      <alignment horizontal="right"/>
    </xf>
    <xf numFmtId="0" fontId="0" fillId="6" borderId="35" xfId="0" applyFill="1" applyBorder="1"/>
    <xf numFmtId="0" fontId="0" fillId="6" borderId="47" xfId="0" applyFill="1" applyBorder="1" applyProtection="1"/>
    <xf numFmtId="164" fontId="5" fillId="14" borderId="0" xfId="0" applyNumberFormat="1" applyFont="1" applyFill="1" applyBorder="1" applyProtection="1"/>
    <xf numFmtId="5" fontId="6" fillId="13" borderId="0" xfId="0" applyNumberFormat="1" applyFont="1" applyFill="1" applyBorder="1" applyProtection="1"/>
    <xf numFmtId="0" fontId="0" fillId="22" borderId="0" xfId="0" applyFill="1" applyBorder="1" applyProtection="1"/>
    <xf numFmtId="170" fontId="0" fillId="6" borderId="0" xfId="2" applyNumberFormat="1" applyFont="1" applyFill="1" applyBorder="1"/>
    <xf numFmtId="170" fontId="0" fillId="6" borderId="2" xfId="2" applyNumberFormat="1" applyFont="1" applyFill="1" applyBorder="1"/>
    <xf numFmtId="0" fontId="6" fillId="4" borderId="0" xfId="0" applyFont="1" applyFill="1" applyBorder="1" applyAlignment="1" applyProtection="1">
      <alignment horizontal="left"/>
      <protection hidden="1"/>
    </xf>
    <xf numFmtId="0" fontId="0" fillId="0" borderId="0" xfId="0" applyAlignment="1">
      <alignment wrapText="1"/>
    </xf>
    <xf numFmtId="0" fontId="0" fillId="0" borderId="0" xfId="0" applyAlignment="1">
      <alignment vertical="top"/>
    </xf>
    <xf numFmtId="0" fontId="0" fillId="0" borderId="0" xfId="0" applyAlignment="1">
      <alignment vertical="top" wrapText="1"/>
    </xf>
    <xf numFmtId="170" fontId="0" fillId="14" borderId="10" xfId="0" applyNumberFormat="1" applyFill="1" applyBorder="1" applyAlignment="1">
      <alignment vertical="top"/>
    </xf>
    <xf numFmtId="170" fontId="0" fillId="0" borderId="0" xfId="0" applyNumberFormat="1" applyAlignment="1">
      <alignment vertical="top"/>
    </xf>
    <xf numFmtId="0" fontId="4" fillId="0" borderId="0" xfId="0" applyFont="1" applyAlignment="1">
      <alignment wrapText="1"/>
    </xf>
    <xf numFmtId="0" fontId="0" fillId="22" borderId="31" xfId="0" applyFill="1" applyBorder="1"/>
    <xf numFmtId="0" fontId="0" fillId="22" borderId="34" xfId="0" applyFill="1" applyBorder="1"/>
    <xf numFmtId="0" fontId="4" fillId="22" borderId="35" xfId="0" applyFont="1" applyFill="1" applyBorder="1"/>
    <xf numFmtId="0" fontId="4" fillId="22" borderId="35" xfId="0" applyFont="1" applyFill="1" applyBorder="1" applyAlignment="1">
      <alignment horizontal="left"/>
    </xf>
    <xf numFmtId="0" fontId="0" fillId="22" borderId="36" xfId="0" applyFill="1" applyBorder="1"/>
    <xf numFmtId="0" fontId="4" fillId="22" borderId="37" xfId="0" applyFont="1" applyFill="1" applyBorder="1"/>
    <xf numFmtId="0" fontId="3" fillId="22" borderId="33" xfId="0" applyFont="1" applyFill="1" applyBorder="1"/>
    <xf numFmtId="170" fontId="0" fillId="0" borderId="48" xfId="0" applyNumberFormat="1" applyBorder="1" applyAlignment="1">
      <alignment vertical="center"/>
    </xf>
    <xf numFmtId="170" fontId="0" fillId="0" borderId="0" xfId="0" applyNumberFormat="1" applyAlignment="1">
      <alignment vertical="center"/>
    </xf>
    <xf numFmtId="0" fontId="3" fillId="0" borderId="0" xfId="0" applyFont="1" applyAlignment="1">
      <alignment horizontal="right"/>
    </xf>
    <xf numFmtId="0" fontId="3" fillId="22" borderId="31" xfId="0" applyFont="1" applyFill="1" applyBorder="1" applyAlignment="1">
      <alignment horizontal="right"/>
    </xf>
    <xf numFmtId="0" fontId="3" fillId="22" borderId="33" xfId="0" applyFont="1" applyFill="1" applyBorder="1" applyAlignment="1">
      <alignment horizontal="right"/>
    </xf>
    <xf numFmtId="0" fontId="3" fillId="0" borderId="0" xfId="0" applyFont="1" applyAlignment="1">
      <alignment horizontal="right" wrapText="1"/>
    </xf>
    <xf numFmtId="0" fontId="0" fillId="0" borderId="0" xfId="0" applyAlignment="1">
      <alignment horizontal="left"/>
    </xf>
    <xf numFmtId="0" fontId="4" fillId="0" borderId="0" xfId="0" applyFont="1" applyAlignment="1">
      <alignment vertical="top" wrapText="1"/>
    </xf>
    <xf numFmtId="0" fontId="3" fillId="0" borderId="0" xfId="0" quotePrefix="1" applyFont="1" applyAlignment="1">
      <alignment wrapText="1"/>
    </xf>
    <xf numFmtId="170" fontId="3" fillId="24" borderId="48" xfId="0" applyNumberFormat="1" applyFont="1" applyFill="1" applyBorder="1" applyAlignment="1">
      <alignment vertical="center"/>
    </xf>
    <xf numFmtId="170" fontId="0" fillId="0" borderId="10" xfId="0" applyNumberFormat="1" applyBorder="1"/>
    <xf numFmtId="170" fontId="0" fillId="14" borderId="10" xfId="0" applyNumberFormat="1" applyFill="1" applyBorder="1" applyAlignment="1">
      <alignment vertical="center"/>
    </xf>
    <xf numFmtId="0" fontId="3" fillId="0" borderId="0" xfId="0" applyFont="1" applyFill="1" applyBorder="1"/>
    <xf numFmtId="0" fontId="0" fillId="25" borderId="0" xfId="0" applyFill="1" applyProtection="1"/>
    <xf numFmtId="0" fontId="4" fillId="23" borderId="10" xfId="0" applyFont="1" applyFill="1" applyBorder="1" applyAlignment="1">
      <alignment vertical="top" wrapText="1"/>
    </xf>
    <xf numFmtId="170" fontId="0" fillId="26" borderId="0" xfId="0" applyNumberFormat="1" applyFill="1"/>
    <xf numFmtId="0" fontId="0" fillId="26" borderId="0" xfId="0" applyFill="1"/>
    <xf numFmtId="170" fontId="0" fillId="0" borderId="0" xfId="0" applyNumberFormat="1" applyFill="1" applyBorder="1" applyAlignment="1"/>
    <xf numFmtId="0" fontId="4" fillId="0" borderId="0" xfId="0" applyFont="1" applyAlignment="1">
      <alignment horizontal="right" wrapText="1"/>
    </xf>
    <xf numFmtId="170" fontId="0" fillId="14" borderId="10" xfId="0" applyNumberFormat="1" applyFill="1" applyBorder="1"/>
    <xf numFmtId="0" fontId="22" fillId="0" borderId="0" xfId="0" applyFont="1"/>
    <xf numFmtId="0" fontId="0" fillId="0" borderId="34" xfId="0" applyBorder="1"/>
    <xf numFmtId="6" fontId="0" fillId="0" borderId="0" xfId="0" applyNumberFormat="1" applyBorder="1"/>
    <xf numFmtId="6" fontId="0" fillId="0" borderId="35" xfId="0" applyNumberFormat="1" applyBorder="1"/>
    <xf numFmtId="0" fontId="0" fillId="0" borderId="36" xfId="0" applyBorder="1"/>
    <xf numFmtId="0" fontId="4" fillId="0" borderId="9" xfId="0" applyFont="1" applyBorder="1"/>
    <xf numFmtId="6" fontId="0" fillId="0" borderId="9" xfId="0" applyNumberFormat="1" applyBorder="1"/>
    <xf numFmtId="6" fontId="0" fillId="0" borderId="37" xfId="0" applyNumberFormat="1" applyBorder="1"/>
    <xf numFmtId="0" fontId="0" fillId="27" borderId="31" xfId="0" applyFill="1" applyBorder="1"/>
    <xf numFmtId="0" fontId="47" fillId="27" borderId="32" xfId="0" applyFont="1" applyFill="1" applyBorder="1"/>
    <xf numFmtId="0" fontId="47" fillId="27" borderId="32" xfId="0" applyFont="1" applyFill="1" applyBorder="1" applyAlignment="1">
      <alignment horizontal="right"/>
    </xf>
    <xf numFmtId="0" fontId="47" fillId="27" borderId="33" xfId="0" applyFont="1" applyFill="1" applyBorder="1" applyAlignment="1">
      <alignment horizontal="right"/>
    </xf>
    <xf numFmtId="170" fontId="0" fillId="28" borderId="10" xfId="0" applyNumberFormat="1" applyFill="1" applyBorder="1"/>
    <xf numFmtId="5" fontId="28" fillId="0" borderId="9" xfId="0" applyNumberFormat="1" applyFont="1" applyBorder="1" applyProtection="1"/>
    <xf numFmtId="0" fontId="48" fillId="0" borderId="1" xfId="0" applyFont="1" applyBorder="1" applyProtection="1"/>
    <xf numFmtId="5" fontId="48" fillId="0" borderId="0" xfId="0" applyNumberFormat="1" applyFont="1" applyBorder="1" applyProtection="1"/>
    <xf numFmtId="0" fontId="7" fillId="4" borderId="0" xfId="0" applyFont="1" applyFill="1" applyBorder="1" applyAlignment="1" applyProtection="1">
      <alignment horizontal="right"/>
      <protection hidden="1"/>
    </xf>
    <xf numFmtId="176" fontId="49" fillId="0" borderId="15" xfId="0" applyNumberFormat="1" applyFont="1" applyBorder="1" applyAlignment="1">
      <alignment horizontal="center" vertical="center"/>
    </xf>
    <xf numFmtId="172" fontId="0" fillId="0" borderId="0" xfId="0" applyNumberFormat="1" applyProtection="1"/>
    <xf numFmtId="0" fontId="4" fillId="14" borderId="0" xfId="0" applyFont="1" applyFill="1" applyBorder="1"/>
    <xf numFmtId="0" fontId="6" fillId="0" borderId="4" xfId="0" applyFont="1" applyBorder="1" applyAlignment="1" applyProtection="1">
      <alignment horizontal="center"/>
    </xf>
    <xf numFmtId="0" fontId="10" fillId="0" borderId="0" xfId="0" applyFont="1" applyAlignment="1">
      <alignment horizontal="center"/>
    </xf>
    <xf numFmtId="9" fontId="0" fillId="0" borderId="0" xfId="0" applyNumberFormat="1"/>
    <xf numFmtId="1" fontId="0" fillId="0" borderId="0" xfId="0" applyNumberFormat="1"/>
    <xf numFmtId="0" fontId="0" fillId="29" borderId="0" xfId="0" applyFill="1" applyBorder="1" applyAlignment="1">
      <alignment horizontal="right"/>
    </xf>
    <xf numFmtId="0" fontId="29" fillId="29" borderId="0" xfId="0" applyFont="1" applyFill="1" applyBorder="1" applyAlignment="1">
      <alignment horizontal="right"/>
    </xf>
    <xf numFmtId="0" fontId="0" fillId="29" borderId="0" xfId="0" applyFill="1" applyBorder="1"/>
    <xf numFmtId="5" fontId="0" fillId="29" borderId="0" xfId="0" applyNumberFormat="1" applyFill="1" applyProtection="1"/>
    <xf numFmtId="0" fontId="0" fillId="0" borderId="0" xfId="0" applyBorder="1" applyAlignment="1">
      <alignment horizontal="center"/>
    </xf>
    <xf numFmtId="170" fontId="7" fillId="2" borderId="0" xfId="0" applyNumberFormat="1" applyFont="1" applyFill="1" applyBorder="1" applyProtection="1">
      <protection hidden="1"/>
    </xf>
    <xf numFmtId="169" fontId="0" fillId="0" borderId="0" xfId="0" applyNumberFormat="1"/>
    <xf numFmtId="1" fontId="0" fillId="2" borderId="0" xfId="0" applyNumberFormat="1" applyFill="1" applyBorder="1"/>
    <xf numFmtId="0" fontId="4" fillId="2" borderId="1" xfId="0" applyFont="1" applyFill="1" applyBorder="1" applyAlignment="1">
      <alignment horizontal="left"/>
    </xf>
    <xf numFmtId="0" fontId="3" fillId="22" borderId="1" xfId="0" applyFont="1" applyFill="1" applyBorder="1" applyAlignment="1" applyProtection="1">
      <alignment horizontal="right"/>
    </xf>
    <xf numFmtId="0" fontId="3" fillId="22" borderId="6" xfId="0" applyFont="1" applyFill="1" applyBorder="1" applyAlignment="1" applyProtection="1">
      <alignment horizontal="right"/>
    </xf>
    <xf numFmtId="0" fontId="0" fillId="15" borderId="28" xfId="0" applyFill="1" applyBorder="1" applyAlignment="1" applyProtection="1">
      <alignment horizontal="right"/>
    </xf>
    <xf numFmtId="0" fontId="0" fillId="15" borderId="28" xfId="0" applyFill="1" applyBorder="1" applyAlignment="1">
      <alignment horizontal="right"/>
    </xf>
    <xf numFmtId="0" fontId="0" fillId="15" borderId="24" xfId="0" applyFill="1" applyBorder="1" applyAlignment="1">
      <alignment horizontal="right"/>
    </xf>
    <xf numFmtId="0" fontId="3" fillId="15" borderId="1" xfId="0" applyFont="1" applyFill="1" applyBorder="1" applyAlignment="1" applyProtection="1">
      <alignment horizontal="right"/>
    </xf>
    <xf numFmtId="0" fontId="0" fillId="15" borderId="0" xfId="0" applyFill="1" applyBorder="1" applyProtection="1"/>
    <xf numFmtId="0" fontId="0" fillId="15" borderId="2" xfId="0" applyFill="1" applyBorder="1" applyProtection="1"/>
    <xf numFmtId="0" fontId="3" fillId="15" borderId="6" xfId="0" applyFont="1" applyFill="1" applyBorder="1" applyAlignment="1" applyProtection="1">
      <alignment horizontal="right"/>
    </xf>
    <xf numFmtId="0" fontId="3" fillId="15" borderId="3" xfId="0" applyFont="1" applyFill="1" applyBorder="1" applyAlignment="1" applyProtection="1">
      <alignment horizontal="center"/>
    </xf>
    <xf numFmtId="0" fontId="0" fillId="22" borderId="3" xfId="0" applyFill="1" applyBorder="1" applyProtection="1"/>
    <xf numFmtId="0" fontId="3" fillId="22" borderId="4" xfId="0" applyFont="1" applyFill="1" applyBorder="1" applyAlignment="1" applyProtection="1">
      <alignment horizontal="right"/>
    </xf>
    <xf numFmtId="0" fontId="3" fillId="22" borderId="5" xfId="0" applyFont="1" applyFill="1" applyBorder="1" applyAlignment="1" applyProtection="1">
      <alignment horizontal="right"/>
    </xf>
    <xf numFmtId="0" fontId="0" fillId="22" borderId="7" xfId="0" applyFill="1" applyBorder="1" applyProtection="1"/>
    <xf numFmtId="0" fontId="3" fillId="30" borderId="3" xfId="0" applyFont="1" applyFill="1" applyBorder="1" applyAlignment="1" applyProtection="1">
      <alignment horizontal="center"/>
    </xf>
    <xf numFmtId="0" fontId="0" fillId="30" borderId="28" xfId="0" applyFill="1" applyBorder="1" applyAlignment="1" applyProtection="1">
      <alignment horizontal="right"/>
    </xf>
    <xf numFmtId="0" fontId="0" fillId="30" borderId="28" xfId="0" applyFill="1" applyBorder="1" applyAlignment="1">
      <alignment horizontal="right"/>
    </xf>
    <xf numFmtId="0" fontId="0" fillId="30" borderId="24" xfId="0" applyFill="1" applyBorder="1" applyAlignment="1">
      <alignment horizontal="right"/>
    </xf>
    <xf numFmtId="0" fontId="3" fillId="30" borderId="6" xfId="0" applyFont="1" applyFill="1" applyBorder="1" applyAlignment="1" applyProtection="1">
      <alignment horizontal="right"/>
    </xf>
    <xf numFmtId="0" fontId="0" fillId="30" borderId="7" xfId="0" applyFill="1" applyBorder="1" applyProtection="1"/>
    <xf numFmtId="0" fontId="0" fillId="30" borderId="8" xfId="0" applyFill="1" applyBorder="1" applyProtection="1"/>
    <xf numFmtId="14" fontId="0" fillId="2" borderId="0" xfId="0" applyNumberFormat="1" applyFill="1" applyBorder="1" applyProtection="1"/>
    <xf numFmtId="0" fontId="3" fillId="30" borderId="1" xfId="0" applyFont="1" applyFill="1" applyBorder="1" applyAlignment="1" applyProtection="1">
      <alignment horizontal="right"/>
    </xf>
    <xf numFmtId="0" fontId="0" fillId="30" borderId="32" xfId="0" applyFill="1" applyBorder="1" applyProtection="1"/>
    <xf numFmtId="0" fontId="0" fillId="30" borderId="16" xfId="0" applyFill="1" applyBorder="1" applyProtection="1"/>
    <xf numFmtId="0" fontId="0" fillId="30" borderId="0" xfId="0" applyFill="1" applyBorder="1" applyProtection="1"/>
    <xf numFmtId="0" fontId="0" fillId="30" borderId="2" xfId="0" applyFill="1" applyBorder="1" applyProtection="1"/>
    <xf numFmtId="5" fontId="0" fillId="28" borderId="0" xfId="0" applyNumberFormat="1" applyFill="1" applyProtection="1"/>
    <xf numFmtId="7" fontId="0" fillId="0" borderId="7" xfId="0" applyNumberFormat="1" applyBorder="1" applyProtection="1"/>
    <xf numFmtId="5" fontId="0" fillId="14" borderId="0" xfId="0" applyNumberFormat="1" applyFill="1"/>
    <xf numFmtId="5" fontId="7" fillId="2" borderId="2" xfId="0" applyNumberFormat="1" applyFont="1" applyFill="1" applyBorder="1" applyProtection="1">
      <protection hidden="1"/>
    </xf>
    <xf numFmtId="5" fontId="6" fillId="2" borderId="2" xfId="0" applyNumberFormat="1" applyFont="1" applyFill="1" applyBorder="1" applyProtection="1">
      <protection hidden="1"/>
    </xf>
    <xf numFmtId="5" fontId="6" fillId="6" borderId="2" xfId="0" applyNumberFormat="1" applyFont="1" applyFill="1" applyBorder="1" applyProtection="1">
      <protection hidden="1"/>
    </xf>
    <xf numFmtId="5" fontId="6" fillId="6" borderId="8" xfId="0" applyNumberFormat="1" applyFont="1" applyFill="1" applyBorder="1" applyProtection="1">
      <protection hidden="1"/>
    </xf>
    <xf numFmtId="0" fontId="0" fillId="15" borderId="0" xfId="0" applyFill="1"/>
    <xf numFmtId="0" fontId="0" fillId="22" borderId="0" xfId="0" applyFill="1"/>
    <xf numFmtId="14" fontId="0" fillId="15" borderId="0" xfId="0" applyNumberFormat="1" applyFill="1"/>
    <xf numFmtId="7" fontId="5" fillId="0" borderId="0" xfId="0" quotePrefix="1" applyNumberFormat="1" applyFont="1" applyBorder="1" applyProtection="1"/>
    <xf numFmtId="172" fontId="0" fillId="22" borderId="2" xfId="0" applyNumberFormat="1" applyFill="1" applyBorder="1" applyProtection="1"/>
    <xf numFmtId="172" fontId="0" fillId="22" borderId="8" xfId="0" applyNumberFormat="1" applyFill="1" applyBorder="1" applyProtection="1"/>
    <xf numFmtId="172" fontId="0" fillId="22" borderId="0" xfId="0" applyNumberFormat="1" applyFill="1" applyBorder="1" applyProtection="1"/>
    <xf numFmtId="172" fontId="0" fillId="22" borderId="7" xfId="0" applyNumberFormat="1" applyFill="1" applyBorder="1" applyProtection="1"/>
    <xf numFmtId="0" fontId="3" fillId="0" borderId="0" xfId="0" applyFont="1" applyAlignment="1">
      <alignment vertical="top"/>
    </xf>
    <xf numFmtId="0" fontId="3" fillId="0" borderId="0" xfId="0" applyFont="1" applyAlignment="1">
      <alignment wrapText="1"/>
    </xf>
    <xf numFmtId="0" fontId="3" fillId="28" borderId="0" xfId="0" applyFont="1" applyFill="1" applyAlignment="1">
      <alignment horizontal="center"/>
    </xf>
    <xf numFmtId="0" fontId="3" fillId="28" borderId="10" xfId="0" applyFont="1" applyFill="1" applyBorder="1" applyAlignment="1">
      <alignment horizontal="center"/>
    </xf>
    <xf numFmtId="0" fontId="0" fillId="0" borderId="37" xfId="0" applyBorder="1"/>
    <xf numFmtId="9" fontId="0" fillId="14" borderId="0" xfId="4" applyFont="1" applyFill="1"/>
    <xf numFmtId="5" fontId="0" fillId="0" borderId="48" xfId="0" applyNumberFormat="1" applyBorder="1"/>
    <xf numFmtId="5" fontId="0" fillId="29" borderId="48" xfId="0" applyNumberFormat="1" applyFill="1" applyBorder="1"/>
    <xf numFmtId="0" fontId="5" fillId="0" borderId="4" xfId="0" applyFont="1" applyFill="1" applyBorder="1" applyAlignment="1" applyProtection="1">
      <alignment horizontal="left"/>
    </xf>
    <xf numFmtId="0" fontId="0" fillId="0" borderId="36" xfId="0" applyBorder="1" applyAlignment="1">
      <alignment horizontal="center"/>
    </xf>
    <xf numFmtId="0" fontId="0" fillId="0" borderId="9" xfId="0" applyBorder="1"/>
    <xf numFmtId="0" fontId="3" fillId="28" borderId="0" xfId="0" applyFont="1" applyFill="1" applyAlignment="1">
      <alignment wrapText="1"/>
    </xf>
    <xf numFmtId="0" fontId="4" fillId="14" borderId="0" xfId="0" applyFont="1" applyFill="1" applyAlignment="1">
      <alignment wrapText="1"/>
    </xf>
    <xf numFmtId="177" fontId="0" fillId="0" borderId="0" xfId="0" applyNumberFormat="1" applyAlignment="1" applyProtection="1">
      <alignment horizontal="left"/>
    </xf>
    <xf numFmtId="0" fontId="6" fillId="0" borderId="4" xfId="0" applyFont="1" applyBorder="1" applyAlignment="1" applyProtection="1">
      <alignment horizontal="center"/>
    </xf>
    <xf numFmtId="0" fontId="15" fillId="24" borderId="1" xfId="0" applyFont="1" applyFill="1" applyBorder="1" applyAlignment="1" applyProtection="1">
      <alignment horizontal="left"/>
      <protection hidden="1"/>
    </xf>
    <xf numFmtId="0" fontId="15" fillId="24" borderId="0" xfId="0" applyFont="1" applyFill="1" applyBorder="1" applyAlignment="1" applyProtection="1">
      <alignment horizontal="left"/>
      <protection hidden="1"/>
    </xf>
    <xf numFmtId="0" fontId="7" fillId="24" borderId="0" xfId="0" applyFont="1" applyFill="1" applyBorder="1" applyAlignment="1" applyProtection="1">
      <alignment horizontal="left"/>
      <protection hidden="1"/>
    </xf>
    <xf numFmtId="0" fontId="18" fillId="24" borderId="1" xfId="0" applyFont="1" applyFill="1" applyBorder="1" applyAlignment="1" applyProtection="1">
      <alignment horizontal="left"/>
      <protection hidden="1"/>
    </xf>
    <xf numFmtId="0" fontId="6" fillId="24" borderId="0" xfId="0" applyFont="1" applyFill="1" applyBorder="1" applyAlignment="1" applyProtection="1">
      <alignment horizontal="right"/>
      <protection hidden="1"/>
    </xf>
    <xf numFmtId="0" fontId="11" fillId="24" borderId="2" xfId="0" applyFont="1" applyFill="1" applyBorder="1" applyProtection="1">
      <protection hidden="1"/>
    </xf>
    <xf numFmtId="0" fontId="11" fillId="24" borderId="0" xfId="0" applyFont="1" applyFill="1" applyBorder="1" applyProtection="1">
      <protection hidden="1"/>
    </xf>
    <xf numFmtId="0" fontId="18" fillId="24" borderId="0" xfId="0" applyFont="1" applyFill="1" applyBorder="1" applyAlignment="1" applyProtection="1">
      <alignment horizontal="left"/>
      <protection hidden="1"/>
    </xf>
    <xf numFmtId="14" fontId="7" fillId="21" borderId="10" xfId="0" applyNumberFormat="1" applyFont="1" applyFill="1" applyBorder="1" applyAlignment="1" applyProtection="1">
      <alignment horizontal="center" vertical="center"/>
      <protection locked="0" hidden="1"/>
    </xf>
    <xf numFmtId="0" fontId="7" fillId="24" borderId="1" xfId="0" applyFont="1" applyFill="1" applyBorder="1" applyAlignment="1" applyProtection="1">
      <alignment horizontal="left"/>
      <protection hidden="1"/>
    </xf>
    <xf numFmtId="0" fontId="7" fillId="24" borderId="0" xfId="0" applyFont="1" applyFill="1" applyBorder="1" applyAlignment="1" applyProtection="1">
      <alignment horizontal="right"/>
      <protection hidden="1"/>
    </xf>
    <xf numFmtId="0" fontId="6" fillId="24" borderId="3" xfId="0" applyFont="1" applyFill="1" applyBorder="1" applyAlignment="1" applyProtection="1">
      <alignment horizontal="right"/>
      <protection hidden="1"/>
    </xf>
    <xf numFmtId="0" fontId="7" fillId="24" borderId="1" xfId="0" applyFont="1" applyFill="1" applyBorder="1" applyAlignment="1" applyProtection="1">
      <alignment horizontal="right"/>
      <protection hidden="1"/>
    </xf>
    <xf numFmtId="0" fontId="7" fillId="24" borderId="6" xfId="0" applyFont="1" applyFill="1" applyBorder="1" applyAlignment="1" applyProtection="1">
      <alignment horizontal="right"/>
      <protection hidden="1"/>
    </xf>
    <xf numFmtId="0" fontId="6" fillId="31" borderId="3" xfId="0" applyFont="1" applyFill="1" applyBorder="1" applyAlignment="1" applyProtection="1">
      <alignment horizontal="right"/>
      <protection hidden="1"/>
    </xf>
    <xf numFmtId="0" fontId="7" fillId="31" borderId="1" xfId="0" applyFont="1" applyFill="1" applyBorder="1" applyAlignment="1" applyProtection="1">
      <alignment horizontal="right"/>
      <protection hidden="1"/>
    </xf>
    <xf numFmtId="0" fontId="7" fillId="31" borderId="6" xfId="0" applyFont="1" applyFill="1" applyBorder="1" applyAlignment="1" applyProtection="1">
      <alignment horizontal="right"/>
      <protection hidden="1"/>
    </xf>
    <xf numFmtId="0" fontId="7" fillId="4" borderId="1" xfId="0" applyFont="1" applyFill="1" applyBorder="1" applyAlignment="1" applyProtection="1">
      <alignment horizontal="left" vertical="center"/>
      <protection hidden="1"/>
    </xf>
    <xf numFmtId="0" fontId="15" fillId="31" borderId="1" xfId="0" applyFont="1" applyFill="1" applyBorder="1" applyAlignment="1" applyProtection="1">
      <alignment horizontal="left"/>
      <protection hidden="1"/>
    </xf>
    <xf numFmtId="0" fontId="15" fillId="31" borderId="0" xfId="0" applyFont="1" applyFill="1" applyBorder="1" applyAlignment="1" applyProtection="1">
      <alignment horizontal="left"/>
      <protection hidden="1"/>
    </xf>
    <xf numFmtId="0" fontId="7" fillId="31" borderId="0" xfId="0" applyFont="1" applyFill="1" applyBorder="1" applyAlignment="1" applyProtection="1">
      <alignment horizontal="left"/>
      <protection hidden="1"/>
    </xf>
    <xf numFmtId="0" fontId="11" fillId="31" borderId="2" xfId="0" applyFont="1" applyFill="1" applyBorder="1" applyProtection="1">
      <protection hidden="1"/>
    </xf>
    <xf numFmtId="0" fontId="18" fillId="31" borderId="1" xfId="0" applyFont="1" applyFill="1" applyBorder="1" applyAlignment="1" applyProtection="1">
      <alignment horizontal="left"/>
      <protection hidden="1"/>
    </xf>
    <xf numFmtId="0" fontId="6" fillId="31" borderId="0" xfId="0" applyFont="1" applyFill="1" applyBorder="1" applyAlignment="1" applyProtection="1">
      <alignment horizontal="right"/>
      <protection hidden="1"/>
    </xf>
    <xf numFmtId="0" fontId="11" fillId="31" borderId="0" xfId="0" applyFont="1" applyFill="1" applyBorder="1" applyProtection="1">
      <protection hidden="1"/>
    </xf>
    <xf numFmtId="0" fontId="18" fillId="31" borderId="0" xfId="0" applyFont="1" applyFill="1" applyBorder="1" applyAlignment="1" applyProtection="1">
      <alignment horizontal="left"/>
      <protection hidden="1"/>
    </xf>
    <xf numFmtId="0" fontId="7" fillId="31" borderId="1" xfId="0" applyFont="1" applyFill="1" applyBorder="1" applyAlignment="1" applyProtection="1">
      <alignment horizontal="left"/>
      <protection hidden="1"/>
    </xf>
    <xf numFmtId="0" fontId="7" fillId="31" borderId="0" xfId="0" applyFont="1" applyFill="1" applyBorder="1" applyAlignment="1" applyProtection="1">
      <alignment horizontal="right"/>
      <protection hidden="1"/>
    </xf>
    <xf numFmtId="0" fontId="34" fillId="24" borderId="0" xfId="0" applyFont="1" applyFill="1" applyBorder="1" applyAlignment="1">
      <alignment horizontal="center" vertical="center"/>
    </xf>
    <xf numFmtId="0" fontId="6" fillId="24" borderId="2" xfId="0" applyFont="1" applyFill="1" applyBorder="1" applyAlignment="1" applyProtection="1">
      <alignment horizontal="right"/>
      <protection hidden="1"/>
    </xf>
    <xf numFmtId="0" fontId="0" fillId="24" borderId="1" xfId="0" applyFill="1" applyBorder="1"/>
    <xf numFmtId="0" fontId="0" fillId="24" borderId="0" xfId="0" applyFill="1" applyBorder="1"/>
    <xf numFmtId="0" fontId="0" fillId="24" borderId="2" xfId="0" applyFill="1" applyBorder="1"/>
    <xf numFmtId="0" fontId="12" fillId="24" borderId="0" xfId="0" applyFont="1" applyFill="1" applyBorder="1" applyAlignment="1">
      <alignment horizontal="left"/>
    </xf>
    <xf numFmtId="0" fontId="0" fillId="24" borderId="6" xfId="0" applyFill="1" applyBorder="1"/>
    <xf numFmtId="0" fontId="0" fillId="24" borderId="7" xfId="0" applyFill="1" applyBorder="1"/>
    <xf numFmtId="0" fontId="0" fillId="24" borderId="8" xfId="0" applyFill="1" applyBorder="1"/>
    <xf numFmtId="0" fontId="7" fillId="32" borderId="15" xfId="0" applyFont="1" applyFill="1" applyBorder="1" applyAlignment="1" applyProtection="1">
      <alignment horizontal="left" wrapText="1"/>
      <protection hidden="1"/>
    </xf>
    <xf numFmtId="0" fontId="34" fillId="24" borderId="56" xfId="0" applyFont="1" applyFill="1" applyBorder="1" applyAlignment="1">
      <alignment horizontal="left" vertical="center"/>
    </xf>
    <xf numFmtId="0" fontId="34" fillId="31" borderId="3" xfId="0" applyFont="1" applyFill="1" applyBorder="1" applyAlignment="1">
      <alignment horizontal="left" vertical="center"/>
    </xf>
    <xf numFmtId="0" fontId="34" fillId="31" borderId="4" xfId="0" applyFont="1" applyFill="1" applyBorder="1" applyAlignment="1">
      <alignment horizontal="center" vertical="center"/>
    </xf>
    <xf numFmtId="0" fontId="6" fillId="31" borderId="4" xfId="0" applyFont="1" applyFill="1" applyBorder="1" applyAlignment="1" applyProtection="1">
      <alignment horizontal="right"/>
      <protection hidden="1"/>
    </xf>
    <xf numFmtId="0" fontId="6" fillId="31" borderId="5" xfId="0" applyFont="1" applyFill="1" applyBorder="1" applyAlignment="1" applyProtection="1">
      <alignment horizontal="right"/>
      <protection hidden="1"/>
    </xf>
    <xf numFmtId="0" fontId="0" fillId="31" borderId="1" xfId="0" applyFill="1" applyBorder="1"/>
    <xf numFmtId="0" fontId="0" fillId="31" borderId="0" xfId="0" applyFill="1" applyBorder="1"/>
    <xf numFmtId="0" fontId="0" fillId="31" borderId="2" xfId="0" applyFill="1" applyBorder="1"/>
    <xf numFmtId="0" fontId="0" fillId="31" borderId="6" xfId="0" applyFill="1" applyBorder="1"/>
    <xf numFmtId="0" fontId="0" fillId="31" borderId="7" xfId="0" applyFill="1" applyBorder="1"/>
    <xf numFmtId="0" fontId="0" fillId="31" borderId="8" xfId="0" applyFill="1" applyBorder="1"/>
    <xf numFmtId="0" fontId="7" fillId="31" borderId="4" xfId="0" applyFont="1" applyFill="1" applyBorder="1" applyAlignment="1" applyProtection="1">
      <alignment horizontal="right"/>
      <protection hidden="1"/>
    </xf>
    <xf numFmtId="0" fontId="7" fillId="31" borderId="5" xfId="0" applyFont="1" applyFill="1" applyBorder="1" applyAlignment="1" applyProtection="1">
      <alignment horizontal="right"/>
      <protection hidden="1"/>
    </xf>
    <xf numFmtId="0" fontId="7" fillId="24" borderId="4" xfId="0" applyFont="1" applyFill="1" applyBorder="1" applyAlignment="1" applyProtection="1">
      <alignment horizontal="right"/>
      <protection hidden="1"/>
    </xf>
    <xf numFmtId="0" fontId="7" fillId="24" borderId="5" xfId="0" applyFont="1" applyFill="1" applyBorder="1" applyAlignment="1" applyProtection="1">
      <alignment horizontal="right"/>
      <protection hidden="1"/>
    </xf>
    <xf numFmtId="0" fontId="7" fillId="31" borderId="11" xfId="0" applyFont="1" applyFill="1" applyBorder="1" applyAlignment="1" applyProtection="1">
      <alignment horizontal="left"/>
      <protection hidden="1"/>
    </xf>
    <xf numFmtId="0" fontId="7" fillId="31" borderId="9" xfId="0" applyFont="1" applyFill="1" applyBorder="1" applyAlignment="1" applyProtection="1">
      <alignment horizontal="left"/>
      <protection hidden="1"/>
    </xf>
    <xf numFmtId="0" fontId="7" fillId="31" borderId="37" xfId="0" applyFont="1" applyFill="1" applyBorder="1" applyAlignment="1" applyProtection="1">
      <alignment horizontal="left"/>
      <protection hidden="1"/>
    </xf>
    <xf numFmtId="0" fontId="21" fillId="3" borderId="0" xfId="0" applyFont="1" applyFill="1" applyBorder="1" applyAlignment="1" applyProtection="1">
      <alignment horizontal="right"/>
      <protection hidden="1"/>
    </xf>
    <xf numFmtId="0" fontId="21" fillId="2" borderId="0" xfId="0" applyFont="1" applyFill="1" applyBorder="1" applyAlignment="1" applyProtection="1">
      <alignment horizontal="right"/>
      <protection hidden="1"/>
    </xf>
    <xf numFmtId="0" fontId="3" fillId="31" borderId="0" xfId="0" applyFont="1" applyFill="1" applyAlignment="1">
      <alignment horizontal="center" vertical="center"/>
    </xf>
    <xf numFmtId="0" fontId="3" fillId="24" borderId="0" xfId="0" applyFont="1" applyFill="1" applyAlignment="1">
      <alignment horizontal="center" vertical="center"/>
    </xf>
    <xf numFmtId="0" fontId="7" fillId="24" borderId="11" xfId="0" applyFont="1" applyFill="1" applyBorder="1" applyAlignment="1" applyProtection="1">
      <alignment horizontal="left"/>
      <protection hidden="1"/>
    </xf>
    <xf numFmtId="0" fontId="7" fillId="24" borderId="9" xfId="0" applyFont="1" applyFill="1" applyBorder="1" applyAlignment="1" applyProtection="1">
      <alignment horizontal="left"/>
      <protection hidden="1"/>
    </xf>
    <xf numFmtId="0" fontId="7" fillId="24" borderId="37" xfId="0" applyFont="1" applyFill="1" applyBorder="1" applyAlignment="1" applyProtection="1">
      <alignment horizontal="left"/>
      <protection hidden="1"/>
    </xf>
    <xf numFmtId="0" fontId="15" fillId="24" borderId="57" xfId="0" applyFont="1" applyFill="1" applyBorder="1" applyAlignment="1" applyProtection="1">
      <alignment horizontal="left"/>
      <protection hidden="1"/>
    </xf>
    <xf numFmtId="0" fontId="15" fillId="24" borderId="32" xfId="0" applyFont="1" applyFill="1" applyBorder="1" applyAlignment="1" applyProtection="1">
      <alignment horizontal="left"/>
      <protection hidden="1"/>
    </xf>
    <xf numFmtId="0" fontId="7" fillId="24" borderId="32" xfId="0" applyFont="1" applyFill="1" applyBorder="1" applyAlignment="1" applyProtection="1">
      <alignment horizontal="left"/>
      <protection hidden="1"/>
    </xf>
    <xf numFmtId="0" fontId="21" fillId="0" borderId="0" xfId="0" applyFont="1" applyBorder="1" applyAlignment="1" applyProtection="1">
      <alignment horizontal="right"/>
    </xf>
    <xf numFmtId="164" fontId="5" fillId="33" borderId="31" xfId="0" applyNumberFormat="1" applyFont="1" applyFill="1" applyBorder="1" applyProtection="1"/>
    <xf numFmtId="164" fontId="5" fillId="33" borderId="33" xfId="0" applyNumberFormat="1" applyFont="1" applyFill="1" applyBorder="1" applyProtection="1"/>
    <xf numFmtId="164" fontId="5" fillId="33" borderId="34" xfId="0" applyNumberFormat="1" applyFont="1" applyFill="1" applyBorder="1" applyProtection="1"/>
    <xf numFmtId="0" fontId="5" fillId="33" borderId="35" xfId="0" applyFont="1" applyFill="1" applyBorder="1" applyProtection="1"/>
    <xf numFmtId="164" fontId="5" fillId="33" borderId="36" xfId="0" applyNumberFormat="1" applyFont="1" applyFill="1" applyBorder="1" applyProtection="1"/>
    <xf numFmtId="0" fontId="5" fillId="33" borderId="37" xfId="0" applyFont="1" applyFill="1" applyBorder="1" applyProtection="1"/>
    <xf numFmtId="0" fontId="29" fillId="6" borderId="4" xfId="0" applyFont="1" applyFill="1" applyBorder="1" applyAlignment="1" applyProtection="1">
      <alignment horizontal="centerContinuous"/>
    </xf>
    <xf numFmtId="0" fontId="29" fillId="6" borderId="4" xfId="0" applyFont="1" applyFill="1" applyBorder="1" applyAlignment="1">
      <alignment horizontal="centerContinuous"/>
    </xf>
    <xf numFmtId="0" fontId="29" fillId="6" borderId="5" xfId="0" applyFont="1" applyFill="1" applyBorder="1" applyAlignment="1">
      <alignment horizontal="centerContinuous"/>
    </xf>
    <xf numFmtId="0" fontId="3" fillId="6" borderId="1" xfId="0" applyFont="1" applyFill="1" applyBorder="1" applyAlignment="1">
      <alignment horizontal="right"/>
    </xf>
    <xf numFmtId="0" fontId="0" fillId="6" borderId="1" xfId="0" applyFill="1" applyBorder="1" applyAlignment="1">
      <alignment horizontal="right"/>
    </xf>
    <xf numFmtId="0" fontId="4" fillId="6" borderId="1" xfId="0" applyFont="1" applyFill="1" applyBorder="1" applyAlignment="1">
      <alignment horizontal="right"/>
    </xf>
    <xf numFmtId="0" fontId="0" fillId="6" borderId="6" xfId="0" applyFill="1" applyBorder="1"/>
    <xf numFmtId="171" fontId="0" fillId="6" borderId="7" xfId="2" applyNumberFormat="1" applyFont="1" applyFill="1" applyBorder="1" applyProtection="1"/>
    <xf numFmtId="171" fontId="0" fillId="6" borderId="8" xfId="2" applyNumberFormat="1" applyFont="1" applyFill="1" applyBorder="1" applyProtection="1"/>
    <xf numFmtId="0" fontId="0" fillId="0" borderId="0" xfId="0" applyAlignment="1">
      <alignment horizontal="center"/>
    </xf>
    <xf numFmtId="0" fontId="3" fillId="14" borderId="58" xfId="0" applyFont="1" applyFill="1" applyBorder="1" applyAlignment="1" applyProtection="1">
      <alignment horizontal="right"/>
    </xf>
    <xf numFmtId="0" fontId="0" fillId="14" borderId="4" xfId="0" applyFill="1" applyBorder="1" applyProtection="1"/>
    <xf numFmtId="1" fontId="0" fillId="14" borderId="4" xfId="0" applyNumberFormat="1" applyFill="1" applyBorder="1" applyProtection="1"/>
    <xf numFmtId="0" fontId="0" fillId="14" borderId="59" xfId="0" applyFill="1" applyBorder="1" applyProtection="1"/>
    <xf numFmtId="0" fontId="3" fillId="14" borderId="36" xfId="0" applyFont="1" applyFill="1" applyBorder="1" applyAlignment="1" applyProtection="1">
      <alignment horizontal="right"/>
    </xf>
    <xf numFmtId="0" fontId="0" fillId="14" borderId="9" xfId="0" applyFill="1" applyBorder="1" applyProtection="1"/>
    <xf numFmtId="1" fontId="0" fillId="14" borderId="9" xfId="0" applyNumberFormat="1" applyFill="1" applyBorder="1" applyProtection="1"/>
    <xf numFmtId="0" fontId="0" fillId="14" borderId="37" xfId="0" applyFill="1" applyBorder="1" applyProtection="1"/>
    <xf numFmtId="0" fontId="29" fillId="21" borderId="0" xfId="0" applyFont="1" applyFill="1" applyBorder="1" applyAlignment="1" applyProtection="1">
      <alignment horizontal="right"/>
    </xf>
    <xf numFmtId="171" fontId="0" fillId="0" borderId="48" xfId="0" applyNumberFormat="1" applyFill="1" applyBorder="1"/>
    <xf numFmtId="5" fontId="21" fillId="28" borderId="48" xfId="0" applyNumberFormat="1" applyFont="1" applyFill="1" applyBorder="1" applyProtection="1"/>
    <xf numFmtId="0" fontId="4" fillId="0" borderId="0" xfId="0" applyFont="1" applyAlignment="1" applyProtection="1">
      <alignment horizontal="right"/>
    </xf>
    <xf numFmtId="7" fontId="21" fillId="28" borderId="48" xfId="0" applyNumberFormat="1" applyFont="1" applyFill="1" applyBorder="1" applyProtection="1"/>
    <xf numFmtId="0" fontId="0" fillId="0" borderId="34" xfId="0" applyBorder="1" applyAlignment="1">
      <alignment horizontal="center"/>
    </xf>
    <xf numFmtId="0" fontId="0" fillId="0" borderId="35" xfId="0" applyBorder="1"/>
    <xf numFmtId="0" fontId="7" fillId="24" borderId="27" xfId="0" applyFont="1" applyFill="1" applyBorder="1" applyAlignment="1" applyProtection="1">
      <alignment horizontal="left"/>
      <protection hidden="1"/>
    </xf>
    <xf numFmtId="0" fontId="22" fillId="0" borderId="0" xfId="0" applyFont="1" applyAlignment="1">
      <alignment horizontal="right"/>
    </xf>
    <xf numFmtId="5" fontId="5" fillId="15" borderId="0" xfId="0" applyNumberFormat="1" applyFont="1" applyFill="1" applyBorder="1" applyProtection="1"/>
    <xf numFmtId="168" fontId="36" fillId="0" borderId="0" xfId="1" applyNumberFormat="1" applyFont="1" applyProtection="1"/>
    <xf numFmtId="168" fontId="36" fillId="0" borderId="0" xfId="0" applyNumberFormat="1" applyFont="1" applyProtection="1"/>
    <xf numFmtId="0" fontId="2" fillId="0" borderId="0" xfId="5"/>
    <xf numFmtId="0" fontId="54" fillId="0" borderId="0" xfId="5" applyFont="1"/>
    <xf numFmtId="16" fontId="2" fillId="0" borderId="0" xfId="5" applyNumberFormat="1" applyFill="1"/>
    <xf numFmtId="0" fontId="2" fillId="0" borderId="0" xfId="5" applyAlignment="1">
      <alignment wrapText="1"/>
    </xf>
    <xf numFmtId="0" fontId="2" fillId="0" borderId="0" xfId="5" applyFill="1"/>
    <xf numFmtId="0" fontId="2" fillId="0" borderId="0" xfId="5" applyAlignment="1">
      <alignment horizontal="right"/>
    </xf>
    <xf numFmtId="0" fontId="54" fillId="0" borderId="0" xfId="5" applyFont="1" applyAlignment="1">
      <alignment horizontal="right"/>
    </xf>
    <xf numFmtId="0" fontId="2" fillId="0" borderId="0" xfId="5" applyAlignment="1">
      <alignment horizontal="left"/>
    </xf>
    <xf numFmtId="14" fontId="2" fillId="0" borderId="0" xfId="5" applyNumberFormat="1"/>
    <xf numFmtId="0" fontId="2" fillId="0" borderId="0" xfId="5" applyAlignment="1"/>
    <xf numFmtId="0" fontId="5" fillId="22" borderId="0" xfId="0" applyFont="1" applyFill="1" applyBorder="1" applyAlignment="1" applyProtection="1">
      <alignment horizontal="left"/>
    </xf>
    <xf numFmtId="5" fontId="0" fillId="0" borderId="0" xfId="0" applyNumberFormat="1" applyBorder="1" applyProtection="1"/>
    <xf numFmtId="5" fontId="6" fillId="0" borderId="0" xfId="1" applyNumberFormat="1" applyFont="1" applyBorder="1" applyProtection="1"/>
    <xf numFmtId="5" fontId="7" fillId="3" borderId="0" xfId="0" applyNumberFormat="1" applyFont="1" applyFill="1" applyBorder="1" applyProtection="1">
      <protection hidden="1"/>
    </xf>
    <xf numFmtId="0" fontId="24" fillId="9" borderId="28" xfId="0" applyFont="1" applyFill="1" applyBorder="1" applyAlignment="1">
      <alignment horizontal="centerContinuous" vertical="center"/>
    </xf>
    <xf numFmtId="0" fontId="24" fillId="9" borderId="24" xfId="0" applyFont="1" applyFill="1" applyBorder="1" applyAlignment="1">
      <alignment horizontal="centerContinuous" vertical="center"/>
    </xf>
    <xf numFmtId="0" fontId="0" fillId="0" borderId="52" xfId="0" applyFill="1" applyBorder="1"/>
    <xf numFmtId="0" fontId="0" fillId="0" borderId="42" xfId="0" applyFill="1" applyBorder="1"/>
    <xf numFmtId="0" fontId="0" fillId="0" borderId="55" xfId="0" applyFill="1" applyBorder="1"/>
    <xf numFmtId="0" fontId="0" fillId="0" borderId="41" xfId="0" applyFill="1" applyBorder="1"/>
    <xf numFmtId="5" fontId="0" fillId="13" borderId="53" xfId="0" applyNumberFormat="1" applyFill="1" applyBorder="1"/>
    <xf numFmtId="5" fontId="0" fillId="13" borderId="54" xfId="0" applyNumberFormat="1" applyFill="1" applyBorder="1"/>
    <xf numFmtId="5" fontId="0" fillId="13" borderId="52" xfId="0" applyNumberFormat="1" applyFill="1" applyBorder="1"/>
    <xf numFmtId="5" fontId="0" fillId="13" borderId="42" xfId="0" applyNumberFormat="1" applyFill="1" applyBorder="1"/>
    <xf numFmtId="5" fontId="0" fillId="13" borderId="0" xfId="0" applyNumberFormat="1" applyFill="1"/>
    <xf numFmtId="0" fontId="4" fillId="13" borderId="0" xfId="0" applyFont="1" applyFill="1" applyAlignment="1">
      <alignment wrapText="1"/>
    </xf>
    <xf numFmtId="0" fontId="0" fillId="13" borderId="0" xfId="0" quotePrefix="1" applyFill="1" applyAlignment="1">
      <alignment horizontal="right"/>
    </xf>
    <xf numFmtId="0" fontId="4" fillId="13" borderId="0" xfId="0" quotePrefix="1" applyFont="1" applyFill="1" applyAlignment="1">
      <alignment horizontal="right"/>
    </xf>
    <xf numFmtId="0" fontId="3" fillId="13" borderId="7" xfId="0" applyFont="1" applyFill="1" applyBorder="1" applyAlignment="1">
      <alignment horizontal="centerContinuous"/>
    </xf>
    <xf numFmtId="0" fontId="0" fillId="13" borderId="7" xfId="0" applyFill="1" applyBorder="1" applyAlignment="1">
      <alignment horizontal="centerContinuous"/>
    </xf>
    <xf numFmtId="0" fontId="4" fillId="13" borderId="0" xfId="0" applyFont="1" applyFill="1" applyAlignment="1">
      <alignment vertical="top" wrapText="1"/>
    </xf>
    <xf numFmtId="5" fontId="0" fillId="25" borderId="0" xfId="0" applyNumberFormat="1" applyFill="1"/>
    <xf numFmtId="0" fontId="4" fillId="25" borderId="0" xfId="0" applyFont="1" applyFill="1" applyAlignment="1">
      <alignment wrapText="1"/>
    </xf>
    <xf numFmtId="0" fontId="4" fillId="0" borderId="0" xfId="0" quotePrefix="1" applyFont="1"/>
    <xf numFmtId="10" fontId="0" fillId="0" borderId="0" xfId="0" applyNumberFormat="1"/>
    <xf numFmtId="5" fontId="0" fillId="0" borderId="10" xfId="0" applyNumberFormat="1" applyBorder="1"/>
    <xf numFmtId="5" fontId="0" fillId="0" borderId="0" xfId="0" applyNumberFormat="1" applyBorder="1"/>
    <xf numFmtId="0" fontId="0" fillId="0" borderId="0" xfId="0" applyFont="1"/>
    <xf numFmtId="0" fontId="0" fillId="0" borderId="0" xfId="0" applyAlignment="1" applyProtection="1">
      <alignment horizontal="center"/>
    </xf>
    <xf numFmtId="170" fontId="0" fillId="0" borderId="2" xfId="0" applyNumberFormat="1" applyBorder="1" applyAlignment="1" applyProtection="1">
      <alignment horizontal="left"/>
    </xf>
    <xf numFmtId="0" fontId="3" fillId="7" borderId="0" xfId="0" applyFont="1" applyFill="1" applyBorder="1"/>
    <xf numFmtId="0" fontId="4" fillId="0" borderId="0" xfId="0" applyFont="1" applyFill="1" applyAlignment="1" applyProtection="1">
      <alignment horizontal="right"/>
    </xf>
    <xf numFmtId="9" fontId="0" fillId="34" borderId="48" xfId="4" applyFont="1" applyFill="1" applyBorder="1" applyProtection="1"/>
    <xf numFmtId="0" fontId="3" fillId="15" borderId="0" xfId="0" applyFont="1" applyFill="1" applyAlignment="1" applyProtection="1">
      <alignment horizontal="center"/>
    </xf>
    <xf numFmtId="164" fontId="5" fillId="15" borderId="0" xfId="0" applyNumberFormat="1" applyFont="1" applyFill="1" applyAlignment="1" applyProtection="1">
      <alignment horizontal="center"/>
    </xf>
    <xf numFmtId="0" fontId="0" fillId="0" borderId="24" xfId="0" applyBorder="1" applyAlignment="1" applyProtection="1">
      <alignment horizontal="centerContinuous"/>
    </xf>
    <xf numFmtId="5" fontId="0" fillId="0" borderId="1" xfId="0" applyNumberFormat="1" applyFill="1" applyBorder="1" applyProtection="1"/>
    <xf numFmtId="5" fontId="0" fillId="0" borderId="0" xfId="0" applyNumberFormat="1" applyFill="1" applyBorder="1" applyProtection="1"/>
    <xf numFmtId="5" fontId="0" fillId="0" borderId="2" xfId="0" applyNumberFormat="1" applyFill="1" applyBorder="1" applyProtection="1"/>
    <xf numFmtId="5" fontId="0" fillId="0" borderId="6" xfId="0" applyNumberFormat="1" applyFill="1" applyBorder="1" applyProtection="1"/>
    <xf numFmtId="5" fontId="0" fillId="0" borderId="8" xfId="0" applyNumberFormat="1" applyFill="1" applyBorder="1" applyProtection="1"/>
    <xf numFmtId="0" fontId="0" fillId="0" borderId="1" xfId="0" applyFill="1" applyBorder="1" applyProtection="1"/>
    <xf numFmtId="0" fontId="5" fillId="0" borderId="32" xfId="0" applyFont="1" applyFill="1" applyBorder="1" applyAlignment="1" applyProtection="1">
      <alignment horizontal="right"/>
    </xf>
    <xf numFmtId="0" fontId="5" fillId="0" borderId="16" xfId="0" applyFont="1" applyFill="1" applyBorder="1" applyAlignment="1" applyProtection="1">
      <alignment horizontal="right"/>
    </xf>
    <xf numFmtId="0" fontId="0" fillId="0" borderId="60" xfId="0" applyBorder="1" applyAlignment="1" applyProtection="1">
      <alignment horizontal="centerContinuous"/>
    </xf>
    <xf numFmtId="0" fontId="48" fillId="2" borderId="17" xfId="0" applyFont="1" applyFill="1" applyBorder="1" applyProtection="1">
      <protection hidden="1"/>
    </xf>
    <xf numFmtId="0" fontId="48" fillId="2" borderId="18" xfId="0" applyFont="1" applyFill="1" applyBorder="1" applyProtection="1">
      <protection hidden="1"/>
    </xf>
    <xf numFmtId="1" fontId="6" fillId="3" borderId="0" xfId="0" applyNumberFormat="1" applyFont="1" applyFill="1" applyBorder="1" applyAlignment="1" applyProtection="1">
      <alignment horizontal="right"/>
      <protection hidden="1"/>
    </xf>
    <xf numFmtId="6" fontId="7" fillId="0" borderId="61" xfId="0" applyNumberFormat="1" applyFont="1" applyBorder="1" applyProtection="1">
      <protection locked="0"/>
    </xf>
    <xf numFmtId="6" fontId="7" fillId="0" borderId="13" xfId="0" applyNumberFormat="1" applyFont="1" applyBorder="1" applyProtection="1">
      <protection locked="0"/>
    </xf>
    <xf numFmtId="6" fontId="7" fillId="4" borderId="8" xfId="0" applyNumberFormat="1" applyFont="1" applyFill="1" applyBorder="1"/>
    <xf numFmtId="6" fontId="57" fillId="4" borderId="2" xfId="0" applyNumberFormat="1" applyFont="1" applyFill="1" applyBorder="1"/>
    <xf numFmtId="6" fontId="57" fillId="4" borderId="5" xfId="0" applyNumberFormat="1" applyFont="1" applyFill="1" applyBorder="1"/>
    <xf numFmtId="6" fontId="57" fillId="4" borderId="8" xfId="0" applyNumberFormat="1" applyFont="1" applyFill="1" applyBorder="1"/>
    <xf numFmtId="0" fontId="4" fillId="0" borderId="48" xfId="0" applyFont="1" applyBorder="1" applyAlignment="1">
      <alignment horizontal="right"/>
    </xf>
    <xf numFmtId="0" fontId="7" fillId="4" borderId="6" xfId="0" applyFont="1" applyFill="1" applyBorder="1"/>
    <xf numFmtId="5" fontId="7" fillId="4" borderId="2" xfId="0" applyNumberFormat="1" applyFont="1" applyFill="1" applyBorder="1" applyAlignment="1" applyProtection="1">
      <alignment horizontal="right"/>
    </xf>
    <xf numFmtId="5" fontId="7" fillId="0" borderId="13" xfId="0" applyNumberFormat="1" applyFont="1" applyBorder="1" applyProtection="1">
      <protection locked="0"/>
    </xf>
    <xf numFmtId="5" fontId="7" fillId="0" borderId="10" xfId="0" applyNumberFormat="1" applyFont="1" applyBorder="1" applyProtection="1">
      <protection locked="0"/>
    </xf>
    <xf numFmtId="5" fontId="7" fillId="0" borderId="45" xfId="0" applyNumberFormat="1" applyFont="1" applyBorder="1" applyProtection="1">
      <protection locked="0"/>
    </xf>
    <xf numFmtId="5" fontId="7" fillId="0" borderId="46" xfId="0" applyNumberFormat="1" applyFont="1" applyBorder="1" applyProtection="1">
      <protection locked="0"/>
    </xf>
    <xf numFmtId="0" fontId="58" fillId="0" borderId="0" xfId="0" applyFont="1" applyFill="1" applyBorder="1" applyAlignment="1">
      <alignment horizontal="right" vertical="center"/>
    </xf>
    <xf numFmtId="170" fontId="24" fillId="21" borderId="10" xfId="0" applyNumberFormat="1" applyFont="1" applyFill="1" applyBorder="1" applyAlignment="1" applyProtection="1">
      <alignment horizontal="right" vertical="center"/>
      <protection hidden="1"/>
    </xf>
    <xf numFmtId="0" fontId="12" fillId="27" borderId="0" xfId="0" applyFont="1" applyFill="1"/>
    <xf numFmtId="0" fontId="12" fillId="27" borderId="1" xfId="0" applyFont="1" applyFill="1" applyBorder="1"/>
    <xf numFmtId="5" fontId="55" fillId="27" borderId="0" xfId="0" applyNumberFormat="1" applyFont="1" applyFill="1"/>
    <xf numFmtId="0" fontId="12" fillId="27" borderId="0" xfId="0" applyFont="1" applyFill="1" applyBorder="1"/>
    <xf numFmtId="0" fontId="12" fillId="31" borderId="0" xfId="0" applyFont="1" applyFill="1"/>
    <xf numFmtId="0" fontId="12" fillId="31" borderId="1" xfId="0" applyFont="1" applyFill="1" applyBorder="1"/>
    <xf numFmtId="5" fontId="55" fillId="31" borderId="0" xfId="0" applyNumberFormat="1" applyFont="1" applyFill="1"/>
    <xf numFmtId="0" fontId="12" fillId="31" borderId="0" xfId="0" applyFont="1" applyFill="1" applyBorder="1"/>
    <xf numFmtId="5" fontId="12" fillId="0" borderId="0" xfId="0" applyNumberFormat="1" applyFont="1"/>
    <xf numFmtId="0" fontId="0" fillId="34" borderId="2" xfId="0" applyFill="1" applyBorder="1" applyAlignment="1" applyProtection="1">
      <alignment horizontal="right"/>
    </xf>
    <xf numFmtId="5" fontId="0" fillId="34" borderId="2" xfId="0" applyNumberFormat="1" applyFill="1" applyBorder="1" applyProtection="1"/>
    <xf numFmtId="169" fontId="0" fillId="0" borderId="2" xfId="0" applyNumberFormat="1" applyBorder="1" applyAlignment="1" applyProtection="1">
      <alignment horizontal="right"/>
    </xf>
    <xf numFmtId="0" fontId="0" fillId="0" borderId="0" xfId="0" applyAlignment="1">
      <alignment horizontal="right" indent="1"/>
    </xf>
    <xf numFmtId="175" fontId="0" fillId="2" borderId="20" xfId="4" applyNumberFormat="1" applyFont="1" applyFill="1" applyBorder="1"/>
    <xf numFmtId="165" fontId="5" fillId="0" borderId="0" xfId="0" applyNumberFormat="1" applyFont="1" applyBorder="1" applyProtection="1"/>
    <xf numFmtId="0" fontId="5" fillId="0" borderId="2" xfId="0" applyFont="1" applyFill="1" applyBorder="1" applyAlignment="1" applyProtection="1">
      <alignment horizontal="right" wrapText="1"/>
    </xf>
    <xf numFmtId="0" fontId="7" fillId="4" borderId="1" xfId="0" quotePrefix="1" applyFont="1" applyFill="1" applyBorder="1"/>
    <xf numFmtId="6" fontId="0" fillId="0" borderId="0" xfId="0" applyNumberFormat="1"/>
    <xf numFmtId="5" fontId="28" fillId="15" borderId="1" xfId="0" applyNumberFormat="1" applyFont="1" applyFill="1" applyBorder="1" applyProtection="1"/>
    <xf numFmtId="5" fontId="28" fillId="15" borderId="6" xfId="0" applyNumberFormat="1" applyFont="1" applyFill="1" applyBorder="1" applyProtection="1"/>
    <xf numFmtId="0" fontId="5" fillId="0" borderId="1" xfId="0" applyFont="1" applyFill="1" applyBorder="1" applyAlignment="1" applyProtection="1">
      <alignment horizontal="right" wrapText="1"/>
    </xf>
    <xf numFmtId="7" fontId="0" fillId="0" borderId="1" xfId="0" applyNumberFormat="1" applyBorder="1" applyProtection="1"/>
    <xf numFmtId="5" fontId="0" fillId="25" borderId="0" xfId="0" applyNumberFormat="1" applyFill="1" applyProtection="1"/>
    <xf numFmtId="1" fontId="0" fillId="35" borderId="32" xfId="0" applyNumberFormat="1" applyFill="1" applyBorder="1"/>
    <xf numFmtId="5" fontId="0" fillId="35" borderId="32" xfId="0" applyNumberFormat="1" applyFill="1" applyBorder="1"/>
    <xf numFmtId="0" fontId="0" fillId="35" borderId="33" xfId="0" applyFill="1" applyBorder="1"/>
    <xf numFmtId="1" fontId="0" fillId="35" borderId="0" xfId="0" applyNumberFormat="1" applyFill="1" applyBorder="1"/>
    <xf numFmtId="5" fontId="0" fillId="35" borderId="0" xfId="0" applyNumberFormat="1" applyFill="1" applyBorder="1"/>
    <xf numFmtId="0" fontId="0" fillId="35" borderId="35" xfId="0" applyFill="1" applyBorder="1"/>
    <xf numFmtId="0" fontId="4" fillId="35" borderId="36" xfId="0" applyFont="1" applyFill="1" applyBorder="1" applyAlignment="1">
      <alignment wrapText="1"/>
    </xf>
    <xf numFmtId="5" fontId="0" fillId="35" borderId="9" xfId="0" applyNumberFormat="1" applyFill="1" applyBorder="1"/>
    <xf numFmtId="0" fontId="0" fillId="0" borderId="0" xfId="0" applyAlignment="1">
      <alignment horizontal="right" vertical="top"/>
    </xf>
    <xf numFmtId="0" fontId="0" fillId="20" borderId="0" xfId="0" applyFill="1" applyProtection="1"/>
    <xf numFmtId="0" fontId="21" fillId="20" borderId="0" xfId="0" applyFont="1" applyFill="1" applyBorder="1" applyAlignment="1" applyProtection="1">
      <alignment horizontal="right"/>
    </xf>
    <xf numFmtId="5" fontId="21" fillId="20" borderId="2" xfId="0" quotePrefix="1" applyNumberFormat="1" applyFont="1" applyFill="1" applyBorder="1" applyAlignment="1" applyProtection="1">
      <alignment horizontal="right"/>
    </xf>
    <xf numFmtId="0" fontId="6" fillId="20" borderId="0" xfId="0" applyFont="1" applyFill="1" applyBorder="1" applyAlignment="1" applyProtection="1">
      <alignment horizontal="left"/>
    </xf>
    <xf numFmtId="5" fontId="5" fillId="20" borderId="0" xfId="0" applyNumberFormat="1" applyFont="1" applyFill="1" applyBorder="1" applyProtection="1"/>
    <xf numFmtId="5" fontId="5" fillId="20" borderId="2" xfId="0" quotePrefix="1" applyNumberFormat="1" applyFont="1" applyFill="1" applyBorder="1" applyProtection="1"/>
    <xf numFmtId="0" fontId="5" fillId="20" borderId="0" xfId="0" applyFont="1" applyFill="1" applyBorder="1" applyAlignment="1" applyProtection="1">
      <alignment horizontal="left"/>
    </xf>
    <xf numFmtId="0" fontId="28" fillId="0" borderId="0" xfId="0" applyFont="1" applyBorder="1" applyAlignment="1" applyProtection="1">
      <alignment horizontal="right" wrapText="1"/>
    </xf>
    <xf numFmtId="0" fontId="0" fillId="0" borderId="62" xfId="0" applyBorder="1"/>
    <xf numFmtId="0" fontId="3" fillId="27" borderId="63" xfId="0" applyFont="1" applyFill="1" applyBorder="1" applyAlignment="1">
      <alignment horizontal="center"/>
    </xf>
    <xf numFmtId="0" fontId="3" fillId="27" borderId="64" xfId="0" applyFont="1" applyFill="1" applyBorder="1" applyAlignment="1">
      <alignment horizontal="center"/>
    </xf>
    <xf numFmtId="0" fontId="0" fillId="27" borderId="65" xfId="0" applyFill="1" applyBorder="1"/>
    <xf numFmtId="0" fontId="0" fillId="0" borderId="66" xfId="0" applyBorder="1" applyAlignment="1">
      <alignment horizontal="right"/>
    </xf>
    <xf numFmtId="0" fontId="22" fillId="0" borderId="66" xfId="0" applyFont="1" applyBorder="1"/>
    <xf numFmtId="0" fontId="0" fillId="0" borderId="66" xfId="0" applyBorder="1"/>
    <xf numFmtId="0" fontId="0" fillId="0" borderId="67" xfId="0" applyBorder="1"/>
    <xf numFmtId="0" fontId="0" fillId="0" borderId="66" xfId="0" applyBorder="1" applyProtection="1"/>
    <xf numFmtId="0" fontId="0" fillId="0" borderId="66" xfId="0" applyBorder="1" applyAlignment="1" applyProtection="1">
      <alignment horizontal="left"/>
    </xf>
    <xf numFmtId="0" fontId="0" fillId="0" borderId="66" xfId="0" applyFont="1" applyFill="1" applyBorder="1" applyProtection="1"/>
    <xf numFmtId="0" fontId="0" fillId="0" borderId="66" xfId="0" applyFill="1" applyBorder="1"/>
    <xf numFmtId="0" fontId="0" fillId="0" borderId="66" xfId="0" applyFill="1" applyBorder="1" applyAlignment="1" applyProtection="1">
      <alignment horizontal="left"/>
    </xf>
    <xf numFmtId="0" fontId="4" fillId="0" borderId="66" xfId="0" applyFont="1" applyBorder="1" applyAlignment="1">
      <alignment horizontal="right"/>
    </xf>
    <xf numFmtId="0" fontId="4" fillId="0" borderId="66" xfId="0" applyFont="1" applyBorder="1" applyProtection="1"/>
    <xf numFmtId="170" fontId="0" fillId="0" borderId="66" xfId="0" applyNumberFormat="1" applyBorder="1"/>
    <xf numFmtId="170" fontId="0" fillId="0" borderId="67" xfId="0" applyNumberFormat="1" applyBorder="1"/>
    <xf numFmtId="0" fontId="4" fillId="0" borderId="67" xfId="0" quotePrefix="1" applyFont="1" applyBorder="1"/>
    <xf numFmtId="0" fontId="4" fillId="0" borderId="66" xfId="0" applyFont="1" applyBorder="1" applyAlignment="1" applyProtection="1">
      <alignment vertical="top" wrapText="1"/>
    </xf>
    <xf numFmtId="0" fontId="4" fillId="0" borderId="66" xfId="0" applyFont="1" applyFill="1" applyBorder="1" applyProtection="1"/>
    <xf numFmtId="5" fontId="0" fillId="0" borderId="66" xfId="0" applyNumberFormat="1" applyBorder="1"/>
    <xf numFmtId="0" fontId="4" fillId="0" borderId="67" xfId="0" applyFont="1" applyBorder="1"/>
    <xf numFmtId="170" fontId="3" fillId="14" borderId="66" xfId="0" applyNumberFormat="1" applyFont="1" applyFill="1" applyBorder="1"/>
    <xf numFmtId="0" fontId="4" fillId="0" borderId="66" xfId="0" applyFont="1" applyBorder="1" applyAlignment="1" applyProtection="1">
      <alignment wrapText="1"/>
    </xf>
    <xf numFmtId="0" fontId="3" fillId="0" borderId="67" xfId="0" applyFont="1" applyBorder="1" applyAlignment="1">
      <alignment vertical="top"/>
    </xf>
    <xf numFmtId="0" fontId="3" fillId="0" borderId="66" xfId="0" applyFont="1" applyBorder="1"/>
    <xf numFmtId="0" fontId="4" fillId="0" borderId="66" xfId="0" applyFont="1" applyBorder="1"/>
    <xf numFmtId="0" fontId="4" fillId="0" borderId="66" xfId="0" applyFont="1" applyBorder="1" applyAlignment="1">
      <alignment wrapText="1"/>
    </xf>
    <xf numFmtId="0" fontId="0" fillId="0" borderId="66" xfId="0" applyBorder="1" applyAlignment="1">
      <alignment horizontal="right" vertical="top"/>
    </xf>
    <xf numFmtId="0" fontId="0" fillId="0" borderId="66" xfId="0" applyBorder="1" applyAlignment="1">
      <alignment wrapText="1"/>
    </xf>
    <xf numFmtId="0" fontId="0" fillId="27" borderId="68" xfId="0" applyFill="1" applyBorder="1"/>
    <xf numFmtId="0" fontId="0" fillId="0" borderId="69" xfId="0" applyBorder="1" applyAlignment="1">
      <alignment horizontal="right" vertical="top"/>
    </xf>
    <xf numFmtId="0" fontId="0" fillId="0" borderId="69" xfId="0" applyBorder="1"/>
    <xf numFmtId="170" fontId="3" fillId="14" borderId="69" xfId="0" applyNumberFormat="1" applyFont="1" applyFill="1" applyBorder="1"/>
    <xf numFmtId="0" fontId="4" fillId="0" borderId="70" xfId="0" quotePrefix="1" applyFont="1" applyBorder="1"/>
    <xf numFmtId="5" fontId="0" fillId="14" borderId="71" xfId="0" applyNumberFormat="1" applyFill="1" applyBorder="1"/>
    <xf numFmtId="0" fontId="0" fillId="14" borderId="72" xfId="0" applyFill="1" applyBorder="1"/>
    <xf numFmtId="0" fontId="3" fillId="0" borderId="66" xfId="0" applyFont="1" applyBorder="1" applyAlignment="1">
      <alignment horizontal="right"/>
    </xf>
    <xf numFmtId="0" fontId="4" fillId="0" borderId="66" xfId="0" applyFont="1" applyFill="1" applyBorder="1"/>
    <xf numFmtId="0" fontId="4" fillId="0" borderId="69" xfId="0" applyFont="1" applyFill="1" applyBorder="1"/>
    <xf numFmtId="5" fontId="3" fillId="14" borderId="69" xfId="0" applyNumberFormat="1" applyFont="1" applyFill="1" applyBorder="1"/>
    <xf numFmtId="0" fontId="4" fillId="0" borderId="70" xfId="0" applyFont="1" applyBorder="1"/>
    <xf numFmtId="177" fontId="0" fillId="0" borderId="66" xfId="0" applyNumberFormat="1" applyBorder="1"/>
    <xf numFmtId="0" fontId="4" fillId="0" borderId="67" xfId="0" quotePrefix="1" applyFont="1" applyFill="1" applyBorder="1"/>
    <xf numFmtId="0" fontId="0" fillId="36" borderId="66" xfId="0" applyFill="1" applyBorder="1"/>
    <xf numFmtId="0" fontId="3" fillId="36" borderId="66" xfId="0" applyFont="1" applyFill="1" applyBorder="1"/>
    <xf numFmtId="170" fontId="0" fillId="36" borderId="66" xfId="0" applyNumberFormat="1" applyFill="1" applyBorder="1"/>
    <xf numFmtId="0" fontId="4" fillId="36" borderId="66" xfId="0" applyFont="1" applyFill="1" applyBorder="1"/>
    <xf numFmtId="0" fontId="4" fillId="0" borderId="67" xfId="0" applyFont="1" applyFill="1" applyBorder="1"/>
    <xf numFmtId="5" fontId="21" fillId="20" borderId="0" xfId="0" applyNumberFormat="1" applyFont="1" applyFill="1" applyBorder="1" applyProtection="1"/>
    <xf numFmtId="5" fontId="21" fillId="20" borderId="2" xfId="0" quotePrefix="1" applyNumberFormat="1" applyFont="1" applyFill="1" applyBorder="1" applyProtection="1"/>
    <xf numFmtId="0" fontId="5" fillId="0" borderId="11" xfId="0" applyFont="1" applyBorder="1" applyAlignment="1" applyProtection="1">
      <alignment horizontal="left"/>
    </xf>
    <xf numFmtId="0" fontId="0" fillId="0" borderId="0" xfId="0" applyBorder="1" applyAlignment="1">
      <alignment horizontal="center" vertical="center"/>
    </xf>
    <xf numFmtId="170" fontId="0" fillId="0" borderId="39" xfId="0" applyNumberFormat="1" applyBorder="1" applyAlignment="1">
      <alignment horizontal="center" vertical="center"/>
    </xf>
    <xf numFmtId="0" fontId="4" fillId="35" borderId="31" xfId="0" applyFont="1" applyFill="1" applyBorder="1"/>
    <xf numFmtId="0" fontId="4" fillId="35" borderId="34" xfId="0" applyFont="1" applyFill="1" applyBorder="1"/>
    <xf numFmtId="0" fontId="0" fillId="35" borderId="37" xfId="0" applyFill="1" applyBorder="1"/>
    <xf numFmtId="164" fontId="11" fillId="34" borderId="10" xfId="0" applyNumberFormat="1" applyFont="1" applyFill="1" applyBorder="1" applyProtection="1">
      <protection locked="0" hidden="1"/>
    </xf>
    <xf numFmtId="164" fontId="11" fillId="27" borderId="10" xfId="0" applyNumberFormat="1" applyFont="1" applyFill="1" applyBorder="1" applyProtection="1">
      <protection locked="0" hidden="1"/>
    </xf>
    <xf numFmtId="0" fontId="7" fillId="24" borderId="0" xfId="0" applyFont="1" applyFill="1" applyBorder="1" applyAlignment="1" applyProtection="1">
      <alignment horizontal="center"/>
      <protection hidden="1"/>
    </xf>
    <xf numFmtId="5" fontId="28" fillId="0" borderId="0" xfId="0" applyNumberFormat="1" applyFont="1" applyBorder="1" applyAlignment="1" applyProtection="1">
      <alignment horizontal="right" wrapText="1"/>
    </xf>
    <xf numFmtId="0" fontId="7" fillId="31" borderId="0" xfId="0" applyFont="1" applyFill="1" applyBorder="1" applyAlignment="1" applyProtection="1">
      <alignment horizontal="center"/>
      <protection hidden="1"/>
    </xf>
    <xf numFmtId="5" fontId="7" fillId="0" borderId="27" xfId="0" applyNumberFormat="1" applyFont="1" applyBorder="1" applyProtection="1">
      <protection locked="0"/>
    </xf>
    <xf numFmtId="5" fontId="7" fillId="0" borderId="10" xfId="0" applyNumberFormat="1" applyFont="1" applyBorder="1" applyProtection="1">
      <protection locked="0" hidden="1"/>
    </xf>
    <xf numFmtId="0" fontId="4" fillId="28" borderId="0" xfId="0" applyFont="1" applyFill="1" applyProtection="1"/>
    <xf numFmtId="166" fontId="0" fillId="14" borderId="0" xfId="4" applyNumberFormat="1" applyFont="1" applyFill="1" applyBorder="1" applyProtection="1"/>
    <xf numFmtId="0" fontId="6" fillId="2" borderId="11" xfId="0" applyFont="1" applyFill="1" applyBorder="1" applyAlignment="1" applyProtection="1">
      <alignment horizontal="left"/>
      <protection hidden="1"/>
    </xf>
    <xf numFmtId="7" fontId="12" fillId="2" borderId="9" xfId="0" applyNumberFormat="1" applyFont="1" applyFill="1" applyBorder="1" applyProtection="1">
      <protection hidden="1"/>
    </xf>
    <xf numFmtId="5" fontId="6" fillId="2" borderId="12" xfId="0" applyNumberFormat="1" applyFont="1" applyFill="1" applyBorder="1" applyProtection="1">
      <protection hidden="1"/>
    </xf>
    <xf numFmtId="0" fontId="6" fillId="2" borderId="9" xfId="0" applyFont="1" applyFill="1" applyBorder="1" applyAlignment="1" applyProtection="1">
      <alignment horizontal="right"/>
      <protection hidden="1"/>
    </xf>
    <xf numFmtId="5" fontId="6" fillId="2" borderId="12" xfId="0" applyNumberFormat="1" applyFont="1" applyFill="1" applyBorder="1" applyAlignment="1" applyProtection="1">
      <alignment horizontal="right"/>
      <protection hidden="1"/>
    </xf>
    <xf numFmtId="0" fontId="5" fillId="14" borderId="0" xfId="0" applyFont="1" applyFill="1" applyBorder="1" applyAlignment="1" applyProtection="1">
      <alignment horizontal="left"/>
    </xf>
    <xf numFmtId="0" fontId="0" fillId="14" borderId="0" xfId="0" applyFill="1" applyBorder="1" applyProtection="1"/>
    <xf numFmtId="7" fontId="5" fillId="14" borderId="2" xfId="0" applyNumberFormat="1" applyFont="1" applyFill="1" applyBorder="1" applyProtection="1"/>
    <xf numFmtId="0" fontId="28" fillId="14" borderId="7" xfId="0" applyFont="1" applyFill="1" applyBorder="1" applyProtection="1"/>
    <xf numFmtId="7" fontId="28" fillId="14" borderId="2" xfId="0" applyNumberFormat="1" applyFont="1" applyFill="1" applyBorder="1" applyProtection="1"/>
    <xf numFmtId="0" fontId="59" fillId="37" borderId="0" xfId="1" applyNumberFormat="1" applyFont="1" applyFill="1" applyBorder="1" applyProtection="1"/>
    <xf numFmtId="0" fontId="6" fillId="37" borderId="0" xfId="1" applyNumberFormat="1" applyFont="1" applyFill="1" applyBorder="1" applyAlignment="1" applyProtection="1">
      <alignment horizontal="left"/>
    </xf>
    <xf numFmtId="0" fontId="6" fillId="0" borderId="4" xfId="0" applyFont="1" applyFill="1" applyBorder="1" applyAlignment="1" applyProtection="1">
      <alignment horizontal="center"/>
    </xf>
    <xf numFmtId="7" fontId="0" fillId="0" borderId="5" xfId="0" applyNumberFormat="1" applyFill="1" applyBorder="1" applyProtection="1"/>
    <xf numFmtId="0" fontId="4" fillId="0" borderId="0" xfId="0" applyFont="1" applyAlignment="1">
      <alignment horizontal="center"/>
    </xf>
    <xf numFmtId="0" fontId="0" fillId="13" borderId="0" xfId="0" applyFill="1"/>
    <xf numFmtId="1" fontId="0" fillId="13" borderId="9" xfId="0" applyNumberFormat="1" applyFill="1" applyBorder="1"/>
    <xf numFmtId="0" fontId="0" fillId="35" borderId="0" xfId="0" applyFill="1"/>
    <xf numFmtId="0" fontId="0" fillId="0" borderId="74" xfId="0" applyBorder="1"/>
    <xf numFmtId="0" fontId="4" fillId="0" borderId="75" xfId="0" quotePrefix="1" applyFont="1" applyBorder="1"/>
    <xf numFmtId="170" fontId="0" fillId="0" borderId="71" xfId="0" applyNumberFormat="1" applyBorder="1"/>
    <xf numFmtId="170" fontId="3" fillId="14" borderId="48" xfId="0" applyNumberFormat="1" applyFont="1" applyFill="1" applyBorder="1"/>
    <xf numFmtId="0" fontId="4" fillId="38" borderId="75" xfId="0" applyFont="1" applyFill="1" applyBorder="1" applyAlignment="1">
      <alignment wrapText="1"/>
    </xf>
    <xf numFmtId="170" fontId="0" fillId="0" borderId="72" xfId="0" applyNumberFormat="1" applyBorder="1"/>
    <xf numFmtId="170" fontId="0" fillId="0" borderId="48" xfId="0" applyNumberFormat="1" applyBorder="1"/>
    <xf numFmtId="0" fontId="0" fillId="0" borderId="71" xfId="0" applyBorder="1"/>
    <xf numFmtId="5" fontId="11" fillId="39" borderId="0" xfId="0" applyNumberFormat="1" applyFont="1" applyFill="1" applyBorder="1" applyProtection="1"/>
    <xf numFmtId="5" fontId="25" fillId="39" borderId="7" xfId="0" applyNumberFormat="1" applyFont="1" applyFill="1" applyBorder="1" applyProtection="1"/>
    <xf numFmtId="9" fontId="3" fillId="39" borderId="42" xfId="4" applyNumberFormat="1" applyFont="1" applyFill="1" applyBorder="1"/>
    <xf numFmtId="166" fontId="3" fillId="39" borderId="41" xfId="4" applyNumberFormat="1" applyFont="1" applyFill="1" applyBorder="1"/>
    <xf numFmtId="166" fontId="11" fillId="39" borderId="1" xfId="0" applyNumberFormat="1" applyFont="1" applyFill="1" applyBorder="1" applyProtection="1"/>
    <xf numFmtId="166" fontId="11" fillId="39" borderId="2" xfId="0" applyNumberFormat="1" applyFont="1" applyFill="1" applyBorder="1" applyProtection="1"/>
    <xf numFmtId="166" fontId="25" fillId="39" borderId="6" xfId="0" applyNumberFormat="1" applyFont="1" applyFill="1" applyBorder="1" applyProtection="1"/>
    <xf numFmtId="166" fontId="25" fillId="39" borderId="8" xfId="0" applyNumberFormat="1" applyFont="1" applyFill="1" applyBorder="1" applyProtection="1"/>
    <xf numFmtId="166" fontId="27" fillId="39" borderId="0" xfId="0" applyNumberFormat="1" applyFont="1" applyFill="1" applyBorder="1" applyProtection="1"/>
    <xf numFmtId="166" fontId="27" fillId="39" borderId="9" xfId="0" applyNumberFormat="1" applyFont="1" applyFill="1" applyBorder="1" applyProtection="1"/>
    <xf numFmtId="170" fontId="3" fillId="39" borderId="4" xfId="0" applyNumberFormat="1" applyFont="1" applyFill="1" applyBorder="1" applyProtection="1"/>
    <xf numFmtId="5" fontId="38" fillId="39" borderId="9" xfId="0" applyNumberFormat="1" applyFont="1" applyFill="1" applyBorder="1" applyProtection="1"/>
    <xf numFmtId="5" fontId="28" fillId="39" borderId="0" xfId="0" applyNumberFormat="1" applyFont="1" applyFill="1" applyBorder="1" applyProtection="1"/>
    <xf numFmtId="5" fontId="28" fillId="39" borderId="7" xfId="0" applyNumberFormat="1" applyFont="1" applyFill="1" applyBorder="1" applyProtection="1"/>
    <xf numFmtId="5" fontId="25" fillId="39" borderId="0" xfId="0" applyNumberFormat="1" applyFont="1" applyFill="1" applyProtection="1"/>
    <xf numFmtId="5" fontId="27" fillId="39" borderId="0" xfId="0" applyNumberFormat="1" applyFont="1" applyFill="1" applyProtection="1"/>
    <xf numFmtId="5" fontId="28" fillId="39" borderId="2" xfId="0" applyNumberFormat="1" applyFont="1" applyFill="1" applyBorder="1" applyProtection="1"/>
    <xf numFmtId="5" fontId="28" fillId="39" borderId="8" xfId="0" applyNumberFormat="1" applyFont="1" applyFill="1" applyBorder="1" applyProtection="1"/>
    <xf numFmtId="170" fontId="4" fillId="39" borderId="0" xfId="0" applyNumberFormat="1" applyFont="1" applyFill="1" applyBorder="1"/>
    <xf numFmtId="170" fontId="4" fillId="39" borderId="7" xfId="0" applyNumberFormat="1" applyFont="1" applyFill="1" applyBorder="1"/>
    <xf numFmtId="170" fontId="4" fillId="34" borderId="0" xfId="0" applyNumberFormat="1" applyFont="1" applyFill="1" applyBorder="1"/>
    <xf numFmtId="170" fontId="4" fillId="34" borderId="7" xfId="0" applyNumberFormat="1" applyFont="1" applyFill="1" applyBorder="1"/>
    <xf numFmtId="10" fontId="4" fillId="40" borderId="0" xfId="0" applyNumberFormat="1" applyFont="1" applyFill="1" applyBorder="1"/>
    <xf numFmtId="10" fontId="4" fillId="40" borderId="7" xfId="0" applyNumberFormat="1" applyFont="1" applyFill="1" applyBorder="1"/>
    <xf numFmtId="10" fontId="4" fillId="40" borderId="2" xfId="0" applyNumberFormat="1" applyFont="1" applyFill="1" applyBorder="1"/>
    <xf numFmtId="10" fontId="4" fillId="40" borderId="8" xfId="0" applyNumberFormat="1" applyFont="1" applyFill="1" applyBorder="1"/>
    <xf numFmtId="170" fontId="4" fillId="39" borderId="35" xfId="0" applyNumberFormat="1" applyFont="1" applyFill="1" applyBorder="1"/>
    <xf numFmtId="16" fontId="0" fillId="0" borderId="0" xfId="0" applyNumberFormat="1" applyProtection="1"/>
    <xf numFmtId="166" fontId="0" fillId="0" borderId="0" xfId="4" applyNumberFormat="1" applyFont="1" applyProtection="1"/>
    <xf numFmtId="10" fontId="0" fillId="0" borderId="0" xfId="4" applyNumberFormat="1" applyFont="1" applyBorder="1" applyProtection="1"/>
    <xf numFmtId="10" fontId="0" fillId="0" borderId="0" xfId="4" applyNumberFormat="1" applyFont="1" applyProtection="1"/>
    <xf numFmtId="5" fontId="5" fillId="0" borderId="48" xfId="0" applyNumberFormat="1" applyFont="1" applyBorder="1" applyProtection="1"/>
    <xf numFmtId="7" fontId="22" fillId="0" borderId="0" xfId="0" applyNumberFormat="1" applyFont="1" applyProtection="1"/>
    <xf numFmtId="0" fontId="55" fillId="24" borderId="0" xfId="0" applyFont="1" applyFill="1" applyBorder="1" applyAlignment="1" applyProtection="1">
      <alignment horizontal="left"/>
      <protection hidden="1"/>
    </xf>
    <xf numFmtId="0" fontId="55" fillId="24" borderId="0" xfId="0" applyFont="1" applyFill="1" applyBorder="1" applyAlignment="1" applyProtection="1">
      <alignment horizontal="right"/>
      <protection hidden="1"/>
    </xf>
    <xf numFmtId="170" fontId="61" fillId="24" borderId="10" xfId="0" applyNumberFormat="1" applyFont="1" applyFill="1" applyBorder="1" applyAlignment="1" applyProtection="1">
      <alignment horizontal="right"/>
      <protection hidden="1"/>
    </xf>
    <xf numFmtId="0" fontId="55" fillId="31" borderId="0" xfId="0" applyFont="1" applyFill="1" applyBorder="1" applyAlignment="1" applyProtection="1">
      <alignment horizontal="right"/>
      <protection hidden="1"/>
    </xf>
    <xf numFmtId="170" fontId="61" fillId="31" borderId="0" xfId="0" applyNumberFormat="1" applyFont="1" applyFill="1" applyBorder="1" applyAlignment="1" applyProtection="1">
      <alignment horizontal="right"/>
      <protection hidden="1"/>
    </xf>
    <xf numFmtId="170" fontId="0" fillId="0" borderId="14" xfId="0" applyNumberFormat="1" applyBorder="1"/>
    <xf numFmtId="0" fontId="4" fillId="0" borderId="35" xfId="0" applyFont="1" applyBorder="1"/>
    <xf numFmtId="170" fontId="0" fillId="0" borderId="15" xfId="0" applyNumberFormat="1" applyBorder="1"/>
    <xf numFmtId="0" fontId="0" fillId="0" borderId="78" xfId="0" applyBorder="1" applyAlignment="1">
      <alignment horizontal="center"/>
    </xf>
    <xf numFmtId="0" fontId="4" fillId="0" borderId="79" xfId="0" applyFont="1" applyBorder="1"/>
    <xf numFmtId="0" fontId="4" fillId="0" borderId="81" xfId="0" applyFont="1" applyBorder="1"/>
    <xf numFmtId="1" fontId="0" fillId="0" borderId="82" xfId="0" applyNumberFormat="1" applyBorder="1"/>
    <xf numFmtId="0" fontId="4" fillId="0" borderId="84" xfId="0" applyFont="1" applyBorder="1"/>
    <xf numFmtId="169" fontId="0" fillId="0" borderId="85" xfId="0" applyNumberFormat="1" applyBorder="1"/>
    <xf numFmtId="5" fontId="7" fillId="24" borderId="13" xfId="0" applyNumberFormat="1" applyFont="1" applyFill="1" applyBorder="1" applyProtection="1">
      <protection locked="0"/>
    </xf>
    <xf numFmtId="5" fontId="7" fillId="31" borderId="13" xfId="0" applyNumberFormat="1" applyFont="1" applyFill="1" applyBorder="1" applyProtection="1">
      <protection locked="0"/>
    </xf>
    <xf numFmtId="169" fontId="0" fillId="0" borderId="77" xfId="0" applyNumberFormat="1" applyBorder="1"/>
    <xf numFmtId="5" fontId="5" fillId="14" borderId="0" xfId="0" applyNumberFormat="1" applyFont="1" applyFill="1" applyBorder="1" applyProtection="1"/>
    <xf numFmtId="170" fontId="0" fillId="14" borderId="0" xfId="2" applyNumberFormat="1" applyFont="1" applyFill="1" applyBorder="1"/>
    <xf numFmtId="5" fontId="7" fillId="24" borderId="10" xfId="0" applyNumberFormat="1" applyFont="1" applyFill="1" applyBorder="1" applyProtection="1">
      <protection locked="0"/>
    </xf>
    <xf numFmtId="5" fontId="7" fillId="24" borderId="45" xfId="0" applyNumberFormat="1" applyFont="1" applyFill="1" applyBorder="1" applyProtection="1">
      <protection locked="0"/>
    </xf>
    <xf numFmtId="5" fontId="7" fillId="31" borderId="10" xfId="0" applyNumberFormat="1" applyFont="1" applyFill="1" applyBorder="1" applyProtection="1">
      <protection locked="0"/>
    </xf>
    <xf numFmtId="5" fontId="7" fillId="31" borderId="45" xfId="0" applyNumberFormat="1" applyFont="1" applyFill="1" applyBorder="1" applyProtection="1">
      <protection locked="0"/>
    </xf>
    <xf numFmtId="0" fontId="62" fillId="27" borderId="0" xfId="0" applyFont="1" applyFill="1"/>
    <xf numFmtId="5" fontId="7" fillId="21" borderId="13" xfId="0" applyNumberFormat="1" applyFont="1" applyFill="1" applyBorder="1" applyProtection="1">
      <protection locked="0"/>
    </xf>
    <xf numFmtId="170" fontId="0" fillId="24" borderId="14" xfId="0" applyNumberFormat="1" applyFill="1" applyBorder="1"/>
    <xf numFmtId="169" fontId="0" fillId="24" borderId="77" xfId="0" applyNumberFormat="1" applyFill="1" applyBorder="1"/>
    <xf numFmtId="170" fontId="0" fillId="24" borderId="0" xfId="0" applyNumberFormat="1" applyFill="1"/>
    <xf numFmtId="170" fontId="0" fillId="31" borderId="14" xfId="0" applyNumberFormat="1" applyFill="1" applyBorder="1"/>
    <xf numFmtId="169" fontId="0" fillId="31" borderId="77" xfId="0" applyNumberFormat="1" applyFill="1" applyBorder="1"/>
    <xf numFmtId="170" fontId="0" fillId="31" borderId="0" xfId="0" applyNumberFormat="1" applyFill="1"/>
    <xf numFmtId="2" fontId="0" fillId="2" borderId="2" xfId="0" applyNumberFormat="1" applyFill="1" applyBorder="1" applyProtection="1"/>
    <xf numFmtId="0" fontId="63" fillId="31" borderId="0" xfId="0" applyFont="1" applyFill="1"/>
    <xf numFmtId="165" fontId="5" fillId="14" borderId="0" xfId="0" applyNumberFormat="1" applyFont="1" applyFill="1" applyBorder="1" applyProtection="1"/>
    <xf numFmtId="2" fontId="55" fillId="24" borderId="0" xfId="0" applyNumberFormat="1" applyFont="1" applyFill="1" applyBorder="1" applyAlignment="1" applyProtection="1">
      <alignment horizontal="right"/>
      <protection hidden="1"/>
    </xf>
    <xf numFmtId="7" fontId="7" fillId="0" borderId="10" xfId="0" applyNumberFormat="1" applyFont="1" applyBorder="1" applyProtection="1">
      <protection locked="0"/>
    </xf>
    <xf numFmtId="7" fontId="0" fillId="41" borderId="0" xfId="0" applyNumberFormat="1" applyFill="1" applyBorder="1" applyProtection="1"/>
    <xf numFmtId="1" fontId="0" fillId="22" borderId="0" xfId="0" applyNumberFormat="1" applyFill="1" applyBorder="1" applyProtection="1"/>
    <xf numFmtId="2" fontId="0" fillId="0" borderId="0" xfId="0" applyNumberFormat="1"/>
    <xf numFmtId="0" fontId="24" fillId="9" borderId="11" xfId="0" applyFont="1" applyFill="1" applyBorder="1" applyAlignment="1">
      <alignment horizontal="centerContinuous" vertical="center"/>
    </xf>
    <xf numFmtId="0" fontId="24" fillId="9" borderId="9" xfId="0" applyFont="1" applyFill="1" applyBorder="1" applyAlignment="1">
      <alignment horizontal="centerContinuous" vertical="center"/>
    </xf>
    <xf numFmtId="7" fontId="6" fillId="2" borderId="3" xfId="0" applyNumberFormat="1" applyFont="1" applyFill="1" applyBorder="1" applyAlignment="1" applyProtection="1">
      <alignment horizontal="right"/>
      <protection hidden="1"/>
    </xf>
    <xf numFmtId="7" fontId="6" fillId="2" borderId="6" xfId="0" applyNumberFormat="1" applyFont="1" applyFill="1" applyBorder="1" applyAlignment="1" applyProtection="1">
      <alignment horizontal="right"/>
      <protection hidden="1"/>
    </xf>
    <xf numFmtId="5" fontId="0" fillId="0" borderId="32" xfId="0" applyNumberFormat="1" applyFill="1" applyBorder="1" applyProtection="1"/>
    <xf numFmtId="5" fontId="0" fillId="0" borderId="16" xfId="0" applyNumberFormat="1" applyFill="1" applyBorder="1" applyProtection="1"/>
    <xf numFmtId="5" fontId="0" fillId="0" borderId="7" xfId="0" applyNumberFormat="1" applyFill="1" applyBorder="1" applyProtection="1"/>
    <xf numFmtId="0" fontId="3" fillId="0" borderId="25" xfId="0" applyFont="1" applyFill="1" applyBorder="1" applyAlignment="1" applyProtection="1">
      <alignment horizontal="right"/>
    </xf>
    <xf numFmtId="0" fontId="3" fillId="0" borderId="26" xfId="0" applyFont="1" applyFill="1" applyBorder="1" applyAlignment="1" applyProtection="1">
      <alignment horizontal="right"/>
    </xf>
    <xf numFmtId="0" fontId="3" fillId="0" borderId="27" xfId="0" applyFont="1" applyFill="1" applyBorder="1" applyAlignment="1" applyProtection="1">
      <alignment horizontal="right"/>
    </xf>
    <xf numFmtId="0" fontId="64" fillId="0" borderId="2" xfId="0" applyFont="1" applyBorder="1" applyAlignment="1">
      <alignment vertical="center" wrapText="1"/>
    </xf>
    <xf numFmtId="0" fontId="65" fillId="0" borderId="2" xfId="0" applyFont="1" applyBorder="1" applyAlignment="1">
      <alignment vertical="center" wrapText="1"/>
    </xf>
    <xf numFmtId="0" fontId="65" fillId="0" borderId="0" xfId="0" applyFont="1"/>
    <xf numFmtId="0" fontId="66" fillId="0" borderId="2" xfId="0" applyFont="1" applyBorder="1" applyAlignment="1">
      <alignment vertical="center" wrapText="1"/>
    </xf>
    <xf numFmtId="0" fontId="4" fillId="0" borderId="0" xfId="0" applyFont="1" applyAlignment="1">
      <alignment vertical="top"/>
    </xf>
    <xf numFmtId="166" fontId="0" fillId="0" borderId="0" xfId="4" applyNumberFormat="1" applyFont="1" applyAlignment="1">
      <alignment vertical="top"/>
    </xf>
    <xf numFmtId="10" fontId="0" fillId="0" borderId="0" xfId="4" applyNumberFormat="1" applyFont="1" applyAlignment="1">
      <alignment vertical="top"/>
    </xf>
    <xf numFmtId="0" fontId="65" fillId="0" borderId="2" xfId="0" applyFont="1" applyBorder="1" applyAlignment="1">
      <alignment vertical="top" wrapText="1"/>
    </xf>
    <xf numFmtId="0" fontId="65" fillId="0" borderId="8" xfId="0" applyFont="1" applyBorder="1" applyAlignment="1">
      <alignment vertical="top" wrapText="1"/>
    </xf>
    <xf numFmtId="5" fontId="0" fillId="0" borderId="0" xfId="0" applyNumberFormat="1" applyAlignment="1">
      <alignment vertical="top"/>
    </xf>
    <xf numFmtId="2" fontId="0" fillId="0" borderId="0" xfId="4" applyNumberFormat="1" applyFont="1" applyAlignment="1">
      <alignment vertical="top"/>
    </xf>
    <xf numFmtId="0" fontId="3" fillId="24" borderId="0" xfId="0" applyFont="1" applyFill="1"/>
    <xf numFmtId="166" fontId="0" fillId="0" borderId="0" xfId="4" applyNumberFormat="1" applyFont="1" applyAlignment="1">
      <alignment horizontal="left"/>
    </xf>
    <xf numFmtId="5" fontId="4" fillId="0" borderId="0" xfId="0" applyNumberFormat="1" applyFont="1" applyAlignment="1">
      <alignment horizontal="right"/>
    </xf>
    <xf numFmtId="0" fontId="45" fillId="31" borderId="35" xfId="0" applyFont="1" applyFill="1" applyBorder="1" applyAlignment="1" applyProtection="1">
      <alignment horizontal="left" vertical="center" wrapText="1"/>
      <protection hidden="1"/>
    </xf>
    <xf numFmtId="0" fontId="7" fillId="31" borderId="35" xfId="0" applyFont="1" applyFill="1" applyBorder="1" applyAlignment="1" applyProtection="1">
      <alignment horizontal="left" vertical="center" wrapText="1"/>
      <protection hidden="1"/>
    </xf>
    <xf numFmtId="7" fontId="0" fillId="24" borderId="0" xfId="0" applyNumberFormat="1" applyFill="1"/>
    <xf numFmtId="0" fontId="7" fillId="32" borderId="86" xfId="0" applyFont="1" applyFill="1" applyBorder="1" applyAlignment="1" applyProtection="1">
      <alignment horizontal="left" wrapText="1"/>
      <protection hidden="1"/>
    </xf>
    <xf numFmtId="0" fontId="7" fillId="31" borderId="1" xfId="0" applyFont="1" applyFill="1" applyBorder="1" applyAlignment="1" applyProtection="1">
      <alignment horizontal="left" vertical="center"/>
      <protection hidden="1"/>
    </xf>
    <xf numFmtId="0" fontId="4" fillId="25" borderId="0" xfId="0" applyFont="1" applyFill="1" applyAlignment="1">
      <alignment vertical="top" wrapText="1"/>
    </xf>
    <xf numFmtId="5" fontId="0" fillId="25" borderId="0" xfId="0" applyNumberFormat="1" applyFill="1" applyBorder="1" applyProtection="1"/>
    <xf numFmtId="0" fontId="0" fillId="25" borderId="2" xfId="0" applyFill="1" applyBorder="1" applyProtection="1"/>
    <xf numFmtId="0" fontId="4" fillId="28" borderId="29" xfId="0" applyFont="1" applyFill="1" applyBorder="1"/>
    <xf numFmtId="0" fontId="0" fillId="0" borderId="30" xfId="0" applyBorder="1"/>
    <xf numFmtId="0" fontId="0" fillId="0" borderId="30" xfId="0" applyBorder="1" applyAlignment="1">
      <alignment horizontal="left"/>
    </xf>
    <xf numFmtId="0" fontId="4" fillId="28" borderId="29" xfId="0" applyFont="1" applyFill="1" applyBorder="1" applyAlignment="1">
      <alignment vertical="center"/>
    </xf>
    <xf numFmtId="0" fontId="0" fillId="0" borderId="30" xfId="0" applyBorder="1" applyAlignment="1">
      <alignment horizontal="left" vertical="center"/>
    </xf>
    <xf numFmtId="0" fontId="4" fillId="28" borderId="29" xfId="0" applyFont="1" applyFill="1" applyBorder="1" applyAlignment="1">
      <alignment vertical="center" wrapText="1"/>
    </xf>
    <xf numFmtId="0" fontId="22" fillId="0" borderId="0" xfId="0" applyFont="1" applyAlignment="1">
      <alignment horizontal="centerContinuous"/>
    </xf>
    <xf numFmtId="0" fontId="0" fillId="0" borderId="0" xfId="0" applyAlignment="1">
      <alignment horizontal="centerContinuous"/>
    </xf>
    <xf numFmtId="14" fontId="4" fillId="21" borderId="30" xfId="0" applyNumberFormat="1" applyFont="1" applyFill="1" applyBorder="1" applyAlignment="1" applyProtection="1">
      <alignment horizontal="left" vertical="center"/>
      <protection locked="0" hidden="1"/>
    </xf>
    <xf numFmtId="5" fontId="0" fillId="0" borderId="30" xfId="0" applyNumberFormat="1" applyBorder="1" applyAlignment="1">
      <alignment horizontal="left" vertical="center"/>
    </xf>
    <xf numFmtId="6" fontId="0" fillId="0" borderId="30" xfId="0" applyNumberFormat="1" applyBorder="1" applyAlignment="1">
      <alignment horizontal="left" vertical="center"/>
    </xf>
    <xf numFmtId="1" fontId="55" fillId="24" borderId="0" xfId="0" applyNumberFormat="1" applyFont="1" applyFill="1" applyAlignment="1" applyProtection="1">
      <alignment horizontal="right"/>
      <protection hidden="1"/>
    </xf>
    <xf numFmtId="1" fontId="55" fillId="31" borderId="0" xfId="0" applyNumberFormat="1" applyFont="1" applyFill="1" applyAlignment="1" applyProtection="1">
      <alignment horizontal="right"/>
      <protection hidden="1"/>
    </xf>
    <xf numFmtId="5" fontId="6" fillId="2" borderId="4" xfId="0" applyNumberFormat="1" applyFont="1" applyFill="1" applyBorder="1" applyProtection="1">
      <protection hidden="1"/>
    </xf>
    <xf numFmtId="5" fontId="6" fillId="2" borderId="5" xfId="0" applyNumberFormat="1" applyFont="1" applyFill="1" applyBorder="1" applyProtection="1">
      <protection hidden="1"/>
    </xf>
    <xf numFmtId="5" fontId="6" fillId="2" borderId="7" xfId="0" applyNumberFormat="1" applyFont="1" applyFill="1" applyBorder="1" applyProtection="1">
      <protection hidden="1"/>
    </xf>
    <xf numFmtId="0" fontId="0" fillId="0" borderId="0" xfId="0" applyAlignment="1" applyProtection="1">
      <alignment horizontal="center"/>
    </xf>
    <xf numFmtId="1" fontId="7" fillId="0" borderId="13" xfId="0" applyNumberFormat="1" applyFont="1" applyBorder="1" applyProtection="1">
      <protection locked="0"/>
    </xf>
    <xf numFmtId="1" fontId="0" fillId="0" borderId="66" xfId="0" applyNumberFormat="1" applyBorder="1"/>
    <xf numFmtId="0" fontId="68" fillId="42" borderId="67" xfId="0" quotePrefix="1" applyFont="1" applyFill="1" applyBorder="1"/>
    <xf numFmtId="0" fontId="4" fillId="0" borderId="74" xfId="0" applyFont="1" applyBorder="1"/>
    <xf numFmtId="0" fontId="3" fillId="0" borderId="74" xfId="0" applyFont="1" applyBorder="1"/>
    <xf numFmtId="1" fontId="0" fillId="0" borderId="0" xfId="0" applyNumberFormat="1" applyBorder="1"/>
    <xf numFmtId="0" fontId="67" fillId="42" borderId="67" xfId="0" quotePrefix="1" applyFont="1" applyFill="1" applyBorder="1" applyAlignment="1">
      <alignment wrapText="1"/>
    </xf>
    <xf numFmtId="0" fontId="47" fillId="36" borderId="66" xfId="0" applyFont="1" applyFill="1" applyBorder="1" applyAlignment="1">
      <alignment horizontal="right"/>
    </xf>
    <xf numFmtId="5" fontId="11" fillId="44" borderId="0" xfId="0" applyNumberFormat="1" applyFont="1" applyFill="1" applyBorder="1" applyProtection="1"/>
    <xf numFmtId="5" fontId="11" fillId="44" borderId="7" xfId="0" applyNumberFormat="1" applyFont="1" applyFill="1" applyBorder="1" applyProtection="1"/>
    <xf numFmtId="1" fontId="37" fillId="44" borderId="0" xfId="0" applyNumberFormat="1" applyFont="1" applyFill="1" applyAlignment="1" applyProtection="1">
      <alignment horizontal="center"/>
    </xf>
    <xf numFmtId="5" fontId="4" fillId="44" borderId="0" xfId="0" applyNumberFormat="1" applyFont="1" applyFill="1" applyBorder="1" applyProtection="1"/>
    <xf numFmtId="0" fontId="0" fillId="35" borderId="48" xfId="0" applyFill="1" applyBorder="1" applyProtection="1"/>
    <xf numFmtId="0" fontId="3" fillId="35" borderId="5" xfId="0" applyFont="1" applyFill="1" applyBorder="1" applyAlignment="1" applyProtection="1">
      <alignment horizontal="right" wrapText="1"/>
    </xf>
    <xf numFmtId="0" fontId="0" fillId="35" borderId="1" xfId="0" applyFill="1" applyBorder="1" applyProtection="1"/>
    <xf numFmtId="170" fontId="0" fillId="35" borderId="2" xfId="0" applyNumberFormat="1" applyFill="1" applyBorder="1" applyProtection="1"/>
    <xf numFmtId="0" fontId="0" fillId="35" borderId="6" xfId="0" applyFill="1" applyBorder="1" applyProtection="1"/>
    <xf numFmtId="170" fontId="0" fillId="35" borderId="8" xfId="0" applyNumberFormat="1" applyFill="1" applyBorder="1" applyProtection="1"/>
    <xf numFmtId="0" fontId="0" fillId="35" borderId="3" xfId="0" applyFill="1" applyBorder="1"/>
    <xf numFmtId="9" fontId="0" fillId="35" borderId="5" xfId="0" applyNumberFormat="1" applyFill="1" applyBorder="1"/>
    <xf numFmtId="0" fontId="0" fillId="35" borderId="1" xfId="0" applyFill="1" applyBorder="1"/>
    <xf numFmtId="170" fontId="0" fillId="35" borderId="2" xfId="0" applyNumberFormat="1" applyFill="1" applyBorder="1"/>
    <xf numFmtId="0" fontId="0" fillId="35" borderId="6" xfId="0" applyFill="1" applyBorder="1"/>
    <xf numFmtId="0" fontId="0" fillId="35" borderId="8" xfId="0" applyFill="1" applyBorder="1"/>
    <xf numFmtId="0" fontId="0" fillId="28" borderId="0" xfId="0" applyFill="1" applyProtection="1"/>
    <xf numFmtId="0" fontId="0" fillId="28" borderId="20" xfId="0" applyFill="1" applyBorder="1" applyProtection="1"/>
    <xf numFmtId="0" fontId="0" fillId="28" borderId="0" xfId="0" applyFill="1" applyAlignment="1" applyProtection="1">
      <alignment horizontal="left"/>
    </xf>
    <xf numFmtId="0" fontId="0" fillId="28" borderId="22" xfId="0" applyFill="1" applyBorder="1" applyAlignment="1" applyProtection="1">
      <alignment horizontal="left"/>
    </xf>
    <xf numFmtId="0" fontId="0" fillId="28" borderId="0" xfId="0" applyFont="1" applyFill="1" applyProtection="1"/>
    <xf numFmtId="0" fontId="0" fillId="43" borderId="0" xfId="0" applyFill="1"/>
    <xf numFmtId="0" fontId="0" fillId="44" borderId="0" xfId="0" applyFill="1"/>
    <xf numFmtId="22" fontId="0" fillId="44" borderId="0" xfId="0" applyNumberFormat="1" applyFill="1"/>
    <xf numFmtId="3" fontId="0" fillId="43" borderId="0" xfId="0" applyNumberFormat="1" applyFill="1"/>
    <xf numFmtId="0" fontId="0" fillId="14" borderId="0" xfId="0" applyFill="1"/>
    <xf numFmtId="0" fontId="0" fillId="25" borderId="0" xfId="0" applyFill="1"/>
    <xf numFmtId="0" fontId="0" fillId="45" borderId="0" xfId="0" applyFill="1"/>
    <xf numFmtId="0" fontId="70" fillId="46" borderId="0" xfId="7" applyFont="1" applyFill="1" applyAlignment="1">
      <alignment horizontal="right"/>
    </xf>
    <xf numFmtId="0" fontId="69" fillId="0" borderId="0" xfId="7"/>
    <xf numFmtId="0" fontId="71" fillId="24" borderId="0" xfId="7" applyFont="1" applyFill="1"/>
    <xf numFmtId="0" fontId="71" fillId="29" borderId="0" xfId="7" applyFont="1" applyFill="1"/>
    <xf numFmtId="0" fontId="70" fillId="47" borderId="0" xfId="7" applyFont="1" applyFill="1"/>
    <xf numFmtId="0" fontId="71" fillId="0" borderId="0" xfId="7" applyFont="1"/>
    <xf numFmtId="0" fontId="7" fillId="4" borderId="0" xfId="0" applyFont="1" applyFill="1" applyBorder="1" applyAlignment="1" applyProtection="1">
      <alignment horizontal="right" vertical="center"/>
      <protection hidden="1"/>
    </xf>
    <xf numFmtId="164" fontId="7" fillId="0" borderId="13" xfId="0" applyNumberFormat="1" applyFont="1" applyBorder="1" applyAlignment="1" applyProtection="1">
      <alignment vertical="center"/>
      <protection locked="0" hidden="1"/>
    </xf>
    <xf numFmtId="1" fontId="5" fillId="0" borderId="0" xfId="0" applyNumberFormat="1" applyFont="1" applyAlignment="1" applyProtection="1">
      <alignment horizontal="right"/>
    </xf>
    <xf numFmtId="0" fontId="0" fillId="48" borderId="0" xfId="0" applyFill="1" applyProtection="1"/>
    <xf numFmtId="0" fontId="0" fillId="48" borderId="0" xfId="0" applyFill="1" applyAlignment="1" applyProtection="1">
      <alignment horizontal="left"/>
    </xf>
    <xf numFmtId="0" fontId="4" fillId="13" borderId="0" xfId="0" applyFont="1" applyFill="1" applyAlignment="1">
      <alignment horizontal="center"/>
    </xf>
    <xf numFmtId="0" fontId="74" fillId="13" borderId="0" xfId="0" applyFont="1" applyFill="1" applyAlignment="1">
      <alignment horizontal="center"/>
    </xf>
    <xf numFmtId="170" fontId="24" fillId="13" borderId="10" xfId="0" applyNumberFormat="1" applyFont="1" applyFill="1" applyBorder="1" applyAlignment="1" applyProtection="1">
      <alignment horizontal="right" vertical="center"/>
      <protection hidden="1"/>
    </xf>
    <xf numFmtId="0" fontId="69" fillId="49" borderId="0" xfId="7" applyFill="1"/>
    <xf numFmtId="0" fontId="70" fillId="46" borderId="0" xfId="7" applyFont="1" applyFill="1" applyAlignment="1">
      <alignment horizontal="center"/>
    </xf>
    <xf numFmtId="14" fontId="69" fillId="15" borderId="0" xfId="7" applyNumberFormat="1" applyFill="1"/>
    <xf numFmtId="0" fontId="69" fillId="15" borderId="0" xfId="7" applyFill="1"/>
    <xf numFmtId="0" fontId="75" fillId="27" borderId="0" xfId="0" applyFont="1" applyFill="1" applyAlignment="1">
      <alignment horizontal="left"/>
    </xf>
    <xf numFmtId="0" fontId="75" fillId="31" borderId="0" xfId="0" applyFont="1" applyFill="1" applyAlignment="1">
      <alignment horizontal="left"/>
    </xf>
    <xf numFmtId="0" fontId="69" fillId="31" borderId="0" xfId="7" applyFill="1"/>
    <xf numFmtId="0" fontId="0" fillId="24" borderId="0" xfId="0" applyFill="1" applyBorder="1" applyAlignment="1">
      <alignment horizontal="right"/>
    </xf>
    <xf numFmtId="0" fontId="0" fillId="24" borderId="0" xfId="0" applyFill="1" applyBorder="1" applyAlignment="1">
      <alignment horizontal="left"/>
    </xf>
    <xf numFmtId="0" fontId="0" fillId="49" borderId="0" xfId="0" applyFill="1" applyBorder="1" applyAlignment="1">
      <alignment horizontal="right"/>
    </xf>
    <xf numFmtId="0" fontId="0" fillId="49" borderId="0" xfId="0" applyFill="1" applyBorder="1" applyAlignment="1">
      <alignment horizontal="left"/>
    </xf>
    <xf numFmtId="170" fontId="69" fillId="15" borderId="0" xfId="7" applyNumberFormat="1" applyFill="1"/>
    <xf numFmtId="5" fontId="7" fillId="0" borderId="15" xfId="0" applyNumberFormat="1" applyFont="1" applyBorder="1" applyProtection="1">
      <protection locked="0"/>
    </xf>
    <xf numFmtId="14" fontId="0" fillId="31" borderId="10" xfId="0" applyNumberFormat="1" applyFill="1" applyBorder="1" applyAlignment="1">
      <alignment horizontal="center"/>
    </xf>
    <xf numFmtId="14" fontId="0" fillId="0" borderId="10" xfId="0" applyNumberFormat="1" applyFill="1" applyBorder="1" applyAlignment="1">
      <alignment horizontal="center"/>
    </xf>
    <xf numFmtId="14" fontId="0" fillId="24" borderId="14" xfId="0" applyNumberFormat="1" applyFill="1" applyBorder="1" applyAlignment="1">
      <alignment horizontal="center"/>
    </xf>
    <xf numFmtId="14" fontId="0" fillId="0" borderId="0" xfId="0" applyNumberFormat="1" applyFill="1" applyBorder="1" applyAlignment="1">
      <alignment horizontal="center"/>
    </xf>
    <xf numFmtId="0" fontId="15" fillId="36" borderId="1" xfId="0" applyFont="1" applyFill="1" applyBorder="1" applyAlignment="1" applyProtection="1">
      <alignment horizontal="left"/>
      <protection hidden="1"/>
    </xf>
    <xf numFmtId="0" fontId="15" fillId="36" borderId="0" xfId="0" applyFont="1" applyFill="1" applyBorder="1" applyAlignment="1" applyProtection="1">
      <alignment horizontal="left"/>
      <protection hidden="1"/>
    </xf>
    <xf numFmtId="0" fontId="7" fillId="36" borderId="0" xfId="0" applyFont="1" applyFill="1" applyBorder="1" applyAlignment="1" applyProtection="1">
      <alignment horizontal="right"/>
      <protection hidden="1"/>
    </xf>
    <xf numFmtId="0" fontId="7" fillId="36" borderId="1" xfId="0" applyFont="1" applyFill="1" applyBorder="1" applyAlignment="1" applyProtection="1">
      <alignment horizontal="left"/>
      <protection hidden="1"/>
    </xf>
    <xf numFmtId="0" fontId="7" fillId="36" borderId="0" xfId="0" applyFont="1" applyFill="1" applyBorder="1" applyAlignment="1" applyProtection="1">
      <alignment horizontal="left"/>
      <protection hidden="1"/>
    </xf>
    <xf numFmtId="2" fontId="69" fillId="15" borderId="0" xfId="7" applyNumberFormat="1" applyFill="1"/>
    <xf numFmtId="1" fontId="69" fillId="15" borderId="0" xfId="7" applyNumberFormat="1" applyFill="1"/>
    <xf numFmtId="1" fontId="0" fillId="0" borderId="0" xfId="0" applyNumberFormat="1" applyFill="1" applyBorder="1"/>
    <xf numFmtId="5" fontId="69" fillId="15" borderId="0" xfId="7" applyNumberFormat="1" applyFill="1"/>
    <xf numFmtId="6" fontId="69" fillId="15" borderId="0" xfId="7" applyNumberFormat="1" applyFill="1"/>
    <xf numFmtId="166" fontId="0" fillId="44" borderId="0" xfId="4" applyNumberFormat="1" applyFont="1" applyFill="1"/>
    <xf numFmtId="170" fontId="0" fillId="44" borderId="34" xfId="0" applyNumberFormat="1" applyFill="1" applyBorder="1" applyAlignment="1"/>
    <xf numFmtId="170" fontId="0" fillId="44" borderId="35" xfId="0" applyNumberFormat="1" applyFill="1" applyBorder="1" applyAlignment="1"/>
    <xf numFmtId="170" fontId="0" fillId="44" borderId="37" xfId="0" applyNumberFormat="1" applyFill="1" applyBorder="1" applyAlignment="1"/>
    <xf numFmtId="0" fontId="4" fillId="14" borderId="67" xfId="0" quotePrefix="1" applyFont="1" applyFill="1" applyBorder="1"/>
    <xf numFmtId="170" fontId="0" fillId="14" borderId="66" xfId="0" applyNumberFormat="1" applyFill="1" applyBorder="1"/>
    <xf numFmtId="0" fontId="0" fillId="34" borderId="0" xfId="0" applyFill="1"/>
    <xf numFmtId="0" fontId="3" fillId="34" borderId="0" xfId="0" applyFont="1" applyFill="1" applyAlignment="1">
      <alignment horizontal="right"/>
    </xf>
    <xf numFmtId="0" fontId="4" fillId="34" borderId="0" xfId="0" applyFont="1" applyFill="1" applyAlignment="1">
      <alignment horizontal="right"/>
    </xf>
    <xf numFmtId="5" fontId="0" fillId="34" borderId="0" xfId="0" applyNumberFormat="1" applyFill="1"/>
    <xf numFmtId="10" fontId="0" fillId="0" borderId="0" xfId="4" applyNumberFormat="1" applyFont="1"/>
    <xf numFmtId="5" fontId="0" fillId="34" borderId="34" xfId="0" applyNumberFormat="1" applyFill="1" applyBorder="1"/>
    <xf numFmtId="0" fontId="4" fillId="34" borderId="9" xfId="0" applyFont="1" applyFill="1" applyBorder="1" applyAlignment="1">
      <alignment horizontal="right"/>
    </xf>
    <xf numFmtId="0" fontId="4" fillId="34" borderId="36" xfId="0" applyFont="1" applyFill="1" applyBorder="1" applyAlignment="1">
      <alignment horizontal="right"/>
    </xf>
    <xf numFmtId="166" fontId="0" fillId="44" borderId="0" xfId="0" applyNumberFormat="1" applyFill="1"/>
    <xf numFmtId="10" fontId="0" fillId="44" borderId="0" xfId="0" applyNumberFormat="1" applyFill="1"/>
    <xf numFmtId="0" fontId="53" fillId="4" borderId="32" xfId="0" applyFont="1" applyFill="1" applyBorder="1" applyAlignment="1" applyProtection="1">
      <alignment horizontal="center"/>
      <protection hidden="1"/>
    </xf>
    <xf numFmtId="0" fontId="7" fillId="24" borderId="1" xfId="0" applyFont="1" applyFill="1" applyBorder="1" applyAlignment="1" applyProtection="1">
      <alignment horizontal="left" vertical="center" wrapText="1"/>
      <protection hidden="1"/>
    </xf>
    <xf numFmtId="0" fontId="7" fillId="24" borderId="0" xfId="0" applyFont="1" applyFill="1" applyBorder="1" applyAlignment="1" applyProtection="1">
      <alignment horizontal="left" vertical="center" wrapText="1"/>
      <protection hidden="1"/>
    </xf>
    <xf numFmtId="0" fontId="7" fillId="24" borderId="35" xfId="0" applyFont="1" applyFill="1" applyBorder="1" applyAlignment="1" applyProtection="1">
      <alignment horizontal="left" vertical="center" wrapText="1"/>
      <protection hidden="1"/>
    </xf>
    <xf numFmtId="0" fontId="21" fillId="27" borderId="1" xfId="0" applyFont="1" applyFill="1" applyBorder="1" applyAlignment="1">
      <alignment horizontal="center" textRotation="90"/>
    </xf>
    <xf numFmtId="0" fontId="21" fillId="27" borderId="0" xfId="0" applyFont="1" applyFill="1" applyBorder="1" applyAlignment="1">
      <alignment horizontal="center" textRotation="90"/>
    </xf>
    <xf numFmtId="0" fontId="21" fillId="31" borderId="1" xfId="0" applyFont="1" applyFill="1" applyBorder="1" applyAlignment="1">
      <alignment horizontal="center" textRotation="90"/>
    </xf>
    <xf numFmtId="0" fontId="21" fillId="31" borderId="0" xfId="0" applyFont="1" applyFill="1" applyBorder="1" applyAlignment="1">
      <alignment horizontal="center" textRotation="90"/>
    </xf>
    <xf numFmtId="0" fontId="10" fillId="0" borderId="0" xfId="0" applyFont="1" applyAlignment="1">
      <alignment horizontal="center"/>
    </xf>
    <xf numFmtId="0" fontId="45" fillId="24" borderId="1" xfId="0" applyFont="1" applyFill="1" applyBorder="1" applyAlignment="1" applyProtection="1">
      <alignment horizontal="left" vertical="center" wrapText="1"/>
      <protection hidden="1"/>
    </xf>
    <xf numFmtId="0" fontId="45" fillId="24" borderId="0" xfId="0" applyFont="1" applyFill="1" applyBorder="1" applyAlignment="1" applyProtection="1">
      <alignment horizontal="left" vertical="center" wrapText="1"/>
      <protection hidden="1"/>
    </xf>
    <xf numFmtId="0" fontId="45" fillId="24" borderId="35" xfId="0" applyFont="1" applyFill="1" applyBorder="1" applyAlignment="1" applyProtection="1">
      <alignment horizontal="left" vertical="center" wrapText="1"/>
      <protection hidden="1"/>
    </xf>
    <xf numFmtId="0" fontId="15" fillId="24" borderId="0" xfId="0" applyFont="1" applyFill="1" applyBorder="1" applyAlignment="1" applyProtection="1">
      <alignment horizontal="center"/>
      <protection hidden="1"/>
    </xf>
    <xf numFmtId="0" fontId="26" fillId="11" borderId="23" xfId="0" applyFont="1" applyFill="1" applyBorder="1" applyAlignment="1" applyProtection="1">
      <alignment horizontal="center" vertical="center"/>
      <protection locked="0"/>
    </xf>
    <xf numFmtId="0" fontId="26" fillId="11" borderId="28" xfId="0" applyFont="1" applyFill="1" applyBorder="1" applyAlignment="1" applyProtection="1">
      <alignment horizontal="center" vertical="center"/>
      <protection locked="0"/>
    </xf>
    <xf numFmtId="0" fontId="26" fillId="11" borderId="24" xfId="0" applyFont="1" applyFill="1" applyBorder="1" applyAlignment="1" applyProtection="1">
      <alignment horizontal="center" vertical="center"/>
      <protection locked="0"/>
    </xf>
    <xf numFmtId="0" fontId="18" fillId="14" borderId="49" xfId="0" applyFont="1" applyFill="1" applyBorder="1" applyAlignment="1" applyProtection="1">
      <alignment vertical="top" wrapText="1"/>
      <protection hidden="1"/>
    </xf>
    <xf numFmtId="0" fontId="18" fillId="14" borderId="50" xfId="0" applyFont="1" applyFill="1" applyBorder="1" applyAlignment="1" applyProtection="1">
      <alignment vertical="top" wrapText="1"/>
      <protection hidden="1"/>
    </xf>
    <xf numFmtId="0" fontId="18" fillId="14" borderId="51" xfId="0" applyFont="1" applyFill="1" applyBorder="1" applyAlignment="1" applyProtection="1">
      <alignment vertical="top" wrapText="1"/>
      <protection hidden="1"/>
    </xf>
    <xf numFmtId="0" fontId="52" fillId="24" borderId="32" xfId="0" applyFont="1" applyFill="1" applyBorder="1" applyAlignment="1" applyProtection="1">
      <alignment horizontal="center"/>
      <protection hidden="1"/>
    </xf>
    <xf numFmtId="0" fontId="52" fillId="31" borderId="0" xfId="0" applyFont="1" applyFill="1" applyBorder="1" applyAlignment="1" applyProtection="1">
      <alignment horizontal="center"/>
      <protection hidden="1"/>
    </xf>
    <xf numFmtId="0" fontId="15" fillId="31" borderId="0" xfId="0" applyFont="1" applyFill="1" applyBorder="1" applyAlignment="1" applyProtection="1">
      <alignment horizontal="center"/>
      <protection hidden="1"/>
    </xf>
    <xf numFmtId="0" fontId="26" fillId="12" borderId="23" xfId="0" applyFont="1" applyFill="1" applyBorder="1" applyAlignment="1" applyProtection="1">
      <alignment horizontal="center" vertical="center"/>
    </xf>
    <xf numFmtId="0" fontId="26" fillId="12" borderId="28" xfId="0" applyFont="1" applyFill="1" applyBorder="1" applyAlignment="1" applyProtection="1">
      <alignment horizontal="center" vertical="center"/>
    </xf>
    <xf numFmtId="0" fontId="26" fillId="12" borderId="24" xfId="0" applyFont="1" applyFill="1" applyBorder="1" applyAlignment="1" applyProtection="1">
      <alignment horizontal="center" vertical="center"/>
    </xf>
    <xf numFmtId="0" fontId="0" fillId="0" borderId="34" xfId="0" applyBorder="1" applyAlignment="1">
      <alignment horizontal="center" vertical="center"/>
    </xf>
    <xf numFmtId="0" fontId="0" fillId="0" borderId="80" xfId="0" applyBorder="1" applyAlignment="1">
      <alignment horizontal="center" vertical="center"/>
    </xf>
    <xf numFmtId="0" fontId="0" fillId="0" borderId="83" xfId="0" applyBorder="1" applyAlignment="1">
      <alignment horizontal="center" vertical="center"/>
    </xf>
    <xf numFmtId="0" fontId="4" fillId="0" borderId="0" xfId="0" applyFont="1" applyAlignment="1">
      <alignment textRotation="90"/>
    </xf>
    <xf numFmtId="0" fontId="0" fillId="0" borderId="0" xfId="0" applyAlignment="1">
      <alignment textRotation="90"/>
    </xf>
    <xf numFmtId="0" fontId="60" fillId="24" borderId="32" xfId="0" applyFont="1" applyFill="1" applyBorder="1" applyAlignment="1" applyProtection="1">
      <alignment horizontal="center"/>
      <protection hidden="1"/>
    </xf>
    <xf numFmtId="0" fontId="60" fillId="31" borderId="0" xfId="0" applyFont="1" applyFill="1" applyBorder="1" applyAlignment="1" applyProtection="1">
      <alignment horizontal="center"/>
      <protection hidden="1"/>
    </xf>
    <xf numFmtId="0" fontId="25" fillId="5" borderId="38" xfId="0" applyFont="1" applyFill="1" applyBorder="1" applyAlignment="1">
      <alignment horizontal="left" vertical="top" wrapText="1"/>
    </xf>
    <xf numFmtId="0" fontId="25" fillId="5" borderId="39" xfId="0" applyFont="1" applyFill="1" applyBorder="1" applyAlignment="1">
      <alignment horizontal="left" vertical="top" wrapText="1"/>
    </xf>
    <xf numFmtId="0" fontId="25" fillId="5" borderId="40" xfId="0" applyFont="1" applyFill="1" applyBorder="1" applyAlignment="1">
      <alignment horizontal="left" vertical="top" wrapText="1"/>
    </xf>
    <xf numFmtId="0" fontId="24" fillId="0" borderId="38" xfId="0" applyFont="1" applyBorder="1" applyAlignment="1">
      <alignment horizontal="center"/>
    </xf>
    <xf numFmtId="0" fontId="24" fillId="0" borderId="40" xfId="0" applyFont="1" applyBorder="1" applyAlignment="1">
      <alignment horizontal="center"/>
    </xf>
    <xf numFmtId="0" fontId="3" fillId="0" borderId="23" xfId="0" applyFont="1" applyFill="1" applyBorder="1" applyAlignment="1" applyProtection="1">
      <alignment horizontal="center"/>
    </xf>
    <xf numFmtId="0" fontId="3" fillId="0" borderId="28" xfId="0" applyFont="1" applyFill="1" applyBorder="1" applyAlignment="1" applyProtection="1">
      <alignment horizontal="center"/>
    </xf>
    <xf numFmtId="0" fontId="3" fillId="0" borderId="24" xfId="0" applyFont="1" applyFill="1" applyBorder="1" applyAlignment="1" applyProtection="1">
      <alignment horizontal="center"/>
    </xf>
    <xf numFmtId="0" fontId="6" fillId="8" borderId="3" xfId="0" applyFont="1" applyFill="1" applyBorder="1" applyAlignment="1" applyProtection="1">
      <alignment horizontal="center"/>
    </xf>
    <xf numFmtId="0" fontId="6" fillId="8" borderId="4" xfId="0" applyFont="1" applyFill="1" applyBorder="1" applyAlignment="1" applyProtection="1">
      <alignment horizontal="center"/>
    </xf>
    <xf numFmtId="0" fontId="6" fillId="8" borderId="5" xfId="0" applyFont="1" applyFill="1" applyBorder="1" applyAlignment="1" applyProtection="1">
      <alignment horizontal="center"/>
    </xf>
    <xf numFmtId="0" fontId="22" fillId="3" borderId="38" xfId="0" applyFont="1" applyFill="1" applyBorder="1" applyAlignment="1" applyProtection="1">
      <alignment horizontal="center"/>
    </xf>
    <xf numFmtId="0" fontId="22" fillId="3" borderId="39" xfId="0" applyFont="1" applyFill="1" applyBorder="1" applyAlignment="1" applyProtection="1">
      <alignment horizontal="center"/>
    </xf>
    <xf numFmtId="0" fontId="22" fillId="3" borderId="40" xfId="0" applyFont="1" applyFill="1" applyBorder="1" applyAlignment="1" applyProtection="1">
      <alignment horizontal="center"/>
    </xf>
    <xf numFmtId="0" fontId="31" fillId="0" borderId="0" xfId="0" applyFont="1" applyAlignment="1" applyProtection="1">
      <alignment horizontal="center" vertical="center" textRotation="90"/>
    </xf>
    <xf numFmtId="0" fontId="0" fillId="0" borderId="0" xfId="0" applyAlignment="1" applyProtection="1">
      <alignment horizontal="center"/>
    </xf>
    <xf numFmtId="0" fontId="6" fillId="0" borderId="4" xfId="0" applyFont="1" applyBorder="1" applyAlignment="1" applyProtection="1">
      <alignment horizontal="center"/>
    </xf>
    <xf numFmtId="0" fontId="4" fillId="0" borderId="9" xfId="0" applyFont="1" applyBorder="1" applyAlignment="1">
      <alignment horizontal="center"/>
    </xf>
    <xf numFmtId="0" fontId="0" fillId="0" borderId="9" xfId="0" applyBorder="1" applyAlignment="1">
      <alignment horizontal="center"/>
    </xf>
    <xf numFmtId="0" fontId="29" fillId="6" borderId="0" xfId="0" applyFont="1" applyFill="1" applyBorder="1" applyAlignment="1">
      <alignment horizontal="center"/>
    </xf>
    <xf numFmtId="0" fontId="29" fillId="6" borderId="35" xfId="0" applyFont="1" applyFill="1" applyBorder="1" applyAlignment="1">
      <alignment horizontal="center"/>
    </xf>
    <xf numFmtId="0" fontId="5" fillId="0" borderId="5" xfId="0" applyFont="1" applyFill="1" applyBorder="1" applyAlignment="1" applyProtection="1">
      <alignment horizontal="right" wrapText="1"/>
    </xf>
    <xf numFmtId="0" fontId="5" fillId="0" borderId="2" xfId="0" applyFont="1" applyFill="1" applyBorder="1" applyAlignment="1" applyProtection="1">
      <alignment horizontal="right" wrapText="1"/>
    </xf>
    <xf numFmtId="0" fontId="6" fillId="0" borderId="23" xfId="0" applyFont="1" applyFill="1" applyBorder="1" applyAlignment="1" applyProtection="1">
      <alignment horizontal="center"/>
    </xf>
    <xf numFmtId="0" fontId="6" fillId="0" borderId="28" xfId="0" applyFont="1" applyFill="1" applyBorder="1" applyAlignment="1" applyProtection="1">
      <alignment horizontal="center"/>
    </xf>
    <xf numFmtId="0" fontId="6" fillId="0" borderId="24" xfId="0" applyFont="1" applyFill="1" applyBorder="1" applyAlignment="1" applyProtection="1">
      <alignment horizontal="center"/>
    </xf>
    <xf numFmtId="0" fontId="0" fillId="0" borderId="3" xfId="0" applyBorder="1" applyAlignment="1" applyProtection="1">
      <alignment horizontal="center" wrapText="1"/>
    </xf>
    <xf numFmtId="0" fontId="0" fillId="0" borderId="5" xfId="0" applyBorder="1" applyAlignment="1" applyProtection="1">
      <alignment horizontal="center" wrapText="1"/>
    </xf>
    <xf numFmtId="0" fontId="0" fillId="0" borderId="6" xfId="0" applyBorder="1" applyAlignment="1" applyProtection="1">
      <alignment horizontal="center" wrapText="1"/>
    </xf>
    <xf numFmtId="0" fontId="0" fillId="0" borderId="8" xfId="0" applyBorder="1" applyAlignment="1" applyProtection="1">
      <alignment horizontal="center" wrapText="1"/>
    </xf>
    <xf numFmtId="0" fontId="4" fillId="14" borderId="20" xfId="0" applyFont="1" applyFill="1" applyBorder="1" applyAlignment="1" applyProtection="1">
      <alignment horizontal="center" vertical="center" wrapText="1"/>
    </xf>
    <xf numFmtId="0" fontId="4" fillId="14" borderId="21" xfId="0" applyFont="1" applyFill="1" applyBorder="1" applyAlignment="1" applyProtection="1">
      <alignment horizontal="center" vertical="center" wrapText="1"/>
    </xf>
    <xf numFmtId="0" fontId="4" fillId="14" borderId="22" xfId="0" applyFont="1" applyFill="1" applyBorder="1" applyAlignment="1" applyProtection="1">
      <alignment horizontal="center" vertical="center" wrapText="1"/>
    </xf>
    <xf numFmtId="0" fontId="5" fillId="0" borderId="3" xfId="0" applyFont="1" applyFill="1" applyBorder="1" applyAlignment="1" applyProtection="1">
      <alignment horizontal="center" wrapText="1"/>
    </xf>
    <xf numFmtId="0" fontId="5" fillId="0" borderId="5" xfId="0" applyFont="1" applyFill="1" applyBorder="1" applyAlignment="1" applyProtection="1">
      <alignment horizontal="center" wrapText="1"/>
    </xf>
    <xf numFmtId="0" fontId="5" fillId="0" borderId="1" xfId="0" applyFont="1" applyFill="1" applyBorder="1" applyAlignment="1" applyProtection="1">
      <alignment horizontal="center" wrapText="1"/>
    </xf>
    <xf numFmtId="0" fontId="5" fillId="0" borderId="2" xfId="0" applyFont="1" applyFill="1" applyBorder="1" applyAlignment="1" applyProtection="1">
      <alignment horizontal="center" wrapText="1"/>
    </xf>
    <xf numFmtId="0" fontId="4" fillId="14" borderId="0" xfId="0" applyFont="1" applyFill="1" applyAlignment="1">
      <alignment vertical="top" wrapText="1"/>
    </xf>
    <xf numFmtId="0" fontId="4" fillId="14" borderId="0" xfId="0" applyFont="1" applyFill="1" applyAlignment="1">
      <alignment wrapText="1"/>
    </xf>
    <xf numFmtId="0" fontId="4" fillId="38" borderId="76" xfId="0" applyFont="1" applyFill="1" applyBorder="1" applyAlignment="1">
      <alignment wrapText="1"/>
    </xf>
    <xf numFmtId="0" fontId="0" fillId="38" borderId="73" xfId="0" applyFill="1" applyBorder="1" applyAlignment="1">
      <alignment wrapText="1"/>
    </xf>
    <xf numFmtId="0" fontId="4" fillId="20" borderId="3" xfId="0" applyFont="1" applyFill="1" applyBorder="1" applyAlignment="1">
      <alignment horizontal="center" wrapText="1"/>
    </xf>
    <xf numFmtId="0" fontId="4" fillId="20" borderId="11" xfId="0" applyFont="1" applyFill="1" applyBorder="1" applyAlignment="1">
      <alignment horizontal="center" wrapText="1"/>
    </xf>
    <xf numFmtId="0" fontId="43" fillId="16" borderId="38" xfId="0" applyFont="1" applyFill="1" applyBorder="1" applyAlignment="1">
      <alignment horizontal="center" vertical="center"/>
    </xf>
    <xf numFmtId="0" fontId="43" fillId="16" borderId="39" xfId="0" applyFont="1" applyFill="1" applyBorder="1" applyAlignment="1">
      <alignment horizontal="center" vertical="center"/>
    </xf>
    <xf numFmtId="0" fontId="43" fillId="16" borderId="43" xfId="0" applyFont="1" applyFill="1" applyBorder="1" applyAlignment="1">
      <alignment horizontal="center" vertical="center"/>
    </xf>
    <xf numFmtId="0" fontId="43" fillId="17" borderId="38" xfId="0" applyFont="1" applyFill="1" applyBorder="1" applyAlignment="1">
      <alignment horizontal="center" vertical="center"/>
    </xf>
    <xf numFmtId="0" fontId="43" fillId="17" borderId="39" xfId="0" applyFont="1" applyFill="1" applyBorder="1" applyAlignment="1">
      <alignment horizontal="center" vertical="center"/>
    </xf>
    <xf numFmtId="0" fontId="43" fillId="17" borderId="43" xfId="0" applyFont="1" applyFill="1" applyBorder="1" applyAlignment="1">
      <alignment horizontal="center" vertical="center"/>
    </xf>
    <xf numFmtId="0" fontId="43" fillId="18" borderId="38" xfId="0" applyFont="1" applyFill="1" applyBorder="1" applyAlignment="1">
      <alignment horizontal="center" vertical="center"/>
    </xf>
    <xf numFmtId="0" fontId="43" fillId="18" borderId="39" xfId="0" applyFont="1" applyFill="1" applyBorder="1" applyAlignment="1">
      <alignment horizontal="center" vertical="center"/>
    </xf>
    <xf numFmtId="0" fontId="43" fillId="18" borderId="43" xfId="0" applyFont="1" applyFill="1" applyBorder="1" applyAlignment="1">
      <alignment horizontal="center" vertical="center"/>
    </xf>
    <xf numFmtId="0" fontId="43" fillId="18" borderId="44" xfId="0" applyFont="1" applyFill="1" applyBorder="1" applyAlignment="1">
      <alignment horizontal="center" vertical="center"/>
    </xf>
    <xf numFmtId="0" fontId="4" fillId="0" borderId="0" xfId="0" applyFont="1" applyAlignment="1">
      <alignment horizontal="right" wrapText="1"/>
    </xf>
    <xf numFmtId="0" fontId="4" fillId="0" borderId="26" xfId="0" applyFont="1" applyFill="1" applyBorder="1" applyAlignment="1">
      <alignment horizontal="center"/>
    </xf>
    <xf numFmtId="0" fontId="4" fillId="0" borderId="29" xfId="0" applyFont="1" applyBorder="1" applyAlignment="1">
      <alignment vertical="center" wrapText="1"/>
    </xf>
    <xf numFmtId="0" fontId="4" fillId="0" borderId="26" xfId="0" applyFont="1" applyBorder="1" applyAlignment="1">
      <alignment vertical="center" wrapText="1"/>
    </xf>
    <xf numFmtId="0" fontId="4" fillId="0" borderId="30" xfId="0" applyFont="1" applyBorder="1" applyAlignment="1">
      <alignment vertical="center" wrapText="1"/>
    </xf>
  </cellXfs>
  <cellStyles count="8">
    <cellStyle name="Comma" xfId="1" builtinId="3"/>
    <cellStyle name="Currency" xfId="2" builtinId="4"/>
    <cellStyle name="Hyperlink" xfId="3" builtinId="8"/>
    <cellStyle name="Normal" xfId="0" builtinId="0"/>
    <cellStyle name="Normal 2" xfId="5" xr:uid="{D9603DFB-5DB8-4070-BE65-61A9AF56B7A0}"/>
    <cellStyle name="Normal 3" xfId="6" xr:uid="{2A85B9E0-99D7-478A-9747-3C648A3E2F1A}"/>
    <cellStyle name="Normal 4" xfId="7" xr:uid="{30ED3BC6-8203-45D3-9B7B-784508814871}"/>
    <cellStyle name="Percent" xfId="4" builtinId="5"/>
  </cellStyles>
  <dxfs count="2">
    <dxf>
      <font>
        <strike val="0"/>
        <condense val="0"/>
        <extend val="0"/>
        <u val="none"/>
        <color indexed="41"/>
      </font>
      <fill>
        <patternFill>
          <bgColor indexed="41"/>
        </patternFill>
      </fill>
    </dxf>
    <dxf>
      <font>
        <strike val="0"/>
        <condense val="0"/>
        <extend val="0"/>
        <u val="none"/>
        <color indexed="41"/>
      </font>
      <fill>
        <patternFill>
          <bgColor indexed="4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A4FEA8"/>
      <color rgb="FFCCFFFF"/>
      <color rgb="FFFFC5C5"/>
      <color rgb="FFFFC9C9"/>
      <color rgb="FF0041C4"/>
      <color rgb="FFFF7575"/>
      <color rgb="FFFFBDBD"/>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s>
</file>

<file path=xl/ctrlProps/ctrlProp1.xml><?xml version="1.0" encoding="utf-8"?>
<formControlPr xmlns="http://schemas.microsoft.com/office/spreadsheetml/2009/9/main" objectType="Drop" dropLines="66" dropStyle="combo" dx="31" fmlaLink="Calculations!$P$4" fmlaRange="Calculations!$O$8:$O$9"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5</xdr:row>
          <xdr:rowOff>38100</xdr:rowOff>
        </xdr:from>
        <xdr:to>
          <xdr:col>7</xdr:col>
          <xdr:colOff>704850</xdr:colOff>
          <xdr:row>5</xdr:row>
          <xdr:rowOff>285750</xdr:rowOff>
        </xdr:to>
        <xdr:sp macro="" textlink="">
          <xdr:nvSpPr>
            <xdr:cNvPr id="1084" name="Drop Dow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81406</xdr:colOff>
      <xdr:row>22</xdr:row>
      <xdr:rowOff>57150</xdr:rowOff>
    </xdr:from>
    <xdr:ext cx="822021" cy="311496"/>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691006" y="3733800"/>
          <a:ext cx="822021" cy="31149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t>M</a:t>
          </a:r>
          <a:r>
            <a:rPr lang="en-US" sz="1400" b="1" baseline="0"/>
            <a:t> </a:t>
          </a:r>
          <a:r>
            <a:rPr lang="en-US" sz="1400" b="1"/>
            <a:t>(Max)</a:t>
          </a:r>
        </a:p>
      </xdr:txBody>
    </xdr:sp>
    <xdr:clientData/>
  </xdr:oneCellAnchor>
  <xdr:twoCellAnchor>
    <xdr:from>
      <xdr:col>1</xdr:col>
      <xdr:colOff>47625</xdr:colOff>
      <xdr:row>24</xdr:row>
      <xdr:rowOff>0</xdr:rowOff>
    </xdr:from>
    <xdr:to>
      <xdr:col>3</xdr:col>
      <xdr:colOff>1057275</xdr:colOff>
      <xdr:row>30</xdr:row>
      <xdr:rowOff>0</xdr:rowOff>
    </xdr:to>
    <xdr:sp macro="" textlink="">
      <xdr:nvSpPr>
        <xdr:cNvPr id="2" name="Trapezoid 1">
          <a:extLst>
            <a:ext uri="{FF2B5EF4-FFF2-40B4-BE49-F238E27FC236}">
              <a16:creationId xmlns:a16="http://schemas.microsoft.com/office/drawing/2014/main" id="{00000000-0008-0000-0A00-000002000000}"/>
            </a:ext>
          </a:extLst>
        </xdr:cNvPr>
        <xdr:cNvSpPr/>
      </xdr:nvSpPr>
      <xdr:spPr bwMode="auto">
        <a:xfrm>
          <a:off x="657225" y="4000500"/>
          <a:ext cx="3352800" cy="971550"/>
        </a:xfrm>
        <a:prstGeom prst="trapezoid">
          <a:avLst>
            <a:gd name="adj" fmla="val 128421"/>
          </a:avLst>
        </a:prstGeom>
        <a:solidFill>
          <a:srgbClr xmlns:mc="http://schemas.openxmlformats.org/markup-compatibility/2006" xmlns:a14="http://schemas.microsoft.com/office/drawing/2010/main" val="FFFFE1" mc:Ignorable="a14" a14:legacySpreadsheetColorIndex="80"/>
        </a:solidFill>
        <a:ln w="15875" cap="flat" cmpd="sng" algn="ctr">
          <a:solidFill>
            <a:srgbClr val="000000"/>
          </a:solidFill>
          <a:prstDash val="solid"/>
          <a:round/>
          <a:headEnd type="none" w="med" len="med"/>
          <a:tailEnd type="none" w="med" len="med"/>
        </a:ln>
        <a:effectLst/>
        <a:extLst>
          <a:ext uri="{53640926-AAD7-44D8-BBD7-CCE9431645EC}">
            <a14:shadowObscured xmlns:a14="http://schemas.microsoft.com/office/drawing/2010/main" val="1"/>
          </a:ext>
        </a:extLst>
      </xdr:spPr>
      <xdr:txBody>
        <a:bodyPr vertOverflow="clip" horzOverflow="clip" wrap="square" lIns="18288" tIns="0" rIns="0" bIns="0" rtlCol="0" anchor="t" upright="1"/>
        <a:lstStyle/>
        <a:p>
          <a:pPr algn="l"/>
          <a:endParaRPr lang="en-US" sz="1100"/>
        </a:p>
      </xdr:txBody>
    </xdr:sp>
    <xdr:clientData/>
  </xdr:twoCellAnchor>
  <xdr:twoCellAnchor>
    <xdr:from>
      <xdr:col>1</xdr:col>
      <xdr:colOff>38100</xdr:colOff>
      <xdr:row>21</xdr:row>
      <xdr:rowOff>38100</xdr:rowOff>
    </xdr:from>
    <xdr:to>
      <xdr:col>1</xdr:col>
      <xdr:colOff>38100</xdr:colOff>
      <xdr:row>30</xdr:row>
      <xdr:rowOff>0</xdr:rowOff>
    </xdr:to>
    <xdr:cxnSp macro="">
      <xdr:nvCxnSpPr>
        <xdr:cNvPr id="4" name="Straight Connector 3">
          <a:extLst>
            <a:ext uri="{FF2B5EF4-FFF2-40B4-BE49-F238E27FC236}">
              <a16:creationId xmlns:a16="http://schemas.microsoft.com/office/drawing/2014/main" id="{00000000-0008-0000-0A00-000004000000}"/>
            </a:ext>
          </a:extLst>
        </xdr:cNvPr>
        <xdr:cNvCxnSpPr/>
      </xdr:nvCxnSpPr>
      <xdr:spPr bwMode="auto">
        <a:xfrm flipV="1">
          <a:off x="647700" y="3552825"/>
          <a:ext cx="0" cy="1419225"/>
        </a:xfrm>
        <a:prstGeom prst="line">
          <a:avLst/>
        </a:prstGeom>
        <a:solidFill>
          <a:srgbClr xmlns:mc="http://schemas.openxmlformats.org/markup-compatibility/2006" xmlns:a14="http://schemas.microsoft.com/office/drawing/2010/main" val="FFFFE1" mc:Ignorable="a14" a14:legacySpreadsheetColorIndex="80"/>
        </a:solidFill>
        <a:ln w="19050" cap="flat" cmpd="sng" algn="ctr">
          <a:solidFill>
            <a:srgbClr val="000000"/>
          </a:solidFill>
          <a:prstDash val="solid"/>
          <a:round/>
          <a:headEnd type="none" w="med" len="med"/>
          <a:tailEnd type="none" w="med" len="med"/>
        </a:ln>
        <a:effectLst/>
        <a:extLst>
          <a:ext uri="{53640926-AAD7-44D8-BBD7-CCE9431645EC}">
            <a14:shadowObscured xmlns:a14="http://schemas.microsoft.com/office/drawing/2010/main" val="1"/>
          </a:ext>
        </a:extLst>
      </xdr:spPr>
    </xdr:cxnSp>
    <xdr:clientData/>
  </xdr:twoCellAnchor>
  <xdr:oneCellAnchor>
    <xdr:from>
      <xdr:col>1</xdr:col>
      <xdr:colOff>716824</xdr:colOff>
      <xdr:row>31</xdr:row>
      <xdr:rowOff>133350</xdr:rowOff>
    </xdr:from>
    <xdr:ext cx="1989584" cy="374141"/>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326424" y="5267325"/>
          <a:ext cx="1989584" cy="37414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800" b="1"/>
            <a:t>Earned Income (EI)</a:t>
          </a:r>
        </a:p>
      </xdr:txBody>
    </xdr:sp>
    <xdr:clientData/>
  </xdr:oneCellAnchor>
  <xdr:oneCellAnchor>
    <xdr:from>
      <xdr:col>0</xdr:col>
      <xdr:colOff>471020</xdr:colOff>
      <xdr:row>30</xdr:row>
      <xdr:rowOff>28575</xdr:rowOff>
    </xdr:from>
    <xdr:ext cx="366640" cy="311496"/>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471020" y="5000625"/>
          <a:ext cx="366640" cy="31149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t>$0</a:t>
          </a:r>
        </a:p>
      </xdr:txBody>
    </xdr:sp>
    <xdr:clientData/>
  </xdr:oneCellAnchor>
  <xdr:oneCellAnchor>
    <xdr:from>
      <xdr:col>3</xdr:col>
      <xdr:colOff>691332</xdr:colOff>
      <xdr:row>30</xdr:row>
      <xdr:rowOff>19050</xdr:rowOff>
    </xdr:from>
    <xdr:ext cx="668966" cy="530658"/>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3644082" y="4991100"/>
          <a:ext cx="668966" cy="53065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t>L</a:t>
          </a:r>
        </a:p>
        <a:p>
          <a:pPr algn="ctr"/>
          <a:r>
            <a:rPr lang="en-US" sz="1400" b="1"/>
            <a:t>(Limit)</a:t>
          </a:r>
        </a:p>
      </xdr:txBody>
    </xdr:sp>
    <xdr:clientData/>
  </xdr:oneCellAnchor>
  <xdr:twoCellAnchor>
    <xdr:from>
      <xdr:col>1</xdr:col>
      <xdr:colOff>47625</xdr:colOff>
      <xdr:row>24</xdr:row>
      <xdr:rowOff>9525</xdr:rowOff>
    </xdr:from>
    <xdr:to>
      <xdr:col>1</xdr:col>
      <xdr:colOff>1238250</xdr:colOff>
      <xdr:row>24</xdr:row>
      <xdr:rowOff>9525</xdr:rowOff>
    </xdr:to>
    <xdr:cxnSp macro="">
      <xdr:nvCxnSpPr>
        <xdr:cNvPr id="10" name="Straight Connector 9">
          <a:extLst>
            <a:ext uri="{FF2B5EF4-FFF2-40B4-BE49-F238E27FC236}">
              <a16:creationId xmlns:a16="http://schemas.microsoft.com/office/drawing/2014/main" id="{00000000-0008-0000-0A00-00000A000000}"/>
            </a:ext>
          </a:extLst>
        </xdr:cNvPr>
        <xdr:cNvCxnSpPr/>
      </xdr:nvCxnSpPr>
      <xdr:spPr bwMode="auto">
        <a:xfrm>
          <a:off x="657225" y="4010025"/>
          <a:ext cx="1190625" cy="0"/>
        </a:xfrm>
        <a:prstGeom prst="line">
          <a:avLst/>
        </a:prstGeom>
        <a:solidFill>
          <a:srgbClr xmlns:mc="http://schemas.openxmlformats.org/markup-compatibility/2006" xmlns:a14="http://schemas.microsoft.com/office/drawing/2010/main" val="FFFFE1" mc:Ignorable="a14" a14:legacySpreadsheetColorIndex="80"/>
        </a:solidFill>
        <a:ln w="9525" cap="flat" cmpd="sng" algn="ctr">
          <a:solidFill>
            <a:srgbClr val="000000"/>
          </a:solidFill>
          <a:prstDash val="dash"/>
          <a:round/>
          <a:headEnd type="none" w="med" len="med"/>
          <a:tailEnd type="none" w="med" len="med"/>
        </a:ln>
        <a:effectLst/>
        <a:extLst>
          <a:ext uri="{53640926-AAD7-44D8-BBD7-CCE9431645EC}">
            <a14:shadowObscured xmlns:a14="http://schemas.microsoft.com/office/drawing/2010/main" val="1"/>
          </a:ext>
        </a:extLst>
      </xdr:spPr>
    </xdr:cxnSp>
    <xdr:clientData/>
  </xdr:twoCellAnchor>
  <xdr:oneCellAnchor>
    <xdr:from>
      <xdr:col>0</xdr:col>
      <xdr:colOff>317622</xdr:colOff>
      <xdr:row>20</xdr:row>
      <xdr:rowOff>1972</xdr:rowOff>
    </xdr:from>
    <xdr:ext cx="311496" cy="1755352"/>
    <xdr:sp macro="" textlink="">
      <xdr:nvSpPr>
        <xdr:cNvPr id="12" name="TextBox 11">
          <a:extLst>
            <a:ext uri="{FF2B5EF4-FFF2-40B4-BE49-F238E27FC236}">
              <a16:creationId xmlns:a16="http://schemas.microsoft.com/office/drawing/2014/main" id="{00000000-0008-0000-0A00-00000C000000}"/>
            </a:ext>
          </a:extLst>
        </xdr:cNvPr>
        <xdr:cNvSpPr txBox="1"/>
      </xdr:nvSpPr>
      <xdr:spPr>
        <a:xfrm rot="16200000">
          <a:off x="-404306" y="4076700"/>
          <a:ext cx="1755352" cy="31149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t>Credit Amount (EITC)</a:t>
          </a:r>
        </a:p>
      </xdr:txBody>
    </xdr:sp>
    <xdr:clientData/>
  </xdr:oneCellAnchor>
  <xdr:twoCellAnchor>
    <xdr:from>
      <xdr:col>1</xdr:col>
      <xdr:colOff>1312863</xdr:colOff>
      <xdr:row>24</xdr:row>
      <xdr:rowOff>9528</xdr:rowOff>
    </xdr:from>
    <xdr:to>
      <xdr:col>1</xdr:col>
      <xdr:colOff>1312864</xdr:colOff>
      <xdr:row>29</xdr:row>
      <xdr:rowOff>157162</xdr:rowOff>
    </xdr:to>
    <xdr:cxnSp macro="">
      <xdr:nvCxnSpPr>
        <xdr:cNvPr id="13" name="Straight Connector 12">
          <a:extLst>
            <a:ext uri="{FF2B5EF4-FFF2-40B4-BE49-F238E27FC236}">
              <a16:creationId xmlns:a16="http://schemas.microsoft.com/office/drawing/2014/main" id="{00000000-0008-0000-0A00-00000D000000}"/>
            </a:ext>
          </a:extLst>
        </xdr:cNvPr>
        <xdr:cNvCxnSpPr/>
      </xdr:nvCxnSpPr>
      <xdr:spPr bwMode="auto">
        <a:xfrm flipH="1" flipV="1">
          <a:off x="1922463" y="4054478"/>
          <a:ext cx="1" cy="960434"/>
        </a:xfrm>
        <a:prstGeom prst="line">
          <a:avLst/>
        </a:prstGeom>
        <a:solidFill>
          <a:srgbClr xmlns:mc="http://schemas.openxmlformats.org/markup-compatibility/2006" xmlns:a14="http://schemas.microsoft.com/office/drawing/2010/main" val="FFFFE1" mc:Ignorable="a14" a14:legacySpreadsheetColorIndex="80"/>
        </a:solidFill>
        <a:ln w="9525" cap="flat" cmpd="sng" algn="ctr">
          <a:solidFill>
            <a:srgbClr val="000000"/>
          </a:solidFill>
          <a:prstDash val="dash"/>
          <a:round/>
          <a:headEnd type="none" w="med" len="med"/>
          <a:tailEnd type="none" w="med" len="med"/>
        </a:ln>
        <a:effectLst/>
        <a:extLst>
          <a:ext uri="{53640926-AAD7-44D8-BBD7-CCE9431645EC}">
            <a14:shadowObscured xmlns:a14="http://schemas.microsoft.com/office/drawing/2010/main" val="1"/>
          </a:ext>
        </a:extLst>
      </xdr:spPr>
    </xdr:cxnSp>
    <xdr:clientData/>
  </xdr:twoCellAnchor>
  <xdr:twoCellAnchor>
    <xdr:from>
      <xdr:col>2</xdr:col>
      <xdr:colOff>927101</xdr:colOff>
      <xdr:row>24</xdr:row>
      <xdr:rowOff>6</xdr:rowOff>
    </xdr:from>
    <xdr:to>
      <xdr:col>2</xdr:col>
      <xdr:colOff>927102</xdr:colOff>
      <xdr:row>29</xdr:row>
      <xdr:rowOff>147640</xdr:rowOff>
    </xdr:to>
    <xdr:cxnSp macro="">
      <xdr:nvCxnSpPr>
        <xdr:cNvPr id="15" name="Straight Connector 14">
          <a:extLst>
            <a:ext uri="{FF2B5EF4-FFF2-40B4-BE49-F238E27FC236}">
              <a16:creationId xmlns:a16="http://schemas.microsoft.com/office/drawing/2014/main" id="{00000000-0008-0000-0A00-00000F000000}"/>
            </a:ext>
          </a:extLst>
        </xdr:cNvPr>
        <xdr:cNvCxnSpPr/>
      </xdr:nvCxnSpPr>
      <xdr:spPr bwMode="auto">
        <a:xfrm flipH="1" flipV="1">
          <a:off x="2876551" y="4044956"/>
          <a:ext cx="1" cy="960434"/>
        </a:xfrm>
        <a:prstGeom prst="line">
          <a:avLst/>
        </a:prstGeom>
        <a:solidFill>
          <a:srgbClr xmlns:mc="http://schemas.openxmlformats.org/markup-compatibility/2006" xmlns:a14="http://schemas.microsoft.com/office/drawing/2010/main" val="FFFFE1" mc:Ignorable="a14" a14:legacySpreadsheetColorIndex="80"/>
        </a:solidFill>
        <a:ln w="9525" cap="flat" cmpd="sng" algn="ctr">
          <a:solidFill>
            <a:srgbClr val="000000"/>
          </a:solidFill>
          <a:prstDash val="dash"/>
          <a:round/>
          <a:headEnd type="none" w="med" len="med"/>
          <a:tailEnd type="none" w="med" len="med"/>
        </a:ln>
        <a:effectLst/>
        <a:extLst>
          <a:ext uri="{53640926-AAD7-44D8-BBD7-CCE9431645EC}">
            <a14:shadowObscured xmlns:a14="http://schemas.microsoft.com/office/drawing/2010/main" val="1"/>
          </a:ext>
        </a:extLst>
      </xdr:spPr>
    </xdr:cxnSp>
    <xdr:clientData/>
  </xdr:twoCellAnchor>
  <xdr:oneCellAnchor>
    <xdr:from>
      <xdr:col>1</xdr:col>
      <xdr:colOff>1161651</xdr:colOff>
      <xdr:row>30</xdr:row>
      <xdr:rowOff>9525</xdr:rowOff>
    </xdr:from>
    <xdr:ext cx="293478" cy="311496"/>
    <xdr:sp macro="" textlink="">
      <xdr:nvSpPr>
        <xdr:cNvPr id="16" name="TextBox 15">
          <a:extLst>
            <a:ext uri="{FF2B5EF4-FFF2-40B4-BE49-F238E27FC236}">
              <a16:creationId xmlns:a16="http://schemas.microsoft.com/office/drawing/2014/main" id="{00000000-0008-0000-0A00-000010000000}"/>
            </a:ext>
          </a:extLst>
        </xdr:cNvPr>
        <xdr:cNvSpPr txBox="1"/>
      </xdr:nvSpPr>
      <xdr:spPr>
        <a:xfrm>
          <a:off x="1771251" y="5032375"/>
          <a:ext cx="293478" cy="31149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t>A</a:t>
          </a:r>
        </a:p>
      </xdr:txBody>
    </xdr:sp>
    <xdr:clientData/>
  </xdr:oneCellAnchor>
  <xdr:oneCellAnchor>
    <xdr:from>
      <xdr:col>2</xdr:col>
      <xdr:colOff>774301</xdr:colOff>
      <xdr:row>30</xdr:row>
      <xdr:rowOff>9525</xdr:rowOff>
    </xdr:from>
    <xdr:ext cx="293478" cy="311496"/>
    <xdr:sp macro="" textlink="">
      <xdr:nvSpPr>
        <xdr:cNvPr id="17" name="TextBox 16">
          <a:extLst>
            <a:ext uri="{FF2B5EF4-FFF2-40B4-BE49-F238E27FC236}">
              <a16:creationId xmlns:a16="http://schemas.microsoft.com/office/drawing/2014/main" id="{00000000-0008-0000-0A00-000011000000}"/>
            </a:ext>
          </a:extLst>
        </xdr:cNvPr>
        <xdr:cNvSpPr txBox="1"/>
      </xdr:nvSpPr>
      <xdr:spPr>
        <a:xfrm>
          <a:off x="2723751" y="5032375"/>
          <a:ext cx="293478" cy="31149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t>B</a:t>
          </a:r>
        </a:p>
      </xdr:txBody>
    </xdr:sp>
    <xdr:clientData/>
  </xdr:oneCellAnchor>
  <xdr:oneCellAnchor>
    <xdr:from>
      <xdr:col>1</xdr:col>
      <xdr:colOff>57110</xdr:colOff>
      <xdr:row>25</xdr:row>
      <xdr:rowOff>66675</xdr:rowOff>
    </xdr:from>
    <xdr:ext cx="889667" cy="311496"/>
    <xdr:sp macro="" textlink="">
      <xdr:nvSpPr>
        <xdr:cNvPr id="18" name="TextBox 17">
          <a:extLst>
            <a:ext uri="{FF2B5EF4-FFF2-40B4-BE49-F238E27FC236}">
              <a16:creationId xmlns:a16="http://schemas.microsoft.com/office/drawing/2014/main" id="{00000000-0008-0000-0A00-000012000000}"/>
            </a:ext>
          </a:extLst>
        </xdr:cNvPr>
        <xdr:cNvSpPr txBox="1"/>
      </xdr:nvSpPr>
      <xdr:spPr>
        <a:xfrm rot="19326855">
          <a:off x="666710" y="4229100"/>
          <a:ext cx="889667" cy="31149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t>Rate = R1</a:t>
          </a:r>
        </a:p>
      </xdr:txBody>
    </xdr:sp>
    <xdr:clientData/>
  </xdr:oneCellAnchor>
  <xdr:oneCellAnchor>
    <xdr:from>
      <xdr:col>3</xdr:col>
      <xdr:colOff>123785</xdr:colOff>
      <xdr:row>25</xdr:row>
      <xdr:rowOff>57152</xdr:rowOff>
    </xdr:from>
    <xdr:ext cx="889667" cy="311496"/>
    <xdr:sp macro="" textlink="">
      <xdr:nvSpPr>
        <xdr:cNvPr id="19" name="TextBox 18">
          <a:extLst>
            <a:ext uri="{FF2B5EF4-FFF2-40B4-BE49-F238E27FC236}">
              <a16:creationId xmlns:a16="http://schemas.microsoft.com/office/drawing/2014/main" id="{00000000-0008-0000-0A00-000013000000}"/>
            </a:ext>
          </a:extLst>
        </xdr:cNvPr>
        <xdr:cNvSpPr txBox="1"/>
      </xdr:nvSpPr>
      <xdr:spPr>
        <a:xfrm rot="2284557">
          <a:off x="3076535" y="4219577"/>
          <a:ext cx="889667" cy="31149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400" b="1"/>
            <a:t>Rate = R2</a:t>
          </a:r>
        </a:p>
      </xdr:txBody>
    </xdr:sp>
    <xdr:clientData/>
  </xdr:oneCellAnchor>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2</v>
    <v>2</v>
  </rv>
  <rv s="1">
    <v>2</v>
    <v>1</v>
  </rv>
  <rv s="0">
    <v>2</v>
    <v>4</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E1"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E1"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Alan's%20HD/Users/alanplumley/Desktop/WH%20Calculator%202005.xls"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32991-B9E0-4446-83BE-794B34BE8D81}">
  <sheetPr codeName="Sheet10"/>
  <dimension ref="A2:D282"/>
  <sheetViews>
    <sheetView tabSelected="1" zoomScale="145" zoomScaleNormal="145" workbookViewId="0">
      <selection activeCell="B2" sqref="B2"/>
    </sheetView>
  </sheetViews>
  <sheetFormatPr defaultRowHeight="15.5"/>
  <cols>
    <col min="1" max="1" width="37.54296875" style="1006" customWidth="1"/>
    <col min="2" max="2" width="12.36328125" style="1006" customWidth="1"/>
    <col min="3" max="16384" width="8.7265625" style="1006"/>
  </cols>
  <sheetData>
    <row r="2" spans="1:4">
      <c r="A2" s="1005" t="s">
        <v>1075</v>
      </c>
      <c r="B2" s="1020" t="s">
        <v>1169</v>
      </c>
      <c r="C2" s="1020"/>
      <c r="D2" s="1020"/>
    </row>
    <row r="3" spans="1:4">
      <c r="A3" s="1006" t="s">
        <v>979</v>
      </c>
      <c r="B3" s="1021">
        <v>44484</v>
      </c>
    </row>
    <row r="4" spans="1:4">
      <c r="A4" s="1007" t="s">
        <v>980</v>
      </c>
    </row>
    <row r="5" spans="1:4">
      <c r="A5" s="1006" t="s">
        <v>1074</v>
      </c>
      <c r="B5" s="1022" cm="1">
        <f t="array" ref="B5">IF(C5="single",1,IF(C5="married",2,IF(C5=married-Separate,3,IF(C5="head-Of-Household",4,IF(C5="widow",5,0)))))</f>
        <v>1</v>
      </c>
      <c r="C5" s="1006" t="s">
        <v>1209</v>
      </c>
    </row>
    <row r="6" spans="1:4">
      <c r="A6" s="1019" t="s">
        <v>1084</v>
      </c>
    </row>
    <row r="7" spans="1:4">
      <c r="A7" s="1006" t="s">
        <v>1192</v>
      </c>
      <c r="B7" s="1022"/>
    </row>
    <row r="8" spans="1:4">
      <c r="A8" s="1006" t="s">
        <v>1193</v>
      </c>
      <c r="B8" s="1022"/>
    </row>
    <row r="9" spans="1:4">
      <c r="A9" s="1006" t="s">
        <v>1194</v>
      </c>
      <c r="B9" s="1022"/>
    </row>
    <row r="10" spans="1:4">
      <c r="A10" s="1006" t="s">
        <v>1195</v>
      </c>
      <c r="B10" s="1022"/>
    </row>
    <row r="11" spans="1:4">
      <c r="A11" s="1006" t="s">
        <v>981</v>
      </c>
      <c r="B11" s="1022"/>
    </row>
    <row r="12" spans="1:4">
      <c r="A12" s="1019" t="s">
        <v>1085</v>
      </c>
    </row>
    <row r="13" spans="1:4">
      <c r="A13" s="1019" t="s">
        <v>1086</v>
      </c>
    </row>
    <row r="14" spans="1:4">
      <c r="A14" s="1007" t="s">
        <v>181</v>
      </c>
    </row>
    <row r="15" spans="1:4">
      <c r="A15" s="1006" t="s">
        <v>1184</v>
      </c>
      <c r="B15" s="1030"/>
    </row>
    <row r="16" spans="1:4">
      <c r="A16" s="1006" t="s">
        <v>1185</v>
      </c>
      <c r="B16" s="1030"/>
    </row>
    <row r="17" spans="1:3">
      <c r="A17" s="1006" t="s">
        <v>1186</v>
      </c>
      <c r="B17" s="1030"/>
    </row>
    <row r="18" spans="1:3">
      <c r="A18" s="1006" t="s">
        <v>1187</v>
      </c>
      <c r="B18" s="1030"/>
    </row>
    <row r="19" spans="1:3">
      <c r="A19" s="1008" t="s">
        <v>982</v>
      </c>
    </row>
    <row r="20" spans="1:3">
      <c r="A20" s="1006" t="s">
        <v>1078</v>
      </c>
      <c r="B20" s="1022"/>
    </row>
    <row r="21" spans="1:3">
      <c r="A21" s="1019" t="s">
        <v>1087</v>
      </c>
    </row>
    <row r="22" spans="1:3">
      <c r="A22" s="1006" t="s">
        <v>983</v>
      </c>
      <c r="B22" s="1021">
        <v>44197</v>
      </c>
    </row>
    <row r="23" spans="1:3">
      <c r="A23" s="1006" t="s">
        <v>984</v>
      </c>
      <c r="B23" s="1021">
        <v>44561</v>
      </c>
    </row>
    <row r="24" spans="1:3">
      <c r="A24" s="1006" t="s">
        <v>1079</v>
      </c>
      <c r="B24" s="1022">
        <f>IF(C24="weekly",1,IF(C24="biweekly",2,IF(C24="twiceMonthly",3,IF(C24="monthly",4))))</f>
        <v>2</v>
      </c>
      <c r="C24" s="1006" t="s">
        <v>1210</v>
      </c>
    </row>
    <row r="25" spans="1:3">
      <c r="A25" s="1006" t="s">
        <v>985</v>
      </c>
      <c r="B25" s="1021" t="s">
        <v>1211</v>
      </c>
    </row>
    <row r="26" spans="1:3">
      <c r="A26" s="1019" t="s">
        <v>986</v>
      </c>
    </row>
    <row r="27" spans="1:3">
      <c r="A27" s="1019" t="s">
        <v>987</v>
      </c>
    </row>
    <row r="28" spans="1:3">
      <c r="A28" s="1019" t="s">
        <v>1088</v>
      </c>
    </row>
    <row r="29" spans="1:3">
      <c r="A29" s="1006" t="s">
        <v>988</v>
      </c>
      <c r="B29" s="1030">
        <v>100000</v>
      </c>
    </row>
    <row r="30" spans="1:3">
      <c r="A30" s="1006" t="s">
        <v>989</v>
      </c>
      <c r="B30" s="1030">
        <v>600</v>
      </c>
    </row>
    <row r="31" spans="1:3">
      <c r="A31" s="1006" t="s">
        <v>990</v>
      </c>
      <c r="B31" s="1030">
        <v>10000</v>
      </c>
    </row>
    <row r="32" spans="1:3">
      <c r="A32" s="1019" t="s">
        <v>1089</v>
      </c>
    </row>
    <row r="33" spans="1:2">
      <c r="A33" s="1019" t="s">
        <v>1090</v>
      </c>
    </row>
    <row r="34" spans="1:2">
      <c r="A34" s="1019" t="s">
        <v>1091</v>
      </c>
    </row>
    <row r="35" spans="1:2">
      <c r="A35" s="1019" t="s">
        <v>1092</v>
      </c>
    </row>
    <row r="36" spans="1:2">
      <c r="A36" s="1019" t="s">
        <v>1093</v>
      </c>
    </row>
    <row r="37" spans="1:2">
      <c r="A37" s="1019" t="s">
        <v>1094</v>
      </c>
    </row>
    <row r="38" spans="1:2">
      <c r="A38" s="1019" t="s">
        <v>556</v>
      </c>
    </row>
    <row r="39" spans="1:2">
      <c r="A39" s="1019" t="s">
        <v>1091</v>
      </c>
    </row>
    <row r="40" spans="1:2">
      <c r="A40" s="1019" t="s">
        <v>1092</v>
      </c>
    </row>
    <row r="41" spans="1:2">
      <c r="A41" s="1019" t="s">
        <v>1095</v>
      </c>
    </row>
    <row r="42" spans="1:2">
      <c r="A42" s="1019" t="s">
        <v>1096</v>
      </c>
    </row>
    <row r="43" spans="1:2">
      <c r="A43" s="1025" t="s">
        <v>991</v>
      </c>
    </row>
    <row r="44" spans="1:2">
      <c r="A44" s="1006" t="s">
        <v>992</v>
      </c>
      <c r="B44" s="1030"/>
    </row>
    <row r="45" spans="1:2">
      <c r="A45" s="1025" t="s">
        <v>993</v>
      </c>
    </row>
    <row r="46" spans="1:2">
      <c r="A46" s="1006" t="s">
        <v>994</v>
      </c>
      <c r="B46" s="1030"/>
    </row>
    <row r="47" spans="1:2">
      <c r="A47" s="1006" t="s">
        <v>995</v>
      </c>
      <c r="B47" s="1022"/>
    </row>
    <row r="48" spans="1:2">
      <c r="A48" s="1006" t="s">
        <v>1080</v>
      </c>
      <c r="B48" s="1022"/>
    </row>
    <row r="49" spans="1:3">
      <c r="A49" s="1006" t="s">
        <v>996</v>
      </c>
      <c r="B49" s="1022"/>
    </row>
    <row r="50" spans="1:3">
      <c r="A50" s="1008" t="s">
        <v>997</v>
      </c>
    </row>
    <row r="51" spans="1:3">
      <c r="A51" s="1006" t="s">
        <v>1078</v>
      </c>
      <c r="B51" s="1022"/>
    </row>
    <row r="52" spans="1:3">
      <c r="A52" s="1019" t="s">
        <v>1087</v>
      </c>
    </row>
    <row r="53" spans="1:3">
      <c r="A53" s="1006" t="s">
        <v>1097</v>
      </c>
      <c r="B53" s="1021">
        <v>44197</v>
      </c>
    </row>
    <row r="54" spans="1:3">
      <c r="A54" s="1006" t="s">
        <v>1098</v>
      </c>
      <c r="B54" s="1021">
        <v>44561</v>
      </c>
    </row>
    <row r="55" spans="1:3">
      <c r="A55" s="1006" t="s">
        <v>1099</v>
      </c>
      <c r="B55" s="1022">
        <f>IF(C55="weekly",1,IF(C55="biweekly",2,IF(C55="twiceMonthly",3,IF(C55="monthly",4))))</f>
        <v>4</v>
      </c>
      <c r="C55" s="1006" t="s">
        <v>1212</v>
      </c>
    </row>
    <row r="56" spans="1:3">
      <c r="A56" s="1006" t="s">
        <v>1100</v>
      </c>
      <c r="B56" s="1021" t="s">
        <v>1211</v>
      </c>
    </row>
    <row r="57" spans="1:3">
      <c r="A57" s="1019" t="s">
        <v>1101</v>
      </c>
    </row>
    <row r="58" spans="1:3">
      <c r="A58" s="1019" t="s">
        <v>1102</v>
      </c>
    </row>
    <row r="59" spans="1:3">
      <c r="A59" s="1019" t="s">
        <v>1088</v>
      </c>
    </row>
    <row r="60" spans="1:3">
      <c r="A60" s="1006" t="s">
        <v>1103</v>
      </c>
      <c r="B60" s="1030">
        <v>40000</v>
      </c>
    </row>
    <row r="61" spans="1:3">
      <c r="A61" s="1006" t="s">
        <v>1104</v>
      </c>
      <c r="B61" s="1030">
        <v>400</v>
      </c>
    </row>
    <row r="62" spans="1:3">
      <c r="A62" s="1006" t="s">
        <v>1105</v>
      </c>
      <c r="B62" s="1030">
        <v>4000</v>
      </c>
    </row>
    <row r="63" spans="1:3">
      <c r="A63" s="1019" t="s">
        <v>1089</v>
      </c>
    </row>
    <row r="64" spans="1:3">
      <c r="A64" s="1019" t="s">
        <v>1090</v>
      </c>
    </row>
    <row r="65" spans="1:2">
      <c r="A65" s="1019" t="s">
        <v>1091</v>
      </c>
    </row>
    <row r="66" spans="1:2">
      <c r="A66" s="1019" t="s">
        <v>1092</v>
      </c>
    </row>
    <row r="67" spans="1:2">
      <c r="A67" s="1019" t="s">
        <v>1093</v>
      </c>
    </row>
    <row r="68" spans="1:2">
      <c r="A68" s="1019" t="s">
        <v>1094</v>
      </c>
    </row>
    <row r="69" spans="1:2">
      <c r="A69" s="1019" t="s">
        <v>556</v>
      </c>
    </row>
    <row r="70" spans="1:2">
      <c r="A70" s="1019" t="s">
        <v>1091</v>
      </c>
    </row>
    <row r="71" spans="1:2">
      <c r="A71" s="1019" t="s">
        <v>1092</v>
      </c>
    </row>
    <row r="72" spans="1:2">
      <c r="A72" s="1019" t="s">
        <v>1106</v>
      </c>
    </row>
    <row r="73" spans="1:2">
      <c r="A73" s="1019" t="s">
        <v>1096</v>
      </c>
    </row>
    <row r="74" spans="1:2">
      <c r="A74" s="1025" t="s">
        <v>1107</v>
      </c>
    </row>
    <row r="75" spans="1:2">
      <c r="A75" s="1006" t="s">
        <v>1108</v>
      </c>
      <c r="B75" s="1030"/>
    </row>
    <row r="76" spans="1:2">
      <c r="A76" s="1025" t="s">
        <v>1109</v>
      </c>
    </row>
    <row r="77" spans="1:2">
      <c r="A77" s="1006" t="s">
        <v>1110</v>
      </c>
      <c r="B77" s="1030"/>
    </row>
    <row r="78" spans="1:2">
      <c r="A78" s="1006" t="s">
        <v>1111</v>
      </c>
      <c r="B78" s="1022"/>
    </row>
    <row r="79" spans="1:2">
      <c r="A79" s="1006" t="s">
        <v>1130</v>
      </c>
      <c r="B79" s="1022"/>
    </row>
    <row r="80" spans="1:2">
      <c r="A80" s="1006" t="s">
        <v>1112</v>
      </c>
      <c r="B80" s="1022"/>
    </row>
    <row r="81" spans="1:2" hidden="1">
      <c r="A81" s="1008" t="s">
        <v>998</v>
      </c>
    </row>
    <row r="82" spans="1:2" hidden="1">
      <c r="A82" s="1006" t="s">
        <v>1078</v>
      </c>
      <c r="B82" s="1022"/>
    </row>
    <row r="83" spans="1:2" hidden="1">
      <c r="A83" s="1019" t="s">
        <v>1087</v>
      </c>
    </row>
    <row r="84" spans="1:2" hidden="1">
      <c r="A84" s="1006" t="s">
        <v>1113</v>
      </c>
      <c r="B84" s="1021"/>
    </row>
    <row r="85" spans="1:2" hidden="1">
      <c r="A85" s="1006" t="s">
        <v>1114</v>
      </c>
      <c r="B85" s="1021"/>
    </row>
    <row r="86" spans="1:2" hidden="1">
      <c r="A86" s="1006" t="s">
        <v>1115</v>
      </c>
      <c r="B86" s="1022"/>
    </row>
    <row r="87" spans="1:2" hidden="1">
      <c r="A87" s="1006" t="s">
        <v>1116</v>
      </c>
      <c r="B87" s="1021"/>
    </row>
    <row r="88" spans="1:2" hidden="1">
      <c r="A88" s="1019" t="s">
        <v>1117</v>
      </c>
    </row>
    <row r="89" spans="1:2" hidden="1">
      <c r="A89" s="1019" t="s">
        <v>1118</v>
      </c>
    </row>
    <row r="90" spans="1:2" hidden="1">
      <c r="A90" s="1019" t="s">
        <v>1088</v>
      </c>
    </row>
    <row r="91" spans="1:2" hidden="1">
      <c r="A91" s="1006" t="s">
        <v>1119</v>
      </c>
      <c r="B91" s="1030"/>
    </row>
    <row r="92" spans="1:2" hidden="1">
      <c r="A92" s="1006" t="s">
        <v>1120</v>
      </c>
      <c r="B92" s="1030"/>
    </row>
    <row r="93" spans="1:2" hidden="1">
      <c r="A93" s="1006" t="s">
        <v>1121</v>
      </c>
      <c r="B93" s="1030"/>
    </row>
    <row r="94" spans="1:2" hidden="1">
      <c r="A94" s="1019" t="s">
        <v>1089</v>
      </c>
    </row>
    <row r="95" spans="1:2" hidden="1">
      <c r="A95" s="1019" t="s">
        <v>1090</v>
      </c>
    </row>
    <row r="96" spans="1:2" hidden="1">
      <c r="A96" s="1019" t="s">
        <v>1091</v>
      </c>
    </row>
    <row r="97" spans="1:2" hidden="1">
      <c r="A97" s="1019" t="s">
        <v>1092</v>
      </c>
    </row>
    <row r="98" spans="1:2" hidden="1">
      <c r="A98" s="1019" t="s">
        <v>1093</v>
      </c>
    </row>
    <row r="99" spans="1:2" hidden="1">
      <c r="A99" s="1019" t="s">
        <v>1094</v>
      </c>
    </row>
    <row r="100" spans="1:2" hidden="1">
      <c r="A100" s="1019" t="s">
        <v>556</v>
      </c>
    </row>
    <row r="101" spans="1:2" hidden="1">
      <c r="A101" s="1019" t="s">
        <v>1091</v>
      </c>
    </row>
    <row r="102" spans="1:2" hidden="1">
      <c r="A102" s="1019" t="s">
        <v>1092</v>
      </c>
    </row>
    <row r="103" spans="1:2" hidden="1">
      <c r="A103" s="1019" t="s">
        <v>1122</v>
      </c>
    </row>
    <row r="104" spans="1:2" hidden="1">
      <c r="A104" s="1019" t="s">
        <v>1096</v>
      </c>
    </row>
    <row r="105" spans="1:2" hidden="1">
      <c r="A105" s="1025" t="s">
        <v>1123</v>
      </c>
    </row>
    <row r="106" spans="1:2" hidden="1">
      <c r="A106" s="1006" t="s">
        <v>1124</v>
      </c>
      <c r="B106" s="1030"/>
    </row>
    <row r="107" spans="1:2" hidden="1">
      <c r="A107" s="1025" t="s">
        <v>1125</v>
      </c>
    </row>
    <row r="108" spans="1:2" hidden="1">
      <c r="A108" s="1006" t="s">
        <v>1126</v>
      </c>
      <c r="B108" s="1030"/>
    </row>
    <row r="109" spans="1:2" hidden="1">
      <c r="A109" s="1006" t="s">
        <v>1127</v>
      </c>
      <c r="B109" s="1022"/>
    </row>
    <row r="110" spans="1:2" hidden="1">
      <c r="A110" s="1006" t="s">
        <v>1128</v>
      </c>
      <c r="B110" s="1022"/>
    </row>
    <row r="111" spans="1:2" hidden="1">
      <c r="A111" s="1006" t="s">
        <v>1129</v>
      </c>
      <c r="B111" s="1022"/>
    </row>
    <row r="112" spans="1:2" hidden="1">
      <c r="A112" s="1008" t="s">
        <v>999</v>
      </c>
    </row>
    <row r="113" spans="1:2" hidden="1">
      <c r="A113" s="1006" t="s">
        <v>1078</v>
      </c>
      <c r="B113" s="1022"/>
    </row>
    <row r="114" spans="1:2" hidden="1">
      <c r="A114" s="1019" t="s">
        <v>1087</v>
      </c>
    </row>
    <row r="115" spans="1:2" hidden="1">
      <c r="A115" s="1006" t="s">
        <v>1131</v>
      </c>
      <c r="B115" s="1021"/>
    </row>
    <row r="116" spans="1:2" hidden="1">
      <c r="A116" s="1006" t="s">
        <v>1132</v>
      </c>
      <c r="B116" s="1021"/>
    </row>
    <row r="117" spans="1:2" hidden="1">
      <c r="A117" s="1006" t="s">
        <v>1133</v>
      </c>
      <c r="B117" s="1022"/>
    </row>
    <row r="118" spans="1:2" hidden="1">
      <c r="A118" s="1006" t="s">
        <v>1134</v>
      </c>
      <c r="B118" s="1021"/>
    </row>
    <row r="119" spans="1:2" hidden="1">
      <c r="A119" s="1019" t="s">
        <v>1135</v>
      </c>
    </row>
    <row r="120" spans="1:2" hidden="1">
      <c r="A120" s="1019" t="s">
        <v>1136</v>
      </c>
    </row>
    <row r="121" spans="1:2" hidden="1">
      <c r="A121" s="1019" t="s">
        <v>1088</v>
      </c>
    </row>
    <row r="122" spans="1:2" hidden="1">
      <c r="A122" s="1006" t="s">
        <v>1137</v>
      </c>
      <c r="B122" s="1030"/>
    </row>
    <row r="123" spans="1:2" hidden="1">
      <c r="A123" s="1006" t="s">
        <v>1138</v>
      </c>
      <c r="B123" s="1030"/>
    </row>
    <row r="124" spans="1:2" hidden="1">
      <c r="A124" s="1006" t="s">
        <v>1139</v>
      </c>
      <c r="B124" s="1030"/>
    </row>
    <row r="125" spans="1:2" hidden="1">
      <c r="A125" s="1019" t="s">
        <v>1089</v>
      </c>
    </row>
    <row r="126" spans="1:2" hidden="1">
      <c r="A126" s="1019" t="s">
        <v>1090</v>
      </c>
    </row>
    <row r="127" spans="1:2" hidden="1">
      <c r="A127" s="1019" t="s">
        <v>1091</v>
      </c>
    </row>
    <row r="128" spans="1:2" hidden="1">
      <c r="A128" s="1019" t="s">
        <v>1092</v>
      </c>
    </row>
    <row r="129" spans="1:2" hidden="1">
      <c r="A129" s="1019" t="s">
        <v>1093</v>
      </c>
    </row>
    <row r="130" spans="1:2" hidden="1">
      <c r="A130" s="1019" t="s">
        <v>1094</v>
      </c>
    </row>
    <row r="131" spans="1:2" hidden="1">
      <c r="A131" s="1019" t="s">
        <v>556</v>
      </c>
    </row>
    <row r="132" spans="1:2" hidden="1">
      <c r="A132" s="1019" t="s">
        <v>1091</v>
      </c>
    </row>
    <row r="133" spans="1:2" hidden="1">
      <c r="A133" s="1019" t="s">
        <v>1092</v>
      </c>
    </row>
    <row r="134" spans="1:2" hidden="1">
      <c r="A134" s="1019" t="s">
        <v>1140</v>
      </c>
    </row>
    <row r="135" spans="1:2" hidden="1">
      <c r="A135" s="1019" t="s">
        <v>1096</v>
      </c>
    </row>
    <row r="136" spans="1:2" hidden="1">
      <c r="A136" s="1025" t="s">
        <v>1141</v>
      </c>
    </row>
    <row r="137" spans="1:2" hidden="1">
      <c r="A137" s="1006" t="s">
        <v>1142</v>
      </c>
      <c r="B137" s="1030"/>
    </row>
    <row r="138" spans="1:2" hidden="1">
      <c r="A138" s="1025" t="s">
        <v>1143</v>
      </c>
    </row>
    <row r="139" spans="1:2" hidden="1">
      <c r="A139" s="1006" t="s">
        <v>1144</v>
      </c>
      <c r="B139" s="1030"/>
    </row>
    <row r="140" spans="1:2" hidden="1">
      <c r="A140" s="1006" t="s">
        <v>1145</v>
      </c>
      <c r="B140" s="1022"/>
    </row>
    <row r="141" spans="1:2" hidden="1">
      <c r="A141" s="1006" t="s">
        <v>1146</v>
      </c>
      <c r="B141" s="1022"/>
    </row>
    <row r="142" spans="1:2" hidden="1">
      <c r="A142" s="1006" t="s">
        <v>1147</v>
      </c>
      <c r="B142" s="1022"/>
    </row>
    <row r="143" spans="1:2">
      <c r="A143" s="1008" t="s">
        <v>1176</v>
      </c>
    </row>
    <row r="144" spans="1:2">
      <c r="A144" s="1006" t="s">
        <v>1000</v>
      </c>
      <c r="B144" s="1021"/>
    </row>
    <row r="145" spans="1:2">
      <c r="A145" s="1025" t="s">
        <v>1001</v>
      </c>
    </row>
    <row r="146" spans="1:2">
      <c r="A146" s="1006" t="s">
        <v>1002</v>
      </c>
      <c r="B146" s="1030"/>
    </row>
    <row r="147" spans="1:2">
      <c r="A147" s="1025" t="s">
        <v>1003</v>
      </c>
    </row>
    <row r="148" spans="1:2">
      <c r="A148" s="1006" t="s">
        <v>1004</v>
      </c>
      <c r="B148" s="1030"/>
    </row>
    <row r="149" spans="1:2">
      <c r="A149" s="1006" t="s">
        <v>1005</v>
      </c>
      <c r="B149" s="1030"/>
    </row>
    <row r="150" spans="1:2">
      <c r="A150" s="1008" t="s">
        <v>1177</v>
      </c>
    </row>
    <row r="151" spans="1:2">
      <c r="A151" s="1006" t="s">
        <v>1000</v>
      </c>
      <c r="B151" s="1021"/>
    </row>
    <row r="152" spans="1:2">
      <c r="A152" s="1025" t="s">
        <v>1001</v>
      </c>
    </row>
    <row r="153" spans="1:2">
      <c r="A153" s="1006" t="s">
        <v>1002</v>
      </c>
      <c r="B153" s="1030"/>
    </row>
    <row r="154" spans="1:2">
      <c r="A154" s="1025" t="s">
        <v>1003</v>
      </c>
    </row>
    <row r="155" spans="1:2">
      <c r="A155" s="1006" t="s">
        <v>1004</v>
      </c>
      <c r="B155" s="1030"/>
    </row>
    <row r="156" spans="1:2">
      <c r="A156" s="1006" t="s">
        <v>1005</v>
      </c>
      <c r="B156" s="1030"/>
    </row>
    <row r="157" spans="1:2">
      <c r="A157" s="1008" t="s">
        <v>569</v>
      </c>
    </row>
    <row r="158" spans="1:2">
      <c r="A158" s="1006" t="s">
        <v>1006</v>
      </c>
      <c r="B158" s="1030">
        <v>0</v>
      </c>
    </row>
    <row r="159" spans="1:2">
      <c r="A159" s="1006" t="s">
        <v>1007</v>
      </c>
      <c r="B159" s="1030"/>
    </row>
    <row r="160" spans="1:2">
      <c r="A160" s="1006" t="s">
        <v>1008</v>
      </c>
      <c r="B160" s="1030">
        <v>2000</v>
      </c>
    </row>
    <row r="161" spans="1:2">
      <c r="A161" s="1006" t="s">
        <v>1009</v>
      </c>
      <c r="B161" s="1030"/>
    </row>
    <row r="162" spans="1:2">
      <c r="A162" s="1006" t="s">
        <v>1178</v>
      </c>
      <c r="B162" s="1030">
        <v>3000</v>
      </c>
    </row>
    <row r="163" spans="1:2">
      <c r="A163" s="1006" t="s">
        <v>1180</v>
      </c>
      <c r="B163" s="1030">
        <v>600</v>
      </c>
    </row>
    <row r="164" spans="1:2">
      <c r="A164" s="1006" t="s">
        <v>1181</v>
      </c>
      <c r="B164" s="1030"/>
    </row>
    <row r="165" spans="1:2">
      <c r="A165" s="1006" t="s">
        <v>1179</v>
      </c>
      <c r="B165" s="1030"/>
    </row>
    <row r="166" spans="1:2">
      <c r="A166" s="1006" t="s">
        <v>1182</v>
      </c>
      <c r="B166" s="1030"/>
    </row>
    <row r="167" spans="1:2">
      <c r="A167" s="1006" t="s">
        <v>1183</v>
      </c>
      <c r="B167" s="1030"/>
    </row>
    <row r="168" spans="1:2">
      <c r="A168" s="1006" t="s">
        <v>1010</v>
      </c>
      <c r="B168" s="1030">
        <v>500</v>
      </c>
    </row>
    <row r="169" spans="1:2">
      <c r="A169" s="1006" t="s">
        <v>1011</v>
      </c>
      <c r="B169" s="1030"/>
    </row>
    <row r="170" spans="1:2">
      <c r="A170" s="1006" t="s">
        <v>1012</v>
      </c>
      <c r="B170" s="1030">
        <v>0</v>
      </c>
    </row>
    <row r="171" spans="1:2">
      <c r="A171" s="1007" t="s">
        <v>727</v>
      </c>
    </row>
    <row r="172" spans="1:2">
      <c r="A172" s="1006" t="s">
        <v>1013</v>
      </c>
      <c r="B172" s="1030">
        <v>2500</v>
      </c>
    </row>
    <row r="173" spans="1:2">
      <c r="A173" s="1006" t="s">
        <v>1014</v>
      </c>
      <c r="B173" s="1030">
        <v>250</v>
      </c>
    </row>
    <row r="174" spans="1:2">
      <c r="A174" s="1006" t="s">
        <v>1015</v>
      </c>
      <c r="B174" s="1030">
        <v>0</v>
      </c>
    </row>
    <row r="175" spans="1:2">
      <c r="A175" s="1006" t="s">
        <v>1016</v>
      </c>
      <c r="B175" s="1030">
        <v>100</v>
      </c>
    </row>
    <row r="176" spans="1:2">
      <c r="A176" s="1006" t="s">
        <v>1017</v>
      </c>
      <c r="B176" s="1030">
        <v>100</v>
      </c>
    </row>
    <row r="177" spans="1:2">
      <c r="A177" s="1006" t="s">
        <v>1018</v>
      </c>
      <c r="B177" s="1030">
        <v>0</v>
      </c>
    </row>
    <row r="178" spans="1:2">
      <c r="A178" s="1006" t="s">
        <v>1019</v>
      </c>
      <c r="B178" s="1030">
        <v>0</v>
      </c>
    </row>
    <row r="179" spans="1:2">
      <c r="A179" s="1006" t="s">
        <v>1020</v>
      </c>
      <c r="B179" s="1030">
        <v>0</v>
      </c>
    </row>
    <row r="180" spans="1:2">
      <c r="A180" s="1025" t="s">
        <v>1081</v>
      </c>
    </row>
    <row r="181" spans="1:2">
      <c r="A181" s="1007" t="s">
        <v>145</v>
      </c>
    </row>
    <row r="182" spans="1:2">
      <c r="A182" s="1006" t="s">
        <v>1021</v>
      </c>
      <c r="B182" s="1030"/>
    </row>
    <row r="183" spans="1:2">
      <c r="A183" s="1006" t="s">
        <v>1022</v>
      </c>
      <c r="B183" s="1030"/>
    </row>
    <row r="184" spans="1:2">
      <c r="A184" s="1006" t="s">
        <v>1023</v>
      </c>
      <c r="B184" s="1030"/>
    </row>
    <row r="185" spans="1:2">
      <c r="A185" s="1006" t="s">
        <v>1024</v>
      </c>
      <c r="B185" s="1030"/>
    </row>
    <row r="186" spans="1:2">
      <c r="A186" s="1006" t="s">
        <v>1025</v>
      </c>
      <c r="B186" s="1030"/>
    </row>
    <row r="187" spans="1:2">
      <c r="A187" s="1006" t="s">
        <v>1026</v>
      </c>
      <c r="B187" s="1030"/>
    </row>
    <row r="188" spans="1:2">
      <c r="A188" s="1006" t="s">
        <v>1148</v>
      </c>
      <c r="B188" s="1042"/>
    </row>
    <row r="189" spans="1:2">
      <c r="A189" s="1007" t="s">
        <v>1027</v>
      </c>
    </row>
    <row r="190" spans="1:2">
      <c r="A190" s="1006" t="s">
        <v>1028</v>
      </c>
      <c r="B190" s="1042"/>
    </row>
    <row r="191" spans="1:2">
      <c r="A191" s="1006" t="s">
        <v>1029</v>
      </c>
      <c r="B191" s="1042"/>
    </row>
    <row r="192" spans="1:2">
      <c r="A192" s="1006" t="s">
        <v>1030</v>
      </c>
      <c r="B192" s="1042"/>
    </row>
    <row r="193" spans="1:2">
      <c r="A193" s="1006" t="s">
        <v>1031</v>
      </c>
      <c r="B193" s="1030"/>
    </row>
    <row r="194" spans="1:2">
      <c r="A194" s="1006" t="s">
        <v>1032</v>
      </c>
      <c r="B194" s="1042"/>
    </row>
    <row r="195" spans="1:2">
      <c r="A195" s="1006" t="s">
        <v>1033</v>
      </c>
      <c r="B195" s="1030"/>
    </row>
    <row r="196" spans="1:2">
      <c r="A196" s="1006" t="s">
        <v>1034</v>
      </c>
      <c r="B196" s="1030"/>
    </row>
    <row r="197" spans="1:2">
      <c r="A197" s="1006" t="s">
        <v>1035</v>
      </c>
      <c r="B197" s="1042"/>
    </row>
    <row r="198" spans="1:2">
      <c r="A198" s="1006" t="s">
        <v>1036</v>
      </c>
      <c r="B198" s="1030"/>
    </row>
    <row r="199" spans="1:2">
      <c r="A199" s="1006" t="s">
        <v>1037</v>
      </c>
      <c r="B199" s="1030"/>
    </row>
    <row r="200" spans="1:2">
      <c r="A200" s="1006" t="s">
        <v>1038</v>
      </c>
      <c r="B200" s="1030"/>
    </row>
    <row r="201" spans="1:2">
      <c r="A201" s="1006" t="s">
        <v>1039</v>
      </c>
      <c r="B201" s="1030"/>
    </row>
    <row r="202" spans="1:2">
      <c r="A202" s="1006" t="s">
        <v>1040</v>
      </c>
      <c r="B202" s="1030"/>
    </row>
    <row r="203" spans="1:2">
      <c r="A203" s="1006" t="s">
        <v>1041</v>
      </c>
      <c r="B203" s="1030"/>
    </row>
    <row r="204" spans="1:2">
      <c r="A204" s="1006" t="s">
        <v>1042</v>
      </c>
      <c r="B204" s="1030"/>
    </row>
    <row r="205" spans="1:2">
      <c r="A205" s="1006" t="s">
        <v>1043</v>
      </c>
      <c r="B205" s="1030"/>
    </row>
    <row r="206" spans="1:2">
      <c r="A206" s="1006" t="s">
        <v>1044</v>
      </c>
      <c r="B206" s="1030"/>
    </row>
    <row r="207" spans="1:2">
      <c r="A207" s="1006" t="s">
        <v>1045</v>
      </c>
      <c r="B207" s="1030"/>
    </row>
    <row r="208" spans="1:2">
      <c r="A208" s="1006" t="s">
        <v>1046</v>
      </c>
      <c r="B208" s="1030"/>
    </row>
    <row r="209" spans="1:4">
      <c r="A209" s="1007" t="s">
        <v>1047</v>
      </c>
    </row>
    <row r="210" spans="1:4">
      <c r="A210" s="1006" t="s">
        <v>1048</v>
      </c>
      <c r="B210" s="1044">
        <f>'Input &amp; Results'!R25</f>
        <v>2509800</v>
      </c>
    </row>
    <row r="211" spans="1:4">
      <c r="A211" s="1006" t="s">
        <v>1049</v>
      </c>
      <c r="B211" s="1044">
        <f>'Input &amp; Results'!R19</f>
        <v>22783</v>
      </c>
    </row>
    <row r="212" spans="1:4">
      <c r="A212" s="1006" t="s">
        <v>1188</v>
      </c>
      <c r="B212" s="1044">
        <f>IF(B211-B210&gt;0,-'Input &amp; Results'!R26,'Input &amp; Results'!R26)</f>
        <v>2487017</v>
      </c>
    </row>
    <row r="213" spans="1:4">
      <c r="A213" s="1009" t="s">
        <v>1083</v>
      </c>
      <c r="B213" s="1022">
        <v>0</v>
      </c>
      <c r="C213" s="1006">
        <v>5</v>
      </c>
      <c r="D213" s="1006">
        <v>15</v>
      </c>
    </row>
    <row r="214" spans="1:4">
      <c r="A214" s="1008" t="s">
        <v>982</v>
      </c>
    </row>
    <row r="215" spans="1:4">
      <c r="A215" s="1006" t="s">
        <v>1149</v>
      </c>
      <c r="B215" s="1044">
        <f>'Input &amp; Results'!M23</f>
        <v>1.8735971174493216</v>
      </c>
    </row>
    <row r="216" spans="1:4">
      <c r="A216" s="1006" t="s">
        <v>1150</v>
      </c>
      <c r="B216" s="1044">
        <f>'Input &amp; Results'!M22</f>
        <v>568</v>
      </c>
    </row>
    <row r="217" spans="1:4">
      <c r="A217" s="1006" t="s">
        <v>1151</v>
      </c>
      <c r="B217" s="1022" t="str">
        <f>'Input &amp; Results'!M7</f>
        <v/>
      </c>
    </row>
    <row r="218" spans="1:4">
      <c r="A218" s="1006" t="s">
        <v>1152</v>
      </c>
      <c r="B218" s="1044">
        <f>'Input &amp; Results'!M8</f>
        <v>14719.286474946319</v>
      </c>
    </row>
    <row r="219" spans="1:4">
      <c r="A219" s="1006" t="s">
        <v>1153</v>
      </c>
      <c r="B219" s="1044">
        <f>'Input &amp; Results'!M9</f>
        <v>0</v>
      </c>
    </row>
    <row r="220" spans="1:4">
      <c r="A220" s="1008" t="s">
        <v>997</v>
      </c>
    </row>
    <row r="221" spans="1:4">
      <c r="A221" s="1006" t="s">
        <v>1154</v>
      </c>
      <c r="B221" s="1044">
        <f>'Input &amp; Results'!N23</f>
        <v>0.8357793479466693</v>
      </c>
    </row>
    <row r="222" spans="1:4">
      <c r="A222" s="1006" t="s">
        <v>1155</v>
      </c>
      <c r="B222" s="1044">
        <f>'Input &amp; Results'!N22</f>
        <v>253.375</v>
      </c>
    </row>
    <row r="223" spans="1:4">
      <c r="A223" s="1006" t="s">
        <v>1156</v>
      </c>
      <c r="B223" s="1022" t="str">
        <f>'Input &amp; Results'!N7</f>
        <v/>
      </c>
    </row>
    <row r="224" spans="1:4">
      <c r="A224" s="1006" t="s">
        <v>1157</v>
      </c>
      <c r="B224" s="1044">
        <f>'Input &amp; Results'!N8</f>
        <v>3030.4706478246399</v>
      </c>
    </row>
    <row r="225" spans="1:2">
      <c r="A225" s="1006" t="s">
        <v>1158</v>
      </c>
      <c r="B225" s="1044">
        <f>'Input &amp; Results'!N9</f>
        <v>0</v>
      </c>
    </row>
    <row r="226" spans="1:2">
      <c r="A226" s="1008" t="s">
        <v>998</v>
      </c>
    </row>
    <row r="227" spans="1:2">
      <c r="A227" s="1006" t="s">
        <v>1159</v>
      </c>
      <c r="B227" s="1044">
        <f>'Input &amp; Results'!O23</f>
        <v>0</v>
      </c>
    </row>
    <row r="228" spans="1:2">
      <c r="A228" s="1006" t="s">
        <v>1160</v>
      </c>
      <c r="B228" s="1044">
        <f>'Input &amp; Results'!O22</f>
        <v>0</v>
      </c>
    </row>
    <row r="229" spans="1:2">
      <c r="A229" s="1006" t="s">
        <v>1161</v>
      </c>
      <c r="B229" s="1022" t="str">
        <f>'Input &amp; Results'!O7</f>
        <v/>
      </c>
    </row>
    <row r="230" spans="1:2">
      <c r="A230" s="1006" t="s">
        <v>1162</v>
      </c>
      <c r="B230" s="1044" t="str">
        <f>'Input &amp; Results'!O8</f>
        <v/>
      </c>
    </row>
    <row r="231" spans="1:2">
      <c r="A231" s="1006" t="s">
        <v>1163</v>
      </c>
      <c r="B231" s="1044" t="str">
        <f>'Input &amp; Results'!O9</f>
        <v/>
      </c>
    </row>
    <row r="232" spans="1:2">
      <c r="A232" s="1008" t="s">
        <v>999</v>
      </c>
    </row>
    <row r="233" spans="1:2">
      <c r="A233" s="1006" t="s">
        <v>1164</v>
      </c>
      <c r="B233" s="1044">
        <f>'Input &amp; Results'!P23</f>
        <v>0</v>
      </c>
    </row>
    <row r="234" spans="1:2">
      <c r="A234" s="1006" t="s">
        <v>1165</v>
      </c>
      <c r="B234" s="1044">
        <f>'Input &amp; Results'!P22</f>
        <v>0</v>
      </c>
    </row>
    <row r="235" spans="1:2">
      <c r="A235" s="1006" t="s">
        <v>1166</v>
      </c>
      <c r="B235" s="1042" t="str">
        <f>'Input &amp; Results'!P7</f>
        <v/>
      </c>
    </row>
    <row r="236" spans="1:2">
      <c r="A236" s="1006" t="s">
        <v>1167</v>
      </c>
      <c r="B236" s="1044" t="str">
        <f>'Input &amp; Results'!P8</f>
        <v/>
      </c>
    </row>
    <row r="237" spans="1:2">
      <c r="A237" s="1006" t="s">
        <v>1168</v>
      </c>
      <c r="B237" s="1044" t="str">
        <f>'Input &amp; Results'!P9</f>
        <v/>
      </c>
    </row>
    <row r="238" spans="1:2">
      <c r="A238" s="1009" t="s">
        <v>1050</v>
      </c>
    </row>
    <row r="239" spans="1:2">
      <c r="A239" s="1006" t="s">
        <v>1051</v>
      </c>
      <c r="B239" s="1044">
        <f>Calculations!U3</f>
        <v>145500</v>
      </c>
    </row>
    <row r="240" spans="1:2">
      <c r="A240" s="1006" t="s">
        <v>1052</v>
      </c>
      <c r="B240" s="1044">
        <f>B210</f>
        <v>2509800</v>
      </c>
    </row>
    <row r="241" spans="1:2">
      <c r="A241" s="1008" t="s">
        <v>727</v>
      </c>
    </row>
    <row r="242" spans="1:2">
      <c r="A242" s="1006" t="s">
        <v>1053</v>
      </c>
      <c r="B242" s="1044">
        <f>Deductions!C7</f>
        <v>0</v>
      </c>
    </row>
    <row r="243" spans="1:2">
      <c r="A243" s="1006" t="s">
        <v>1054</v>
      </c>
      <c r="B243" s="1044">
        <f>Deductions!C8</f>
        <v>250</v>
      </c>
    </row>
    <row r="244" spans="1:2">
      <c r="A244" s="1006" t="s">
        <v>1055</v>
      </c>
      <c r="B244" s="1045">
        <f>Deductions!C10</f>
        <v>661.94324999999981</v>
      </c>
    </row>
    <row r="245" spans="1:2">
      <c r="A245" s="1006" t="s">
        <v>195</v>
      </c>
      <c r="B245" s="1044">
        <f>Calculations!U4</f>
        <v>144838.05674999999</v>
      </c>
    </row>
    <row r="246" spans="1:2">
      <c r="A246" s="1008" t="s">
        <v>145</v>
      </c>
    </row>
    <row r="247" spans="1:2">
      <c r="A247" s="1006" t="s">
        <v>1056</v>
      </c>
      <c r="B247" s="1045">
        <f>Deductions!D13</f>
        <v>0</v>
      </c>
    </row>
    <row r="248" spans="1:2">
      <c r="A248" s="1006" t="s">
        <v>1057</v>
      </c>
      <c r="B248" s="1045">
        <f>Deductions!D14</f>
        <v>0</v>
      </c>
    </row>
    <row r="249" spans="1:2">
      <c r="A249" s="1006" t="s">
        <v>1058</v>
      </c>
      <c r="B249" s="1045">
        <f>Deductions!D20</f>
        <v>0</v>
      </c>
    </row>
    <row r="250" spans="1:2">
      <c r="A250" s="1008" t="s">
        <v>1059</v>
      </c>
    </row>
    <row r="251" spans="1:2">
      <c r="A251" s="1006" t="s">
        <v>550</v>
      </c>
      <c r="B251" s="1044">
        <f>Calculations!U7</f>
        <v>131350.4454</v>
      </c>
    </row>
    <row r="252" spans="1:2">
      <c r="A252" s="1006" t="s">
        <v>729</v>
      </c>
      <c r="B252" s="1044">
        <f>Calculations!U9</f>
        <v>25359.606895999998</v>
      </c>
    </row>
    <row r="253" spans="1:2">
      <c r="A253" s="1008" t="s">
        <v>1027</v>
      </c>
    </row>
    <row r="254" spans="1:2">
      <c r="A254" s="1006" t="s">
        <v>1060</v>
      </c>
      <c r="B254" s="1044">
        <f>Calculations!AA9</f>
        <v>3000</v>
      </c>
    </row>
    <row r="255" spans="1:2">
      <c r="A255" s="1006" t="s">
        <v>1061</v>
      </c>
      <c r="B255" s="1044">
        <f>Calculations!AA10</f>
        <v>0</v>
      </c>
    </row>
    <row r="256" spans="1:2">
      <c r="A256" s="1006" t="s">
        <v>1062</v>
      </c>
      <c r="B256" s="1044">
        <f>Calculations!Y11+Calculations!Y12</f>
        <v>0</v>
      </c>
    </row>
    <row r="257" spans="1:2">
      <c r="A257" s="1010" t="s">
        <v>1063</v>
      </c>
      <c r="B257" s="1044">
        <f>Calculations!Y8</f>
        <v>3000</v>
      </c>
    </row>
    <row r="258" spans="1:2">
      <c r="A258" s="1006" t="s">
        <v>1064</v>
      </c>
      <c r="B258" s="1044">
        <f>Calculations!Z9</f>
        <v>0</v>
      </c>
    </row>
    <row r="259" spans="1:2">
      <c r="A259" s="1006" t="s">
        <v>139</v>
      </c>
      <c r="B259" s="1044">
        <f>Calculations!Z13</f>
        <v>0</v>
      </c>
    </row>
    <row r="260" spans="1:2">
      <c r="A260" s="1006" t="s">
        <v>1065</v>
      </c>
      <c r="B260" s="1044">
        <f>Calculations!Z11+Calculations!Z12</f>
        <v>0</v>
      </c>
    </row>
    <row r="261" spans="1:2">
      <c r="A261" s="1010" t="s">
        <v>1066</v>
      </c>
      <c r="B261" s="1044">
        <f>Calculations!Z8</f>
        <v>0</v>
      </c>
    </row>
    <row r="262" spans="1:2">
      <c r="A262" s="1008" t="s">
        <v>1067</v>
      </c>
    </row>
    <row r="263" spans="1:2">
      <c r="A263" s="1006" t="s">
        <v>1068</v>
      </c>
      <c r="B263" s="1044">
        <f>Calculations!U15</f>
        <v>22783.493395999998</v>
      </c>
    </row>
    <row r="264" spans="1:2">
      <c r="A264" s="1006" t="s">
        <v>1191</v>
      </c>
      <c r="B264" s="1044">
        <f>'Input &amp; Results'!R15</f>
        <v>22783.493396000238</v>
      </c>
    </row>
    <row r="265" spans="1:2">
      <c r="A265" s="1009" t="s">
        <v>1069</v>
      </c>
    </row>
    <row r="266" spans="1:2">
      <c r="A266" s="1006" t="s">
        <v>1070</v>
      </c>
      <c r="B266" s="1044">
        <f>'Input &amp; Results'!R20</f>
        <v>0.49339600023813546</v>
      </c>
    </row>
    <row r="267" spans="1:2">
      <c r="A267" s="1008" t="s">
        <v>982</v>
      </c>
    </row>
    <row r="268" spans="1:2">
      <c r="A268" s="1006" t="s">
        <v>1071</v>
      </c>
      <c r="B268" s="1042">
        <f>Wages!C7</f>
        <v>-3156</v>
      </c>
    </row>
    <row r="269" spans="1:2">
      <c r="A269" s="1006" t="s">
        <v>1072</v>
      </c>
      <c r="B269" s="1022">
        <f>Calculations!S43</f>
        <v>1</v>
      </c>
    </row>
    <row r="270" spans="1:2">
      <c r="A270" s="1006" t="s">
        <v>1073</v>
      </c>
      <c r="B270" s="1041">
        <f>Calculations!S37</f>
        <v>3181</v>
      </c>
    </row>
    <row r="271" spans="1:2">
      <c r="A271" s="1008" t="s">
        <v>997</v>
      </c>
    </row>
    <row r="272" spans="1:2">
      <c r="A272" s="1006" t="s">
        <v>1071</v>
      </c>
      <c r="B272" s="1042">
        <f>Wages!D7</f>
        <v>-1453</v>
      </c>
    </row>
    <row r="273" spans="1:2">
      <c r="A273" s="1006" t="s">
        <v>1072</v>
      </c>
      <c r="B273" s="1022">
        <f>Calculations!S44</f>
        <v>1</v>
      </c>
    </row>
    <row r="274" spans="1:2">
      <c r="A274" s="1006" t="s">
        <v>1073</v>
      </c>
      <c r="B274" s="1041">
        <f>Calculations!S38</f>
        <v>1464</v>
      </c>
    </row>
    <row r="275" spans="1:2">
      <c r="A275" s="1008" t="s">
        <v>998</v>
      </c>
    </row>
    <row r="276" spans="1:2">
      <c r="A276" s="1006" t="s">
        <v>1071</v>
      </c>
      <c r="B276" s="1042">
        <f>Wages!F7</f>
        <v>0</v>
      </c>
    </row>
    <row r="277" spans="1:2">
      <c r="A277" s="1006" t="s">
        <v>1072</v>
      </c>
      <c r="B277" s="1022">
        <f>Calculations!S45</f>
        <v>2</v>
      </c>
    </row>
    <row r="278" spans="1:2">
      <c r="A278" s="1006" t="s">
        <v>1073</v>
      </c>
      <c r="B278" s="1041">
        <f>Calculations!S39</f>
        <v>-2</v>
      </c>
    </row>
    <row r="279" spans="1:2">
      <c r="A279" s="1008" t="s">
        <v>999</v>
      </c>
    </row>
    <row r="280" spans="1:2">
      <c r="A280" s="1006" t="s">
        <v>1071</v>
      </c>
      <c r="B280" s="1042">
        <f>Wages!G7</f>
        <v>0</v>
      </c>
    </row>
    <row r="281" spans="1:2">
      <c r="A281" s="1006" t="s">
        <v>1072</v>
      </c>
      <c r="B281" s="1022">
        <f>Calculations!S46</f>
        <v>2</v>
      </c>
    </row>
    <row r="282" spans="1:2">
      <c r="A282" s="1006" t="s">
        <v>1073</v>
      </c>
      <c r="B282" s="1041">
        <f>Calculations!S40</f>
        <v>-2</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1EF9C-8D2E-488C-945E-9BF723CBB97C}">
  <sheetPr codeName="Sheet12">
    <tabColor rgb="FF92D050"/>
  </sheetPr>
  <dimension ref="A1:DI27"/>
  <sheetViews>
    <sheetView workbookViewId="0">
      <pane xSplit="2" topLeftCell="C1" activePane="topRight" state="frozen"/>
      <selection pane="topRight" activeCell="G13" sqref="G13"/>
    </sheetView>
  </sheetViews>
  <sheetFormatPr defaultRowHeight="12.5"/>
  <cols>
    <col min="1" max="1" width="15.81640625" customWidth="1"/>
    <col min="2" max="2" width="15.453125" customWidth="1"/>
    <col min="3" max="3" width="15.81640625" bestFit="1" customWidth="1"/>
    <col min="5" max="5" width="12.7265625" bestFit="1" customWidth="1"/>
    <col min="6" max="6" width="10.54296875" bestFit="1" customWidth="1"/>
    <col min="7" max="7" width="15" bestFit="1" customWidth="1"/>
    <col min="8" max="8" width="15.26953125" bestFit="1" customWidth="1"/>
    <col min="9" max="11" width="15.81640625" customWidth="1"/>
    <col min="12" max="13" width="18.81640625" bestFit="1" customWidth="1"/>
    <col min="14" max="15" width="18.81640625" customWidth="1"/>
    <col min="16" max="16" width="10.453125" bestFit="1" customWidth="1"/>
    <col min="17" max="17" width="9.453125" bestFit="1" customWidth="1"/>
    <col min="18" max="18" width="8.26953125" bestFit="1" customWidth="1"/>
    <col min="19" max="19" width="13.26953125" bestFit="1" customWidth="1"/>
    <col min="20" max="20" width="11.453125" bestFit="1" customWidth="1"/>
    <col min="21" max="21" width="14" bestFit="1" customWidth="1"/>
    <col min="22" max="23" width="15.81640625" customWidth="1"/>
    <col min="24" max="24" width="13.54296875" customWidth="1"/>
    <col min="25" max="25" width="12.54296875" bestFit="1" customWidth="1"/>
    <col min="26" max="26" width="10.1796875" customWidth="1"/>
    <col min="43" max="43" width="12.1796875" bestFit="1" customWidth="1"/>
    <col min="64" max="70" width="12.54296875" customWidth="1"/>
    <col min="71" max="71" width="19.7265625" customWidth="1"/>
    <col min="72" max="72" width="7.26953125" bestFit="1" customWidth="1"/>
    <col min="74" max="76" width="13.453125" customWidth="1"/>
    <col min="78" max="80" width="12" customWidth="1"/>
    <col min="81" max="81" width="10.90625" customWidth="1"/>
    <col min="82" max="82" width="11.7265625" customWidth="1"/>
    <col min="88" max="89" width="13" customWidth="1"/>
  </cols>
  <sheetData>
    <row r="1" spans="1:113">
      <c r="A1" t="s">
        <v>859</v>
      </c>
      <c r="B1" t="s">
        <v>860</v>
      </c>
      <c r="C1" t="s">
        <v>861</v>
      </c>
      <c r="D1" s="998" t="s">
        <v>862</v>
      </c>
      <c r="E1" s="998" t="s">
        <v>863</v>
      </c>
      <c r="F1" s="998" t="s">
        <v>864</v>
      </c>
      <c r="G1" s="998" t="s">
        <v>865</v>
      </c>
      <c r="H1" s="998" t="s">
        <v>866</v>
      </c>
      <c r="I1" s="998" t="s">
        <v>867</v>
      </c>
      <c r="J1" s="998" t="s">
        <v>868</v>
      </c>
      <c r="K1" s="998" t="s">
        <v>869</v>
      </c>
      <c r="L1" s="998" t="s">
        <v>870</v>
      </c>
      <c r="M1" s="998" t="s">
        <v>871</v>
      </c>
      <c r="N1" s="998" t="s">
        <v>872</v>
      </c>
      <c r="O1" s="998" t="s">
        <v>873</v>
      </c>
      <c r="P1" t="s">
        <v>874</v>
      </c>
      <c r="Q1" t="s">
        <v>875</v>
      </c>
      <c r="R1" t="s">
        <v>876</v>
      </c>
      <c r="S1" t="s">
        <v>877</v>
      </c>
      <c r="T1" t="s">
        <v>878</v>
      </c>
      <c r="U1" s="998" t="s">
        <v>879</v>
      </c>
      <c r="V1" s="998" t="s">
        <v>880</v>
      </c>
      <c r="W1" s="998" t="s">
        <v>881</v>
      </c>
      <c r="X1" s="998" t="s">
        <v>882</v>
      </c>
      <c r="Y1" s="998" t="s">
        <v>883</v>
      </c>
      <c r="Z1" s="998" t="s">
        <v>884</v>
      </c>
      <c r="AA1" s="998" t="s">
        <v>885</v>
      </c>
      <c r="AB1" s="998" t="s">
        <v>886</v>
      </c>
      <c r="AC1" s="998" t="s">
        <v>887</v>
      </c>
      <c r="AD1" s="998" t="s">
        <v>888</v>
      </c>
      <c r="AE1" s="998" t="s">
        <v>889</v>
      </c>
      <c r="AF1" s="998" t="s">
        <v>890</v>
      </c>
      <c r="AG1" s="998" t="s">
        <v>891</v>
      </c>
      <c r="AH1" s="998" t="s">
        <v>892</v>
      </c>
      <c r="AI1" s="998" t="s">
        <v>893</v>
      </c>
      <c r="AJ1" s="998" t="s">
        <v>894</v>
      </c>
      <c r="AK1" s="998" t="s">
        <v>895</v>
      </c>
      <c r="AL1" s="998" t="s">
        <v>896</v>
      </c>
      <c r="AM1" s="998" t="s">
        <v>897</v>
      </c>
      <c r="AN1" s="998" t="s">
        <v>898</v>
      </c>
      <c r="AO1" s="998" t="s">
        <v>899</v>
      </c>
      <c r="AP1" s="998" t="s">
        <v>900</v>
      </c>
      <c r="AR1" s="998" t="s">
        <v>901</v>
      </c>
      <c r="AS1" s="998" t="s">
        <v>902</v>
      </c>
      <c r="AT1" s="998" t="s">
        <v>903</v>
      </c>
      <c r="AV1" t="s">
        <v>904</v>
      </c>
      <c r="AW1" t="s">
        <v>905</v>
      </c>
      <c r="AX1" t="s">
        <v>906</v>
      </c>
      <c r="AY1" t="s">
        <v>907</v>
      </c>
      <c r="AZ1" t="s">
        <v>908</v>
      </c>
      <c r="BA1" t="s">
        <v>909</v>
      </c>
      <c r="BB1" t="s">
        <v>910</v>
      </c>
      <c r="BD1" t="s">
        <v>911</v>
      </c>
      <c r="BE1" t="s">
        <v>912</v>
      </c>
      <c r="BF1" t="s">
        <v>913</v>
      </c>
      <c r="BG1" t="s">
        <v>914</v>
      </c>
      <c r="BH1" t="s">
        <v>915</v>
      </c>
      <c r="BI1" t="s">
        <v>916</v>
      </c>
      <c r="BJ1" t="s">
        <v>917</v>
      </c>
      <c r="BK1" s="998" t="s">
        <v>918</v>
      </c>
      <c r="BL1" s="998" t="s">
        <v>919</v>
      </c>
      <c r="BM1" s="998" t="s">
        <v>920</v>
      </c>
      <c r="BN1" s="998" t="s">
        <v>921</v>
      </c>
      <c r="BO1" s="998" t="s">
        <v>922</v>
      </c>
      <c r="BP1" s="998" t="s">
        <v>923</v>
      </c>
      <c r="BQ1" s="998" t="s">
        <v>924</v>
      </c>
      <c r="BR1" s="998" t="s">
        <v>925</v>
      </c>
      <c r="BS1" s="998" t="s">
        <v>926</v>
      </c>
      <c r="BU1" s="998" t="s">
        <v>927</v>
      </c>
      <c r="BV1" s="998" t="s">
        <v>928</v>
      </c>
      <c r="BW1" s="998" t="s">
        <v>929</v>
      </c>
      <c r="BX1" s="998" t="s">
        <v>930</v>
      </c>
      <c r="BZ1" t="s">
        <v>931</v>
      </c>
      <c r="CA1" t="s">
        <v>932</v>
      </c>
      <c r="CB1" t="s">
        <v>933</v>
      </c>
      <c r="CC1" s="998" t="s">
        <v>934</v>
      </c>
      <c r="CD1" t="s">
        <v>935</v>
      </c>
      <c r="CE1" s="998" t="s">
        <v>936</v>
      </c>
      <c r="CF1" t="s">
        <v>937</v>
      </c>
      <c r="CG1" t="s">
        <v>938</v>
      </c>
      <c r="CH1" t="s">
        <v>939</v>
      </c>
      <c r="CI1" s="998" t="s">
        <v>940</v>
      </c>
      <c r="CJ1" t="s">
        <v>941</v>
      </c>
      <c r="CK1" s="998" t="s">
        <v>942</v>
      </c>
      <c r="CM1" s="998" t="s">
        <v>943</v>
      </c>
      <c r="CN1" s="998" t="s">
        <v>944</v>
      </c>
      <c r="CO1" s="998" t="s">
        <v>945</v>
      </c>
      <c r="CP1" t="s">
        <v>946</v>
      </c>
      <c r="CQ1" s="998" t="s">
        <v>947</v>
      </c>
      <c r="CS1" s="998" t="s">
        <v>948</v>
      </c>
      <c r="CT1" s="998" t="s">
        <v>949</v>
      </c>
      <c r="CU1" s="998" t="s">
        <v>950</v>
      </c>
      <c r="CV1" s="998" t="s">
        <v>951</v>
      </c>
      <c r="CW1" s="998" t="s">
        <v>952</v>
      </c>
      <c r="CX1" s="998" t="s">
        <v>953</v>
      </c>
      <c r="CY1" s="998" t="s">
        <v>954</v>
      </c>
      <c r="DA1" s="998" t="s">
        <v>955</v>
      </c>
      <c r="DC1" s="998" t="s">
        <v>956</v>
      </c>
      <c r="DD1" s="998" t="s">
        <v>957</v>
      </c>
      <c r="DE1" s="998" t="s">
        <v>958</v>
      </c>
      <c r="DF1" s="998" t="s">
        <v>959</v>
      </c>
      <c r="DG1" s="998" t="s">
        <v>960</v>
      </c>
      <c r="DH1" s="998" t="s">
        <v>961</v>
      </c>
      <c r="DI1" s="998" t="s">
        <v>962</v>
      </c>
    </row>
    <row r="2" spans="1:113">
      <c r="A2" s="999">
        <v>2022</v>
      </c>
      <c r="B2" s="1000">
        <v>44562</v>
      </c>
      <c r="C2" s="1000">
        <v>44926.999305555553</v>
      </c>
      <c r="D2" s="998">
        <v>5</v>
      </c>
      <c r="E2" s="998">
        <v>15</v>
      </c>
      <c r="F2" s="998">
        <v>25</v>
      </c>
      <c r="G2" s="998">
        <v>25</v>
      </c>
      <c r="H2" s="998">
        <v>50</v>
      </c>
      <c r="I2" s="1001">
        <v>100000</v>
      </c>
      <c r="J2" s="1001">
        <v>3000</v>
      </c>
      <c r="K2" s="998">
        <v>2.5</v>
      </c>
      <c r="L2" s="998">
        <v>10</v>
      </c>
      <c r="M2" s="998">
        <v>20</v>
      </c>
      <c r="N2" s="998">
        <v>25000</v>
      </c>
      <c r="O2" s="998">
        <v>9000</v>
      </c>
      <c r="P2" s="999">
        <v>12950</v>
      </c>
      <c r="Q2" s="999">
        <v>25900</v>
      </c>
      <c r="R2" s="999">
        <v>19400</v>
      </c>
      <c r="S2" s="999">
        <v>12950</v>
      </c>
      <c r="T2" s="998">
        <v>4300</v>
      </c>
      <c r="U2" s="999">
        <v>1150</v>
      </c>
      <c r="V2" s="999">
        <v>400</v>
      </c>
      <c r="W2" s="999">
        <v>1750</v>
      </c>
      <c r="X2" s="999">
        <v>1400</v>
      </c>
      <c r="Y2" s="1003">
        <f>W2*2</f>
        <v>3500</v>
      </c>
      <c r="Z2" s="1003">
        <f>X2*2</f>
        <v>2800</v>
      </c>
      <c r="AA2" s="998">
        <v>0</v>
      </c>
      <c r="AB2" s="998">
        <v>1</v>
      </c>
      <c r="AC2" s="998">
        <v>1</v>
      </c>
      <c r="AD2" s="998">
        <v>999999999</v>
      </c>
      <c r="AE2" s="998">
        <v>999999999</v>
      </c>
      <c r="AF2" s="998">
        <v>999999999</v>
      </c>
      <c r="AG2" s="998">
        <v>999999999</v>
      </c>
      <c r="AH2" s="998">
        <v>0</v>
      </c>
      <c r="AI2" s="998">
        <v>0</v>
      </c>
      <c r="AJ2" s="998">
        <v>7.4999999999999997E-2</v>
      </c>
      <c r="AK2" s="998">
        <v>10000</v>
      </c>
      <c r="AL2" s="998">
        <v>5000</v>
      </c>
      <c r="AM2" s="998">
        <v>999999999</v>
      </c>
      <c r="AN2" s="998">
        <v>999999999</v>
      </c>
      <c r="AO2" s="998">
        <v>999999999</v>
      </c>
      <c r="AP2" s="998">
        <v>999999999</v>
      </c>
      <c r="AQ2" t="s">
        <v>963</v>
      </c>
      <c r="AR2" s="998">
        <v>0.1</v>
      </c>
      <c r="AS2" s="998">
        <v>0.1</v>
      </c>
      <c r="AT2" s="998">
        <v>0.1</v>
      </c>
      <c r="AU2" t="s">
        <v>197</v>
      </c>
      <c r="AV2" s="999">
        <v>0</v>
      </c>
      <c r="AW2" s="999">
        <v>10275</v>
      </c>
      <c r="AX2" s="999">
        <v>41775</v>
      </c>
      <c r="AY2" s="999">
        <v>89075</v>
      </c>
      <c r="AZ2" s="999">
        <v>170050</v>
      </c>
      <c r="BA2" s="999">
        <v>215950</v>
      </c>
      <c r="BB2" s="999">
        <v>539900</v>
      </c>
      <c r="BC2" t="s">
        <v>197</v>
      </c>
      <c r="BD2" s="999">
        <v>12950</v>
      </c>
      <c r="BE2" s="999">
        <v>23225</v>
      </c>
      <c r="BF2" s="999">
        <v>54725</v>
      </c>
      <c r="BG2" s="999">
        <v>102025</v>
      </c>
      <c r="BH2" s="999">
        <v>183000</v>
      </c>
      <c r="BI2" s="999">
        <v>228900</v>
      </c>
      <c r="BJ2" s="999">
        <v>552850</v>
      </c>
      <c r="BK2" s="998">
        <v>0.22</v>
      </c>
      <c r="BL2" s="998">
        <v>400000</v>
      </c>
      <c r="BM2" s="998">
        <v>200000</v>
      </c>
      <c r="BN2" s="998">
        <v>200000</v>
      </c>
      <c r="BO2" s="998">
        <v>2000</v>
      </c>
      <c r="BP2" s="998">
        <v>1000</v>
      </c>
      <c r="BQ2" s="998">
        <v>50</v>
      </c>
      <c r="BR2" s="998">
        <v>2500</v>
      </c>
      <c r="BS2" s="998">
        <v>500</v>
      </c>
      <c r="BU2" s="998">
        <v>16</v>
      </c>
      <c r="BV2" s="998">
        <v>3000</v>
      </c>
      <c r="BW2" s="998">
        <v>0</v>
      </c>
      <c r="BX2" s="998">
        <v>0.35</v>
      </c>
      <c r="BY2" s="836" t="s">
        <v>964</v>
      </c>
      <c r="BZ2" s="999">
        <v>7320</v>
      </c>
      <c r="CA2" s="999">
        <v>9160</v>
      </c>
      <c r="CB2" s="1003">
        <f>ROUND(CA2+CD2/CE2,0)</f>
        <v>16480</v>
      </c>
      <c r="CC2" s="998">
        <v>7.6499999999999999E-2</v>
      </c>
      <c r="CD2" s="1003">
        <f>ROUND(BZ2*CC2,0)</f>
        <v>560</v>
      </c>
      <c r="CE2" s="998">
        <v>7.6499999999999999E-2</v>
      </c>
      <c r="CF2" s="1003">
        <f>BZ2</f>
        <v>7320</v>
      </c>
      <c r="CG2" s="999">
        <v>15290</v>
      </c>
      <c r="CH2" s="1003">
        <f>ROUND(CG2+CJ2/CK2,0)</f>
        <v>22610</v>
      </c>
      <c r="CI2" s="998">
        <v>7.6499999999999999E-2</v>
      </c>
      <c r="CJ2" s="1003">
        <f>ROUND(CF2*CI2,0)</f>
        <v>560</v>
      </c>
      <c r="CK2" s="998">
        <v>7.6499999999999999E-2</v>
      </c>
      <c r="CM2" s="998">
        <v>0.92349999999999999</v>
      </c>
      <c r="CN2" s="998">
        <v>400</v>
      </c>
      <c r="CO2" s="998">
        <v>2.9000000000000001E-2</v>
      </c>
      <c r="CP2" s="999">
        <v>147000</v>
      </c>
      <c r="CQ2" s="998">
        <v>0.124</v>
      </c>
      <c r="CS2" s="998">
        <v>6.2E-2</v>
      </c>
      <c r="CT2" s="998">
        <v>1.4500000000000001E-2</v>
      </c>
      <c r="CU2" s="998">
        <v>8.9999999999999993E-3</v>
      </c>
      <c r="CV2" s="998">
        <v>0</v>
      </c>
      <c r="CW2" s="998">
        <v>200000</v>
      </c>
      <c r="CX2" s="998">
        <v>250000</v>
      </c>
      <c r="CY2" s="998">
        <v>125000</v>
      </c>
      <c r="DA2" s="998">
        <v>1000</v>
      </c>
      <c r="DC2" s="998">
        <v>0</v>
      </c>
      <c r="DD2" s="998">
        <v>0</v>
      </c>
      <c r="DE2" s="998">
        <v>0</v>
      </c>
      <c r="DF2" s="998">
        <v>0</v>
      </c>
      <c r="DG2" s="998">
        <v>0</v>
      </c>
      <c r="DH2" s="998">
        <v>0</v>
      </c>
      <c r="DI2" s="998">
        <v>0</v>
      </c>
    </row>
    <row r="3" spans="1:113">
      <c r="N3" s="998">
        <v>32000</v>
      </c>
      <c r="O3" s="998">
        <v>12000</v>
      </c>
      <c r="AQ3" t="s">
        <v>965</v>
      </c>
      <c r="AR3" s="998">
        <v>0.12</v>
      </c>
      <c r="AS3" s="998">
        <v>0.12</v>
      </c>
      <c r="AT3" s="998">
        <v>0.12</v>
      </c>
      <c r="AU3" t="s">
        <v>966</v>
      </c>
      <c r="AV3" s="999">
        <v>0</v>
      </c>
      <c r="AW3" s="999">
        <v>20550</v>
      </c>
      <c r="AX3" s="999">
        <v>83550</v>
      </c>
      <c r="AY3" s="999">
        <v>178150</v>
      </c>
      <c r="AZ3" s="999">
        <v>340100</v>
      </c>
      <c r="BA3" s="999">
        <v>431900</v>
      </c>
      <c r="BB3" s="999">
        <v>647850</v>
      </c>
      <c r="BC3" t="s">
        <v>966</v>
      </c>
      <c r="BD3" s="999">
        <v>25900</v>
      </c>
      <c r="BE3" s="999">
        <v>46450</v>
      </c>
      <c r="BF3" s="999">
        <v>109450</v>
      </c>
      <c r="BG3" s="999">
        <v>204050</v>
      </c>
      <c r="BH3" s="999">
        <v>366000</v>
      </c>
      <c r="BI3" s="999">
        <v>457800</v>
      </c>
      <c r="BJ3" s="999">
        <v>673750</v>
      </c>
      <c r="BW3" s="998">
        <v>15000</v>
      </c>
      <c r="BX3" s="998">
        <v>0.34</v>
      </c>
      <c r="BY3" s="836" t="s">
        <v>967</v>
      </c>
      <c r="BZ3" s="999">
        <v>10980</v>
      </c>
      <c r="CA3" s="999">
        <v>20130</v>
      </c>
      <c r="CB3" s="1003">
        <f>ROUND(CA3+CD3/CE3,0)</f>
        <v>43490</v>
      </c>
      <c r="CC3" s="998">
        <v>0.34</v>
      </c>
      <c r="CD3" s="1003">
        <f>ROUND(BZ3*CC3,0)</f>
        <v>3733</v>
      </c>
      <c r="CE3" s="998">
        <v>0.1598</v>
      </c>
      <c r="CF3" s="1003">
        <f>BZ3</f>
        <v>10980</v>
      </c>
      <c r="CG3" s="999">
        <v>26260</v>
      </c>
      <c r="CH3" s="1003">
        <f>ROUND(CG3+CJ3/CK3,0)</f>
        <v>49620</v>
      </c>
      <c r="CI3" s="998">
        <v>0.34</v>
      </c>
      <c r="CJ3" s="1003">
        <f>ROUND(CF3*CI3,0)</f>
        <v>3733</v>
      </c>
      <c r="CK3" s="998">
        <v>0.1598</v>
      </c>
      <c r="DC3" s="998">
        <v>1</v>
      </c>
      <c r="DD3" s="998">
        <v>0</v>
      </c>
      <c r="DE3" s="998">
        <v>0</v>
      </c>
      <c r="DF3" s="998">
        <v>0</v>
      </c>
      <c r="DG3" s="998">
        <v>0</v>
      </c>
      <c r="DH3" s="998">
        <v>1</v>
      </c>
      <c r="DI3" s="998">
        <v>1</v>
      </c>
    </row>
    <row r="4" spans="1:113">
      <c r="N4" s="998">
        <v>25000</v>
      </c>
      <c r="O4" s="998">
        <v>9000</v>
      </c>
      <c r="U4" s="373" t="s">
        <v>1196</v>
      </c>
      <c r="V4" s="373" t="s">
        <v>1196</v>
      </c>
      <c r="W4" s="392" t="s">
        <v>1197</v>
      </c>
      <c r="X4" s="392" t="s">
        <v>1197</v>
      </c>
      <c r="AQ4" t="s">
        <v>968</v>
      </c>
      <c r="AR4" s="998">
        <v>0.22</v>
      </c>
      <c r="AS4" s="998">
        <v>0.22</v>
      </c>
      <c r="AT4" s="998">
        <v>0.22</v>
      </c>
      <c r="AU4" t="s">
        <v>743</v>
      </c>
      <c r="AV4" s="999">
        <v>0</v>
      </c>
      <c r="AW4" s="999">
        <f t="shared" ref="AW4:BB4" si="0">AW3/2</f>
        <v>10275</v>
      </c>
      <c r="AX4" s="999">
        <f t="shared" si="0"/>
        <v>41775</v>
      </c>
      <c r="AY4" s="999">
        <f t="shared" si="0"/>
        <v>89075</v>
      </c>
      <c r="AZ4" s="999">
        <f t="shared" si="0"/>
        <v>170050</v>
      </c>
      <c r="BA4" s="999">
        <f t="shared" si="0"/>
        <v>215950</v>
      </c>
      <c r="BB4" s="999">
        <f t="shared" si="0"/>
        <v>323925</v>
      </c>
      <c r="BC4" t="s">
        <v>558</v>
      </c>
      <c r="BD4" s="999">
        <v>19400</v>
      </c>
      <c r="BE4" s="999">
        <v>34050</v>
      </c>
      <c r="BF4" s="999">
        <v>75300</v>
      </c>
      <c r="BG4" s="999">
        <v>108450</v>
      </c>
      <c r="BH4" s="999">
        <v>189450</v>
      </c>
      <c r="BI4" s="999">
        <v>235350</v>
      </c>
      <c r="BJ4" s="999">
        <v>559300</v>
      </c>
      <c r="BW4" s="998">
        <v>17000</v>
      </c>
      <c r="BX4" s="998">
        <v>0.33</v>
      </c>
      <c r="BY4" s="836" t="s">
        <v>969</v>
      </c>
      <c r="BZ4" s="999">
        <v>15410</v>
      </c>
      <c r="CA4" s="999">
        <v>20130</v>
      </c>
      <c r="CB4" s="1003">
        <f>ROUND(CA4+CD4/CE4,0)</f>
        <v>49399</v>
      </c>
      <c r="CC4" s="998">
        <v>0.4</v>
      </c>
      <c r="CD4" s="1003">
        <f>ROUND(BZ4*CC4,0)</f>
        <v>6164</v>
      </c>
      <c r="CE4" s="998">
        <v>0.21060000000000001</v>
      </c>
      <c r="CF4" s="1003">
        <f>BZ4</f>
        <v>15410</v>
      </c>
      <c r="CG4" s="999">
        <v>26260</v>
      </c>
      <c r="CH4" s="1003">
        <f>ROUND(CG4+CJ4/CK4,0)</f>
        <v>55529</v>
      </c>
      <c r="CI4" s="998">
        <v>0.4</v>
      </c>
      <c r="CJ4" s="1003">
        <f>ROUND(CF4*CI4,0)</f>
        <v>6164</v>
      </c>
      <c r="CK4" s="998">
        <v>0.21060000000000001</v>
      </c>
      <c r="DC4" s="998">
        <v>2</v>
      </c>
      <c r="DD4" s="998">
        <v>0</v>
      </c>
      <c r="DE4" s="998">
        <v>0</v>
      </c>
      <c r="DF4" s="998">
        <v>0</v>
      </c>
      <c r="DG4" s="998">
        <v>0</v>
      </c>
      <c r="DH4" s="998">
        <v>15</v>
      </c>
      <c r="DI4" s="998">
        <v>15</v>
      </c>
    </row>
    <row r="5" spans="1:113">
      <c r="A5" s="999" t="s">
        <v>970</v>
      </c>
      <c r="B5" s="1002" t="s">
        <v>971</v>
      </c>
      <c r="N5" s="998">
        <v>25000</v>
      </c>
      <c r="O5" s="998">
        <v>9000</v>
      </c>
      <c r="AQ5" t="s">
        <v>972</v>
      </c>
      <c r="AR5" s="998">
        <v>0.24</v>
      </c>
      <c r="AS5" s="998">
        <v>0.24</v>
      </c>
      <c r="AT5" s="998">
        <v>0.24</v>
      </c>
      <c r="AU5" t="s">
        <v>558</v>
      </c>
      <c r="AV5" s="999">
        <v>0</v>
      </c>
      <c r="AW5" s="999">
        <v>14650</v>
      </c>
      <c r="AX5" s="999">
        <v>55900</v>
      </c>
      <c r="AY5" s="999">
        <v>89050</v>
      </c>
      <c r="AZ5" s="999">
        <v>170050</v>
      </c>
      <c r="BA5" s="999">
        <v>215950</v>
      </c>
      <c r="BB5" s="999">
        <v>539900</v>
      </c>
      <c r="BW5" s="998">
        <v>19000</v>
      </c>
      <c r="BX5" s="998">
        <v>0.32</v>
      </c>
      <c r="BY5" s="836" t="s">
        <v>973</v>
      </c>
      <c r="BZ5" s="999">
        <v>15410</v>
      </c>
      <c r="CA5" s="999">
        <v>20130</v>
      </c>
      <c r="CB5" s="1003">
        <f>ROUND(CA5+CD5/CE5,0)</f>
        <v>53060</v>
      </c>
      <c r="CC5" s="998">
        <v>0.45</v>
      </c>
      <c r="CD5" s="1003">
        <f>ROUND(BZ5*CC5,0)</f>
        <v>6935</v>
      </c>
      <c r="CE5" s="998">
        <v>0.21060000000000001</v>
      </c>
      <c r="CF5" s="1003">
        <f>BZ5</f>
        <v>15410</v>
      </c>
      <c r="CG5" s="999">
        <v>26260</v>
      </c>
      <c r="CH5" s="1003">
        <f>ROUND(CG5+CJ5/CK5,0)</f>
        <v>59190</v>
      </c>
      <c r="CI5" s="998">
        <v>0.45</v>
      </c>
      <c r="CJ5" s="1003">
        <f>ROUND(CF5*CI5,0)</f>
        <v>6935</v>
      </c>
      <c r="CK5" s="998">
        <v>0.21060000000000001</v>
      </c>
      <c r="DC5" s="998">
        <v>3</v>
      </c>
      <c r="DD5" s="998">
        <v>0</v>
      </c>
      <c r="DE5" s="998">
        <v>0</v>
      </c>
      <c r="DF5" s="998">
        <v>0</v>
      </c>
      <c r="DG5" s="998">
        <v>0</v>
      </c>
      <c r="DH5" s="998">
        <v>32</v>
      </c>
      <c r="DI5" s="998">
        <v>32</v>
      </c>
    </row>
    <row r="6" spans="1:113">
      <c r="N6" s="998">
        <v>25000</v>
      </c>
      <c r="O6" s="998">
        <v>9000</v>
      </c>
      <c r="AQ6" t="s">
        <v>974</v>
      </c>
      <c r="AR6" s="998">
        <v>0.32</v>
      </c>
      <c r="AS6" s="998">
        <v>0.32</v>
      </c>
      <c r="AT6" s="998">
        <v>0.32</v>
      </c>
      <c r="BW6" s="998">
        <v>21000</v>
      </c>
      <c r="BX6" s="998">
        <v>0.31</v>
      </c>
      <c r="DC6" s="998">
        <v>4</v>
      </c>
      <c r="DD6" s="998">
        <v>0</v>
      </c>
      <c r="DE6" s="998">
        <v>0</v>
      </c>
      <c r="DF6" s="998">
        <v>0</v>
      </c>
      <c r="DG6" s="998">
        <v>0</v>
      </c>
      <c r="DH6" s="998">
        <v>46</v>
      </c>
      <c r="DI6" s="998">
        <v>46</v>
      </c>
    </row>
    <row r="7" spans="1:113">
      <c r="B7" s="1004" t="s">
        <v>975</v>
      </c>
      <c r="AQ7" t="s">
        <v>976</v>
      </c>
      <c r="AR7" s="998">
        <v>0.35</v>
      </c>
      <c r="AS7" s="998">
        <v>0.35</v>
      </c>
      <c r="AT7" s="998">
        <v>0.35</v>
      </c>
      <c r="BW7" s="998">
        <v>23000</v>
      </c>
      <c r="BX7" s="998">
        <v>0.3</v>
      </c>
      <c r="DC7" s="998">
        <v>5</v>
      </c>
      <c r="DD7" s="998">
        <v>2</v>
      </c>
      <c r="DE7" s="998">
        <v>1</v>
      </c>
      <c r="DF7" s="998">
        <v>1</v>
      </c>
      <c r="DG7" s="998">
        <v>1</v>
      </c>
      <c r="DH7" s="998">
        <v>60</v>
      </c>
      <c r="DI7" s="998">
        <v>61</v>
      </c>
    </row>
    <row r="8" spans="1:113">
      <c r="AQ8" t="s">
        <v>977</v>
      </c>
      <c r="AR8" s="998">
        <v>0.37</v>
      </c>
      <c r="AS8" s="998">
        <v>0.37</v>
      </c>
      <c r="AT8" s="998">
        <v>0.37</v>
      </c>
      <c r="BW8" s="998">
        <v>25000</v>
      </c>
      <c r="BX8" s="998">
        <v>0.28999999999999998</v>
      </c>
      <c r="DC8" s="998">
        <v>6</v>
      </c>
      <c r="DD8" s="998">
        <v>4</v>
      </c>
      <c r="DE8" s="998">
        <v>2</v>
      </c>
      <c r="DF8" s="998">
        <v>2</v>
      </c>
      <c r="DG8" s="998">
        <v>1</v>
      </c>
      <c r="DH8" s="998">
        <v>74</v>
      </c>
      <c r="DI8" s="998">
        <v>75</v>
      </c>
    </row>
    <row r="9" spans="1:113">
      <c r="B9" s="998" t="s">
        <v>978</v>
      </c>
      <c r="BW9" s="998">
        <v>27000</v>
      </c>
      <c r="BX9" s="998">
        <v>0.28000000000000003</v>
      </c>
      <c r="DC9" s="998">
        <v>7</v>
      </c>
      <c r="DD9" s="998">
        <v>7</v>
      </c>
      <c r="DE9" s="998">
        <v>3</v>
      </c>
      <c r="DF9" s="998">
        <v>3</v>
      </c>
      <c r="DG9" s="998">
        <v>2</v>
      </c>
      <c r="DH9" s="998">
        <v>91</v>
      </c>
      <c r="DI9" s="998">
        <v>92</v>
      </c>
    </row>
    <row r="10" spans="1:113">
      <c r="BW10" s="998">
        <v>29000</v>
      </c>
      <c r="BX10" s="998">
        <v>0.27</v>
      </c>
      <c r="DC10" s="998">
        <v>8</v>
      </c>
      <c r="DD10" s="998">
        <v>9</v>
      </c>
      <c r="DE10" s="998">
        <v>4</v>
      </c>
      <c r="DF10" s="998">
        <v>4</v>
      </c>
      <c r="DG10" s="998">
        <v>2</v>
      </c>
      <c r="DH10" s="998">
        <v>105</v>
      </c>
      <c r="DI10" s="998">
        <v>106</v>
      </c>
    </row>
    <row r="11" spans="1:113">
      <c r="B11" s="1003" t="s">
        <v>696</v>
      </c>
      <c r="BW11" s="998">
        <v>31000</v>
      </c>
      <c r="BX11" s="998">
        <v>0.26</v>
      </c>
      <c r="DC11" s="998">
        <v>9</v>
      </c>
      <c r="DD11" s="998">
        <v>11</v>
      </c>
      <c r="DE11" s="998">
        <v>5</v>
      </c>
      <c r="DF11" s="998">
        <v>5</v>
      </c>
      <c r="DG11" s="998">
        <v>3</v>
      </c>
      <c r="DH11" s="998">
        <v>121</v>
      </c>
      <c r="DI11" s="998">
        <v>122</v>
      </c>
    </row>
    <row r="12" spans="1:113">
      <c r="BW12" s="998">
        <v>33000</v>
      </c>
      <c r="BX12" s="998">
        <v>0.25</v>
      </c>
      <c r="DC12" s="998">
        <v>10</v>
      </c>
      <c r="DD12" s="998">
        <v>13</v>
      </c>
      <c r="DE12" s="998">
        <v>6</v>
      </c>
      <c r="DF12" s="998">
        <v>6</v>
      </c>
      <c r="DG12" s="998">
        <v>3</v>
      </c>
      <c r="DH12" s="998">
        <v>135</v>
      </c>
      <c r="DI12" s="998">
        <v>136</v>
      </c>
    </row>
    <row r="13" spans="1:113">
      <c r="BW13" s="998">
        <v>35000</v>
      </c>
      <c r="BX13" s="998">
        <v>0.24</v>
      </c>
      <c r="DC13" s="998">
        <v>11</v>
      </c>
      <c r="DD13" s="998">
        <v>15</v>
      </c>
      <c r="DE13" s="998">
        <v>7</v>
      </c>
      <c r="DF13" s="998">
        <v>7</v>
      </c>
      <c r="DG13" s="998">
        <v>4</v>
      </c>
      <c r="DH13" s="998">
        <v>152</v>
      </c>
      <c r="DI13" s="998">
        <v>153</v>
      </c>
    </row>
    <row r="14" spans="1:113">
      <c r="BW14" s="998">
        <v>37000</v>
      </c>
      <c r="BX14" s="998">
        <v>0.23</v>
      </c>
      <c r="DC14" s="998">
        <v>12</v>
      </c>
      <c r="DD14" s="998">
        <v>17</v>
      </c>
      <c r="DE14" s="998">
        <v>8</v>
      </c>
      <c r="DF14" s="998">
        <v>8</v>
      </c>
      <c r="DG14" s="998">
        <v>4</v>
      </c>
      <c r="DH14" s="998">
        <v>166</v>
      </c>
      <c r="DI14" s="998">
        <v>167</v>
      </c>
    </row>
    <row r="15" spans="1:113">
      <c r="BW15" s="998">
        <v>39000</v>
      </c>
      <c r="BX15" s="998">
        <v>0.22</v>
      </c>
      <c r="DC15" s="998">
        <v>13</v>
      </c>
      <c r="DD15" s="998">
        <v>20</v>
      </c>
      <c r="DE15" s="998">
        <v>10</v>
      </c>
      <c r="DF15" s="998">
        <v>9</v>
      </c>
      <c r="DG15" s="998">
        <v>5</v>
      </c>
      <c r="DH15" s="998">
        <v>182</v>
      </c>
      <c r="DI15" s="998">
        <v>183</v>
      </c>
    </row>
    <row r="16" spans="1:113">
      <c r="BW16" s="998">
        <v>41000</v>
      </c>
      <c r="BX16" s="998">
        <v>0.21</v>
      </c>
      <c r="DC16" s="998">
        <v>14</v>
      </c>
      <c r="DD16" s="998">
        <v>22</v>
      </c>
      <c r="DE16" s="998">
        <v>11</v>
      </c>
      <c r="DF16" s="998">
        <v>10</v>
      </c>
      <c r="DG16" s="998">
        <v>5</v>
      </c>
      <c r="DH16" s="998">
        <v>196</v>
      </c>
      <c r="DI16" s="998">
        <v>197</v>
      </c>
    </row>
    <row r="17" spans="75:113">
      <c r="BW17" s="998">
        <v>43000</v>
      </c>
      <c r="BX17" s="998">
        <v>0.2</v>
      </c>
      <c r="DC17" s="998">
        <v>15</v>
      </c>
      <c r="DD17" s="998">
        <v>24</v>
      </c>
      <c r="DE17" s="998">
        <v>12</v>
      </c>
      <c r="DF17" s="998">
        <v>11</v>
      </c>
      <c r="DG17" s="998">
        <v>6</v>
      </c>
      <c r="DH17" s="998">
        <v>213</v>
      </c>
      <c r="DI17" s="998">
        <v>214</v>
      </c>
    </row>
    <row r="18" spans="75:113">
      <c r="DC18" s="998">
        <v>16</v>
      </c>
      <c r="DD18" s="998">
        <v>26</v>
      </c>
      <c r="DE18" s="998">
        <v>13</v>
      </c>
      <c r="DF18" s="998">
        <v>12</v>
      </c>
      <c r="DG18" s="998">
        <v>6</v>
      </c>
      <c r="DH18" s="998">
        <v>227</v>
      </c>
      <c r="DI18" s="998">
        <v>228</v>
      </c>
    </row>
    <row r="19" spans="75:113">
      <c r="DC19" s="998">
        <v>17</v>
      </c>
      <c r="DD19" s="998">
        <v>28</v>
      </c>
      <c r="DE19" s="998">
        <v>14</v>
      </c>
      <c r="DF19" s="998">
        <v>13</v>
      </c>
      <c r="DG19" s="998">
        <v>7</v>
      </c>
      <c r="DH19" s="998">
        <v>244</v>
      </c>
      <c r="DI19" s="998">
        <v>245</v>
      </c>
    </row>
    <row r="20" spans="75:113">
      <c r="DC20" s="998">
        <v>18</v>
      </c>
      <c r="DD20" s="998">
        <v>30</v>
      </c>
      <c r="DE20" s="998">
        <v>15</v>
      </c>
      <c r="DF20" s="998">
        <v>14</v>
      </c>
      <c r="DG20" s="998">
        <v>7</v>
      </c>
      <c r="DH20" s="998">
        <v>258</v>
      </c>
      <c r="DI20" s="998">
        <v>259</v>
      </c>
    </row>
    <row r="21" spans="75:113">
      <c r="DC21" s="998">
        <v>19</v>
      </c>
      <c r="DD21" s="998">
        <v>33</v>
      </c>
      <c r="DE21" s="998">
        <v>16</v>
      </c>
      <c r="DF21" s="998">
        <v>15</v>
      </c>
      <c r="DG21" s="998">
        <v>8</v>
      </c>
      <c r="DH21" s="998">
        <v>274</v>
      </c>
      <c r="DI21" s="998">
        <v>275</v>
      </c>
    </row>
    <row r="22" spans="75:113">
      <c r="DC22" s="998">
        <v>20</v>
      </c>
      <c r="DD22" s="998">
        <v>35</v>
      </c>
      <c r="DE22" s="998">
        <v>17</v>
      </c>
      <c r="DF22" s="998">
        <v>16</v>
      </c>
      <c r="DG22" s="998">
        <v>8</v>
      </c>
      <c r="DH22" s="998">
        <v>288</v>
      </c>
      <c r="DI22" s="998">
        <v>289</v>
      </c>
    </row>
    <row r="23" spans="75:113">
      <c r="DC23" s="998">
        <v>21</v>
      </c>
      <c r="DD23" s="998">
        <v>37</v>
      </c>
      <c r="DE23" s="998">
        <v>18</v>
      </c>
      <c r="DF23" s="998">
        <v>17</v>
      </c>
      <c r="DG23" s="998">
        <v>9</v>
      </c>
      <c r="DH23" s="998">
        <v>305</v>
      </c>
      <c r="DI23" s="998">
        <v>306</v>
      </c>
    </row>
    <row r="24" spans="75:113">
      <c r="DC24" s="998">
        <v>22</v>
      </c>
      <c r="DD24" s="998">
        <v>39</v>
      </c>
      <c r="DE24" s="998">
        <v>19</v>
      </c>
      <c r="DF24" s="998">
        <v>18</v>
      </c>
      <c r="DG24" s="998">
        <v>9</v>
      </c>
      <c r="DH24" s="998">
        <v>319</v>
      </c>
      <c r="DI24" s="998">
        <v>320</v>
      </c>
    </row>
    <row r="25" spans="75:113">
      <c r="DC25" s="998">
        <v>23</v>
      </c>
      <c r="DD25" s="998">
        <v>41</v>
      </c>
      <c r="DE25" s="998">
        <v>20</v>
      </c>
      <c r="DF25" s="998">
        <v>19</v>
      </c>
      <c r="DG25" s="998">
        <v>10</v>
      </c>
      <c r="DH25" s="998">
        <v>335</v>
      </c>
      <c r="DI25" s="998">
        <v>336</v>
      </c>
    </row>
    <row r="26" spans="75:113">
      <c r="DC26" s="998">
        <v>24</v>
      </c>
      <c r="DD26" s="998">
        <v>43</v>
      </c>
      <c r="DE26" s="998">
        <v>21</v>
      </c>
      <c r="DF26" s="998">
        <v>20</v>
      </c>
      <c r="DG26" s="998">
        <v>10</v>
      </c>
      <c r="DH26" s="998">
        <v>349</v>
      </c>
      <c r="DI26" s="998">
        <v>350</v>
      </c>
    </row>
    <row r="27" spans="75:113">
      <c r="DC27" s="998">
        <v>25</v>
      </c>
      <c r="DD27" s="998">
        <v>46</v>
      </c>
      <c r="DE27" s="998">
        <v>23</v>
      </c>
      <c r="DF27" s="998">
        <v>21</v>
      </c>
      <c r="DG27" s="998">
        <v>11</v>
      </c>
      <c r="DH27" s="998">
        <v>365</v>
      </c>
      <c r="DI27" s="998">
        <v>366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pageSetUpPr fitToPage="1"/>
  </sheetPr>
  <dimension ref="B1:T108"/>
  <sheetViews>
    <sheetView showGridLines="0" topLeftCell="C1" zoomScale="75" zoomScaleNormal="75" workbookViewId="0">
      <selection activeCell="R25" sqref="R25"/>
    </sheetView>
  </sheetViews>
  <sheetFormatPr defaultRowHeight="12.5"/>
  <cols>
    <col min="1" max="1" width="1.7265625" customWidth="1"/>
    <col min="2" max="2" width="26" customWidth="1"/>
    <col min="3" max="3" width="16.7265625" customWidth="1"/>
    <col min="4" max="4" width="7.81640625" customWidth="1"/>
    <col min="5" max="5" width="15.26953125" customWidth="1"/>
    <col min="6" max="7" width="12.81640625" customWidth="1"/>
    <col min="8" max="8" width="18" customWidth="1"/>
    <col min="9" max="9" width="0.6328125" customWidth="1"/>
    <col min="10" max="10" width="6.26953125" customWidth="1"/>
    <col min="11" max="11" width="1" customWidth="1"/>
    <col min="12" max="12" width="39.81640625" customWidth="1"/>
    <col min="13" max="13" width="14.54296875" customWidth="1"/>
    <col min="14" max="14" width="13.1796875" customWidth="1"/>
    <col min="15" max="15" width="14.26953125" customWidth="1"/>
    <col min="16" max="16" width="14.1796875" customWidth="1"/>
    <col min="17" max="17" width="11.7265625" customWidth="1"/>
    <col min="18" max="18" width="15.7265625" customWidth="1"/>
    <col min="19" max="19" width="2.54296875" customWidth="1"/>
    <col min="20" max="20" width="19.453125" customWidth="1"/>
    <col min="21" max="257" width="11.453125" customWidth="1"/>
  </cols>
  <sheetData>
    <row r="1" spans="2:20" ht="29.5">
      <c r="B1" s="1070" t="str">
        <f>CONCATENATE("On-Line Withholding Calculator (",Calculations!J1,")")</f>
        <v>On-Line Withholding Calculator (2022)</v>
      </c>
      <c r="C1" s="1070"/>
      <c r="D1" s="1070"/>
      <c r="E1" s="1070"/>
      <c r="F1" s="1070"/>
      <c r="G1" s="1070"/>
      <c r="H1" s="1070"/>
      <c r="I1" s="1070"/>
      <c r="J1" s="1070"/>
      <c r="K1" s="1070"/>
      <c r="L1" s="1070"/>
      <c r="M1" s="1070"/>
      <c r="N1" s="1070"/>
      <c r="O1" s="1070"/>
      <c r="P1" s="471"/>
    </row>
    <row r="2" spans="2:20" ht="6" customHeight="1" thickBot="1">
      <c r="B2" s="1"/>
      <c r="C2" s="1"/>
      <c r="D2" s="1"/>
      <c r="E2" s="1"/>
      <c r="F2" s="1"/>
      <c r="G2" s="1"/>
      <c r="H2" s="1"/>
      <c r="I2" s="1"/>
      <c r="J2" s="1"/>
      <c r="K2" s="1"/>
      <c r="L2" s="1"/>
      <c r="M2" s="1"/>
      <c r="N2" s="1"/>
      <c r="O2" s="1"/>
      <c r="P2" s="1"/>
    </row>
    <row r="3" spans="2:20" ht="23.15" customHeight="1">
      <c r="B3" s="1075" t="s">
        <v>140</v>
      </c>
      <c r="C3" s="1076"/>
      <c r="D3" s="1076"/>
      <c r="E3" s="1076"/>
      <c r="F3" s="1076"/>
      <c r="G3" s="1076"/>
      <c r="H3" s="1077"/>
      <c r="I3" s="102"/>
      <c r="J3" s="103"/>
      <c r="K3" s="103"/>
      <c r="L3" s="1084" t="s">
        <v>25</v>
      </c>
      <c r="M3" s="1085"/>
      <c r="N3" s="1085"/>
      <c r="O3" s="1085"/>
      <c r="P3" s="1085"/>
      <c r="Q3" s="1085"/>
      <c r="R3" s="1086"/>
    </row>
    <row r="4" spans="2:20" ht="15.5">
      <c r="B4" s="51"/>
      <c r="C4" s="53"/>
      <c r="D4" s="53"/>
      <c r="E4" s="53"/>
      <c r="F4" s="53"/>
      <c r="G4" s="53"/>
      <c r="H4" s="104"/>
      <c r="I4" s="81"/>
      <c r="J4" s="1"/>
      <c r="K4" s="1"/>
      <c r="L4" s="2"/>
      <c r="M4" s="3"/>
      <c r="N4" s="3"/>
      <c r="O4" s="3"/>
      <c r="P4" s="3"/>
      <c r="Q4" s="3"/>
      <c r="R4" s="4"/>
    </row>
    <row r="5" spans="2:20" ht="20.149999999999999" customHeight="1" thickBot="1">
      <c r="B5" s="73" t="s">
        <v>42</v>
      </c>
      <c r="C5" s="74"/>
      <c r="D5" s="74"/>
      <c r="E5" s="74"/>
      <c r="F5" s="74"/>
      <c r="G5" s="74"/>
      <c r="H5" s="1012">
        <f>IF(OR('Inputs-Outputs'!B11=0,'Inputs-Outputs'!B11=""),0,1)</f>
        <v>0</v>
      </c>
      <c r="I5" s="81"/>
      <c r="J5" s="1"/>
      <c r="K5" s="1"/>
      <c r="L5" s="698" t="s">
        <v>180</v>
      </c>
      <c r="M5" s="146"/>
      <c r="N5" s="699" t="str">
        <f>IF(AND(H5=1,Calculations!U7&lt;=0),"Yes","No")</f>
        <v>No</v>
      </c>
      <c r="O5" s="146"/>
      <c r="P5" s="146"/>
      <c r="Q5" s="146"/>
      <c r="R5" s="147"/>
    </row>
    <row r="6" spans="2:20" ht="24.5" customHeight="1" thickTop="1">
      <c r="B6" s="73" t="s">
        <v>214</v>
      </c>
      <c r="C6" s="74"/>
      <c r="D6" s="74"/>
      <c r="E6" s="74"/>
      <c r="F6" s="74"/>
      <c r="G6" s="74"/>
      <c r="H6" s="105"/>
      <c r="I6" s="81"/>
      <c r="J6" s="1"/>
      <c r="K6" s="1"/>
      <c r="L6" s="145" t="s">
        <v>490</v>
      </c>
      <c r="M6" s="596" t="s">
        <v>456</v>
      </c>
      <c r="N6" s="596" t="str">
        <f>IF($H$17&gt;0,"Your Job 2","")</f>
        <v>Your Job 2</v>
      </c>
      <c r="O6" s="596" t="str">
        <f>IF($H$26&gt;0,"Spouse Job 1","")</f>
        <v/>
      </c>
      <c r="P6" s="596" t="str">
        <f>IF($H$27&gt;0,"Spouse Job 2","")</f>
        <v/>
      </c>
      <c r="Q6" s="100" t="s">
        <v>458</v>
      </c>
      <c r="R6" s="101" t="s">
        <v>210</v>
      </c>
    </row>
    <row r="7" spans="2:20" ht="16.5" customHeight="1">
      <c r="B7" s="75" t="s">
        <v>193</v>
      </c>
      <c r="C7" s="134"/>
      <c r="D7" s="134"/>
      <c r="E7" s="134"/>
      <c r="F7" s="134"/>
      <c r="G7" s="1011" t="str">
        <f>VLOOKUP(H7,Calculations!A8:B12,2)</f>
        <v>Single</v>
      </c>
      <c r="H7" s="1012">
        <f>'Inputs-Outputs'!B5</f>
        <v>1</v>
      </c>
      <c r="I7" s="81"/>
      <c r="J7" s="1"/>
      <c r="K7" s="1"/>
      <c r="L7" s="64" t="s">
        <v>561</v>
      </c>
      <c r="M7" s="700" t="str">
        <f>IF($J16=TRUE,Calculations!U57,"")</f>
        <v/>
      </c>
      <c r="N7" s="700" t="str">
        <f>IF($J17=TRUE,Calculations!V57,"")</f>
        <v/>
      </c>
      <c r="O7" s="700" t="str">
        <f>IF($J26=TRUE,Calculations!W57,"")</f>
        <v/>
      </c>
      <c r="P7" s="700" t="str">
        <f>IF($J27=TRUE,Calculations!X57,"")</f>
        <v/>
      </c>
      <c r="Q7" s="111"/>
      <c r="R7" s="109"/>
    </row>
    <row r="8" spans="2:20" ht="16.5" customHeight="1">
      <c r="B8" s="73" t="s">
        <v>723</v>
      </c>
      <c r="C8" s="74"/>
      <c r="D8" s="74"/>
      <c r="E8" s="74"/>
      <c r="F8" s="74"/>
      <c r="G8" s="1011" t="s">
        <v>1076</v>
      </c>
      <c r="H8" s="1012">
        <f>'Inputs-Outputs'!B7+'Inputs-Outputs'!B8</f>
        <v>0</v>
      </c>
      <c r="I8" s="81"/>
      <c r="J8" s="1"/>
      <c r="K8" s="1"/>
      <c r="L8" s="64" t="s">
        <v>564</v>
      </c>
      <c r="M8" s="656">
        <f>IF($J16=FALSE,'Est''d Pymts'!E24,"")</f>
        <v>14719.286474946319</v>
      </c>
      <c r="N8" s="656">
        <f>IF(AND($H17&gt;0,$J17=FALSE),'Est''d Pymts'!F24,"")</f>
        <v>3030.4706478246399</v>
      </c>
      <c r="O8" s="656" t="str">
        <f>IF(AND($H26&gt;0,$J26=FALSE),'Est''d Pymts'!G24,"")</f>
        <v/>
      </c>
      <c r="P8" s="656" t="str">
        <f>IF(AND($H27&gt;0,$J27=FALSE),'Est''d Pymts'!H24,"")</f>
        <v/>
      </c>
      <c r="Q8" s="111"/>
      <c r="R8" s="109">
        <f>IF(N5="No",SUM(M8:P8),"Not Applicable")</f>
        <v>17749.75712277096</v>
      </c>
    </row>
    <row r="9" spans="2:20" ht="16.5" customHeight="1">
      <c r="B9" s="73" t="s">
        <v>722</v>
      </c>
      <c r="C9" s="74"/>
      <c r="D9" s="74"/>
      <c r="E9" s="74"/>
      <c r="F9" s="74"/>
      <c r="G9" s="1011" t="s">
        <v>1077</v>
      </c>
      <c r="H9" s="1012">
        <f>'Inputs-Outputs'!B9+'Inputs-Outputs'!B10</f>
        <v>0</v>
      </c>
      <c r="I9" s="81"/>
      <c r="J9" s="1"/>
      <c r="K9" s="1"/>
      <c r="L9" s="64" t="s">
        <v>491</v>
      </c>
      <c r="M9" s="656">
        <f>'Est''d Pymts'!E25</f>
        <v>0</v>
      </c>
      <c r="N9" s="656">
        <f>IF($N$5="No",IF($H$17&gt;0,'Est''d Pymts'!F25,""),IF($H$17&gt;0,"N/A",""))</f>
        <v>0</v>
      </c>
      <c r="O9" s="656" t="str">
        <f>IF($N$5="No",IF($H$26&gt;0,'Est''d Pymts'!G25,""),IF($H$26&gt;0,"N/A",""))</f>
        <v/>
      </c>
      <c r="P9" s="656" t="str">
        <f>IF($N$5="No",IF($H$27&gt;0,'Est''d Pymts'!H25,""),IF($H$27&gt;0,"N/A",""))</f>
        <v/>
      </c>
      <c r="Q9" s="108"/>
      <c r="R9" s="109"/>
    </row>
    <row r="10" spans="2:20" ht="16.5" customHeight="1">
      <c r="B10" s="75" t="s">
        <v>206</v>
      </c>
      <c r="C10" s="134"/>
      <c r="D10" s="134"/>
      <c r="E10" s="134"/>
      <c r="F10" s="134"/>
      <c r="G10" s="74"/>
      <c r="H10" s="106">
        <f>COUNTA('Inputs-Outputs'!B190:B191)</f>
        <v>0</v>
      </c>
      <c r="I10" s="81"/>
      <c r="J10" s="1"/>
      <c r="K10" s="1"/>
      <c r="L10" s="67" t="s">
        <v>157</v>
      </c>
      <c r="M10" s="110">
        <f>'Est''d Pymts'!E28</f>
        <v>0</v>
      </c>
      <c r="N10" s="110">
        <f>IF($H$17&gt;0,'Est''d Pymts'!F28,"")</f>
        <v>0</v>
      </c>
      <c r="O10" s="110" t="str">
        <f>IF($H$26&gt;0,'Est''d Pymts'!G28,"")</f>
        <v/>
      </c>
      <c r="P10" s="110" t="str">
        <f>IF($H$27&gt;0,'Est''d Pymts'!H28,"")</f>
        <v/>
      </c>
      <c r="Q10" s="68"/>
      <c r="R10" s="513">
        <f>SUM(M10:P10)</f>
        <v>0</v>
      </c>
    </row>
    <row r="11" spans="2:20" ht="16.5" customHeight="1">
      <c r="B11" s="557" t="s">
        <v>277</v>
      </c>
      <c r="C11" s="135"/>
      <c r="D11" s="135"/>
      <c r="E11" s="135"/>
      <c r="F11" s="135"/>
      <c r="G11" s="74"/>
      <c r="H11" s="106">
        <f>SUM(IF('Inputs-Outputs'!B190&lt;17,1,0),IF('Inputs-Outputs'!B191&lt;17,1,0))</f>
        <v>2</v>
      </c>
      <c r="I11" s="81"/>
      <c r="J11" s="1"/>
      <c r="K11" s="1"/>
      <c r="L11" s="63" t="s">
        <v>215</v>
      </c>
      <c r="M11" s="597" t="s">
        <v>456</v>
      </c>
      <c r="N11" s="597" t="str">
        <f>IF($H$17&gt;0,"Your Job 2","")</f>
        <v>Your Job 2</v>
      </c>
      <c r="O11" s="597" t="str">
        <f>IF($H$26&gt;0,"Spouse Job 1","")</f>
        <v/>
      </c>
      <c r="P11" s="597" t="str">
        <f>IF($H$27&gt;0,"Spouse Job 2","")</f>
        <v/>
      </c>
      <c r="Q11" s="65" t="s">
        <v>458</v>
      </c>
      <c r="R11" s="66" t="s">
        <v>210</v>
      </c>
    </row>
    <row r="12" spans="2:20" ht="20">
      <c r="B12" s="603"/>
      <c r="C12" s="1081" t="s">
        <v>453</v>
      </c>
      <c r="D12" s="1081"/>
      <c r="E12" s="1081"/>
      <c r="F12" s="604"/>
      <c r="G12" s="605"/>
      <c r="H12" s="638"/>
      <c r="I12" s="1066" t="s">
        <v>232</v>
      </c>
      <c r="J12" s="1067"/>
      <c r="K12" s="716"/>
      <c r="L12" s="67" t="s">
        <v>403</v>
      </c>
      <c r="M12" s="65"/>
      <c r="N12" s="65"/>
      <c r="O12" s="65"/>
      <c r="P12" s="65"/>
      <c r="Q12" s="65"/>
      <c r="R12" s="513">
        <f>IF(H19&gt;0,F19,0)+IF(H29&gt;0,F29,0)+IF(H19&gt;0,G19,0)+IF(H29&gt;0,G29,0)</f>
        <v>600</v>
      </c>
    </row>
    <row r="13" spans="2:20" ht="16.5" customHeight="1">
      <c r="B13" s="543" t="s">
        <v>111</v>
      </c>
      <c r="C13" s="541"/>
      <c r="D13" s="541"/>
      <c r="E13" s="541"/>
      <c r="F13" s="541"/>
      <c r="G13" s="544" t="s">
        <v>15</v>
      </c>
      <c r="H13" s="710">
        <f>'Inputs-Outputs'!B15</f>
        <v>0</v>
      </c>
      <c r="I13" s="1066"/>
      <c r="J13" s="1067"/>
      <c r="K13" s="716"/>
      <c r="L13" s="67" t="s">
        <v>65</v>
      </c>
      <c r="M13" s="110">
        <f>'Est''d Pymts'!E26</f>
        <v>16559.912430606317</v>
      </c>
      <c r="N13" s="110">
        <f>IF($H$17&gt;0,'Est''d Pymts'!F26,"")</f>
        <v>5623.5809653939214</v>
      </c>
      <c r="O13" s="110" t="str">
        <f>IF($H$26&gt;0,'Est''d Pymts'!G26,"")</f>
        <v/>
      </c>
      <c r="P13" s="110" t="str">
        <f>IF($H$27&gt;0,'Est''d Pymts'!H26,"")</f>
        <v/>
      </c>
      <c r="Q13" s="479">
        <f>'S.S. Benefits Approx'!C30+'S.S. Benefits Approx'!C38</f>
        <v>0</v>
      </c>
      <c r="R13" s="513">
        <f>IF(H13&gt;0,E46,0)+IF(H23&gt;0,N46,0)+SUM(M13:Q13)+C50+M50</f>
        <v>22183.493396000238</v>
      </c>
      <c r="T13" s="942">
        <f>R13/R16</f>
        <v>0.99212358692981917</v>
      </c>
    </row>
    <row r="14" spans="2:20" ht="16.5" customHeight="1">
      <c r="B14" s="540"/>
      <c r="C14" s="1074" t="s">
        <v>36</v>
      </c>
      <c r="D14" s="1074"/>
      <c r="E14" s="1074" t="s">
        <v>32</v>
      </c>
      <c r="F14" s="1074"/>
      <c r="G14" s="544"/>
      <c r="H14" s="545"/>
      <c r="I14" s="1066"/>
      <c r="J14" s="1067"/>
      <c r="K14" s="716"/>
      <c r="L14" s="822" t="s">
        <v>736</v>
      </c>
      <c r="M14" s="825"/>
      <c r="N14" s="825"/>
      <c r="O14" s="825"/>
      <c r="P14" s="825"/>
      <c r="Q14" s="825"/>
      <c r="R14" s="826">
        <f>Calculations!U14</f>
        <v>0</v>
      </c>
    </row>
    <row r="15" spans="2:20" ht="16.5" customHeight="1">
      <c r="B15" s="1078" t="s">
        <v>478</v>
      </c>
      <c r="C15" s="546"/>
      <c r="D15" s="546"/>
      <c r="E15" s="546"/>
      <c r="F15" s="546"/>
      <c r="G15" s="546"/>
      <c r="H15" s="545"/>
      <c r="I15" s="1066"/>
      <c r="J15" s="1067"/>
      <c r="K15" s="716"/>
      <c r="L15" s="63" t="s">
        <v>407</v>
      </c>
      <c r="M15" s="69"/>
      <c r="N15" s="69"/>
      <c r="O15" s="69"/>
      <c r="P15" s="69"/>
      <c r="Q15" s="69"/>
      <c r="R15" s="514">
        <f>SUM(R12:R14)</f>
        <v>22783.493396000238</v>
      </c>
    </row>
    <row r="16" spans="2:20" ht="16.5" customHeight="1">
      <c r="B16" s="1079"/>
      <c r="C16" s="548">
        <f>'Inputs-Outputs'!B22</f>
        <v>44197</v>
      </c>
      <c r="D16" s="547"/>
      <c r="E16" s="548">
        <f>'Inputs-Outputs'!B23</f>
        <v>44561</v>
      </c>
      <c r="F16" s="547"/>
      <c r="G16" s="544" t="s">
        <v>151</v>
      </c>
      <c r="H16" s="895">
        <f>Wages!C16</f>
        <v>100000</v>
      </c>
      <c r="I16" s="717"/>
      <c r="J16" s="1023" t="b">
        <f>IF('Inputs-Outputs'!B20=1,TRUE,FALSE)</f>
        <v>0</v>
      </c>
      <c r="K16" s="718"/>
      <c r="L16" s="822" t="s">
        <v>286</v>
      </c>
      <c r="M16" s="823"/>
      <c r="N16" s="823"/>
      <c r="O16" s="823"/>
      <c r="P16" s="823"/>
      <c r="Q16" s="823"/>
      <c r="R16" s="824">
        <f>Calculations!U11</f>
        <v>22359.606895999998</v>
      </c>
    </row>
    <row r="17" spans="2:20" ht="16.5" customHeight="1">
      <c r="B17" s="1079"/>
      <c r="C17" s="548">
        <f>'Inputs-Outputs'!B53</f>
        <v>44197</v>
      </c>
      <c r="D17" s="547"/>
      <c r="E17" s="548">
        <f>'Inputs-Outputs'!B54</f>
        <v>44561</v>
      </c>
      <c r="F17" s="542"/>
      <c r="G17" s="544" t="s">
        <v>152</v>
      </c>
      <c r="H17" s="895">
        <f>Wages!D16</f>
        <v>40000</v>
      </c>
      <c r="I17" s="719"/>
      <c r="J17" s="1023" t="b">
        <f>IF('Inputs-Outputs'!B51=1,TRUE,FALSE)</f>
        <v>0</v>
      </c>
      <c r="K17" s="718"/>
      <c r="L17" s="63" t="s">
        <v>288</v>
      </c>
      <c r="M17" s="114"/>
      <c r="N17" s="114"/>
      <c r="O17" s="114"/>
      <c r="P17" s="114"/>
      <c r="Q17" s="114"/>
      <c r="R17" s="514">
        <f>Calculations!U12</f>
        <v>0</v>
      </c>
    </row>
    <row r="18" spans="2:20" ht="16.5" customHeight="1">
      <c r="B18" s="1080"/>
      <c r="C18" s="546"/>
      <c r="D18" s="546"/>
      <c r="E18" s="546"/>
      <c r="F18" s="815" t="s">
        <v>730</v>
      </c>
      <c r="G18" s="815" t="s">
        <v>731</v>
      </c>
      <c r="H18" s="545"/>
      <c r="I18" s="717"/>
      <c r="J18" s="904" t="b">
        <v>0</v>
      </c>
      <c r="K18" s="718"/>
      <c r="L18" s="822" t="s">
        <v>385</v>
      </c>
      <c r="M18" s="823"/>
      <c r="N18" s="823"/>
      <c r="O18" s="823"/>
      <c r="P18" s="823"/>
      <c r="Q18" s="823"/>
      <c r="R18" s="824">
        <f>Calculations!U13</f>
        <v>423.88649999999996</v>
      </c>
    </row>
    <row r="19" spans="2:20" ht="16.5" customHeight="1">
      <c r="B19" s="549" t="s">
        <v>379</v>
      </c>
      <c r="C19" s="542"/>
      <c r="D19" s="542"/>
      <c r="E19" s="550" t="s">
        <v>403</v>
      </c>
      <c r="F19" s="819">
        <f>'Inputs-Outputs'!B163</f>
        <v>600</v>
      </c>
      <c r="G19" s="819">
        <f>'Inputs-Outputs'!B164</f>
        <v>0</v>
      </c>
      <c r="H19" s="710">
        <f>'Inputs-Outputs'!B162</f>
        <v>3000</v>
      </c>
      <c r="I19" s="81"/>
      <c r="J19" s="1"/>
      <c r="K19" s="1"/>
      <c r="L19" s="63" t="s">
        <v>287</v>
      </c>
      <c r="M19" s="69"/>
      <c r="N19" s="69"/>
      <c r="O19" s="69"/>
      <c r="P19" s="69"/>
      <c r="Q19" s="69"/>
      <c r="R19" s="514">
        <f>ROUND(SUM(R16:R18),0)</f>
        <v>22783</v>
      </c>
    </row>
    <row r="20" spans="2:20" ht="16.5" customHeight="1">
      <c r="B20" s="549" t="s">
        <v>390</v>
      </c>
      <c r="C20" s="542"/>
      <c r="D20" s="542"/>
      <c r="E20" s="550" t="s">
        <v>1208</v>
      </c>
      <c r="F20" s="548">
        <f>IF('Inputs-Outputs'!B144="",Parameters!B2,'Inputs-Outputs'!B144)</f>
        <v>44562</v>
      </c>
      <c r="G20" s="542"/>
      <c r="H20" s="710">
        <f>'Inputs-Outputs'!B146</f>
        <v>0</v>
      </c>
      <c r="I20" s="81"/>
      <c r="J20" s="1"/>
      <c r="K20" s="1"/>
      <c r="L20" s="63" t="s">
        <v>124</v>
      </c>
      <c r="M20" s="69"/>
      <c r="N20" s="69"/>
      <c r="O20" s="69"/>
      <c r="P20" s="69"/>
      <c r="Q20" s="69"/>
      <c r="R20" s="514">
        <f>R15-R19</f>
        <v>0.49339600023813546</v>
      </c>
      <c r="T20" s="333"/>
    </row>
    <row r="21" spans="2:20" ht="16.5" customHeight="1" thickBot="1">
      <c r="B21" s="600" t="s">
        <v>130</v>
      </c>
      <c r="C21" s="601"/>
      <c r="D21" s="601"/>
      <c r="E21" s="601"/>
      <c r="F21" s="601"/>
      <c r="G21" s="602"/>
      <c r="H21" s="710">
        <f>'Inputs-Outputs'!B160</f>
        <v>2000</v>
      </c>
      <c r="I21" s="81"/>
      <c r="J21" s="1"/>
      <c r="K21" s="1"/>
      <c r="L21" s="70"/>
      <c r="M21" s="71"/>
      <c r="N21" s="71"/>
      <c r="O21" s="71"/>
      <c r="P21" s="71"/>
      <c r="Q21" s="71"/>
      <c r="R21" s="72"/>
    </row>
    <row r="22" spans="2:20" ht="16.5" customHeight="1">
      <c r="B22" s="558"/>
      <c r="C22" s="1082" t="s">
        <v>454</v>
      </c>
      <c r="D22" s="1082"/>
      <c r="E22" s="1082"/>
      <c r="F22" s="559"/>
      <c r="G22" s="560"/>
      <c r="H22" s="561"/>
      <c r="I22" s="1068" t="s">
        <v>232</v>
      </c>
      <c r="J22" s="1069"/>
      <c r="K22" s="720"/>
      <c r="L22" s="922" t="s">
        <v>778</v>
      </c>
      <c r="M22" s="965">
        <f>Calculations!U23</f>
        <v>568</v>
      </c>
      <c r="N22" s="965">
        <f>Calculations!V23</f>
        <v>253.375</v>
      </c>
      <c r="O22" s="965">
        <f>Calculations!W23</f>
        <v>0</v>
      </c>
      <c r="P22" s="966">
        <f>Calculations!X23</f>
        <v>0</v>
      </c>
      <c r="Q22" s="432" t="s">
        <v>200</v>
      </c>
      <c r="R22" s="467">
        <f>'Inputs-Outputs'!B3</f>
        <v>44484</v>
      </c>
      <c r="T22" s="467">
        <f ca="1">TODAY()</f>
        <v>44530</v>
      </c>
    </row>
    <row r="23" spans="2:20" ht="16.5" customHeight="1" thickBot="1">
      <c r="B23" s="562" t="s">
        <v>111</v>
      </c>
      <c r="C23" s="559"/>
      <c r="D23" s="559"/>
      <c r="E23" s="559"/>
      <c r="F23" s="559"/>
      <c r="G23" s="563" t="s">
        <v>15</v>
      </c>
      <c r="H23" s="710">
        <f>'Inputs-Outputs'!B17</f>
        <v>0</v>
      </c>
      <c r="I23" s="1068"/>
      <c r="J23" s="1069"/>
      <c r="K23" s="720"/>
      <c r="L23" s="923" t="s">
        <v>779</v>
      </c>
      <c r="M23" s="967">
        <f>'Est''d Pymts'!E30</f>
        <v>1.8735971174493216</v>
      </c>
      <c r="N23" s="967">
        <f>'Est''d Pymts'!F30</f>
        <v>0.8357793479466693</v>
      </c>
      <c r="O23" s="967">
        <f>'Est''d Pymts'!G30</f>
        <v>0</v>
      </c>
      <c r="P23" s="967">
        <f>'Est''d Pymts'!H30</f>
        <v>0</v>
      </c>
    </row>
    <row r="24" spans="2:20" ht="16.5" customHeight="1">
      <c r="B24" s="558"/>
      <c r="C24" s="1083" t="s">
        <v>36</v>
      </c>
      <c r="D24" s="1083"/>
      <c r="E24" s="1083" t="s">
        <v>32</v>
      </c>
      <c r="F24" s="1083"/>
      <c r="G24" s="563"/>
      <c r="H24" s="561"/>
      <c r="I24" s="1068"/>
      <c r="J24" s="1069"/>
      <c r="K24" s="720"/>
      <c r="M24" s="920" t="s">
        <v>67</v>
      </c>
      <c r="N24" s="921"/>
      <c r="O24" s="921"/>
      <c r="P24" s="921"/>
      <c r="Q24" s="657"/>
      <c r="R24" s="658"/>
    </row>
    <row r="25" spans="2:20" ht="16.5" customHeight="1">
      <c r="B25" s="1078" t="s">
        <v>478</v>
      </c>
      <c r="C25" s="564"/>
      <c r="D25" s="564"/>
      <c r="E25" s="564"/>
      <c r="F25" s="564"/>
      <c r="G25" s="564"/>
      <c r="H25" s="561"/>
      <c r="I25" s="1068"/>
      <c r="J25" s="1069"/>
      <c r="K25" s="720"/>
      <c r="L25" s="332"/>
      <c r="M25" s="137" t="s">
        <v>737</v>
      </c>
      <c r="N25" s="138"/>
      <c r="O25" s="138"/>
      <c r="P25" s="138"/>
      <c r="Q25" s="138"/>
      <c r="R25" s="515">
        <f>Calculations!AR81</f>
        <v>2509800</v>
      </c>
    </row>
    <row r="26" spans="2:20" ht="16.5" customHeight="1" thickBot="1">
      <c r="B26" s="1079"/>
      <c r="C26" s="548">
        <f>'Inputs-Outputs'!B84</f>
        <v>0</v>
      </c>
      <c r="D26" s="565"/>
      <c r="E26" s="548">
        <f>'Inputs-Outputs'!B85</f>
        <v>0</v>
      </c>
      <c r="F26" s="565"/>
      <c r="G26" s="563" t="s">
        <v>114</v>
      </c>
      <c r="H26" s="896">
        <f>Wages!F16</f>
        <v>0</v>
      </c>
      <c r="I26" s="721"/>
      <c r="J26" s="1024" t="b">
        <f>IF('Inputs-Outputs'!B82=1,TRUE,FALSE)</f>
        <v>0</v>
      </c>
      <c r="K26" s="722"/>
      <c r="M26" s="131" t="str">
        <f>IF(R25&gt;R19,"Projected Refund if do nothing:","Projected Balance Due if do nothing:")</f>
        <v>Projected Refund if do nothing:</v>
      </c>
      <c r="N26" s="132"/>
      <c r="O26" s="132"/>
      <c r="P26" s="132"/>
      <c r="Q26" s="132"/>
      <c r="R26" s="516">
        <f>ABS(R25-R19)</f>
        <v>2487017</v>
      </c>
    </row>
    <row r="27" spans="2:20" ht="16.5" customHeight="1">
      <c r="B27" s="1079"/>
      <c r="C27" s="548">
        <f>'Inputs-Outputs'!B115</f>
        <v>0</v>
      </c>
      <c r="D27" s="565"/>
      <c r="E27" s="548">
        <f>'Inputs-Outputs'!B116</f>
        <v>0</v>
      </c>
      <c r="F27" s="560"/>
      <c r="G27" s="563" t="s">
        <v>477</v>
      </c>
      <c r="H27" s="896">
        <f>Wages!G16</f>
        <v>0</v>
      </c>
      <c r="I27" s="723"/>
      <c r="J27" s="1024" t="b">
        <f>IF('Inputs-Outputs'!B113=1,TRUE,FALSE)</f>
        <v>0</v>
      </c>
      <c r="K27" s="722"/>
      <c r="R27" s="1016" t="s">
        <v>1082</v>
      </c>
    </row>
    <row r="28" spans="2:20" ht="16.5" customHeight="1">
      <c r="B28" s="1080"/>
      <c r="C28" s="564"/>
      <c r="D28" s="564"/>
      <c r="E28" s="564"/>
      <c r="F28" s="817" t="s">
        <v>730</v>
      </c>
      <c r="G28" s="817" t="s">
        <v>731</v>
      </c>
      <c r="H28" s="561"/>
      <c r="I28" s="721"/>
      <c r="J28" s="913" t="b">
        <v>0</v>
      </c>
      <c r="K28" s="722"/>
      <c r="L28" s="1"/>
      <c r="P28" s="714" t="s">
        <v>382</v>
      </c>
      <c r="Q28" s="715">
        <v>0</v>
      </c>
      <c r="R28" s="1017">
        <f>'Inputs-Outputs'!B213</f>
        <v>0</v>
      </c>
    </row>
    <row r="29" spans="2:20" ht="16.5" customHeight="1" thickBot="1">
      <c r="B29" s="566" t="s">
        <v>379</v>
      </c>
      <c r="C29" s="560"/>
      <c r="D29" s="560"/>
      <c r="E29" s="567" t="s">
        <v>403</v>
      </c>
      <c r="F29" s="819">
        <f>'Inputs-Outputs'!B166</f>
        <v>0</v>
      </c>
      <c r="G29" s="819">
        <f>'Inputs-Outputs'!B167</f>
        <v>0</v>
      </c>
      <c r="H29" s="818">
        <f>'Inputs-Outputs'!B165</f>
        <v>0</v>
      </c>
      <c r="I29" s="81"/>
      <c r="J29" s="1"/>
      <c r="K29" s="1"/>
      <c r="L29" s="724"/>
      <c r="P29" s="141"/>
      <c r="Q29" s="1018">
        <f>VLOOKUP(R28,Calculations!AC16:AD36,2)</f>
        <v>0</v>
      </c>
      <c r="R29" s="373" t="s">
        <v>766</v>
      </c>
    </row>
    <row r="30" spans="2:20" ht="16.5" customHeight="1">
      <c r="B30" s="566" t="s">
        <v>390</v>
      </c>
      <c r="C30" s="560"/>
      <c r="D30" s="560"/>
      <c r="E30" s="567" t="s">
        <v>1208</v>
      </c>
      <c r="F30" s="548">
        <f>IF('Inputs-Outputs'!B151="",Parameters!B2,'Inputs-Outputs'!B151)</f>
        <v>44562</v>
      </c>
      <c r="G30" s="560"/>
      <c r="H30" s="710">
        <f>'Inputs-Outputs'!B153</f>
        <v>0</v>
      </c>
      <c r="I30" s="81"/>
      <c r="J30" s="1"/>
      <c r="K30" s="1"/>
      <c r="L30" s="551" t="s">
        <v>452</v>
      </c>
      <c r="M30" s="591" t="s">
        <v>284</v>
      </c>
      <c r="N30" s="591" t="s">
        <v>285</v>
      </c>
      <c r="O30" s="592" t="s">
        <v>289</v>
      </c>
      <c r="P30" s="683" t="s">
        <v>567</v>
      </c>
      <c r="Q30" s="141"/>
    </row>
    <row r="31" spans="2:20" ht="16.5" customHeight="1">
      <c r="B31" s="593" t="s">
        <v>130</v>
      </c>
      <c r="C31" s="594"/>
      <c r="D31" s="594"/>
      <c r="E31" s="594"/>
      <c r="F31" s="594"/>
      <c r="G31" s="595"/>
      <c r="H31" s="710">
        <v>0</v>
      </c>
      <c r="I31" s="81"/>
      <c r="J31" s="1"/>
      <c r="K31" s="1"/>
      <c r="L31" s="552" t="s">
        <v>772</v>
      </c>
      <c r="M31" s="900">
        <f>IF(Wages!$C$7=0,0,IF(M35&gt;0,M35,M33+M33/Wages!$C$7*Wages!$C$8))</f>
        <v>0</v>
      </c>
      <c r="N31" s="900">
        <f>IF(Wages!$C$7=0,0,IF(N35&gt;0,N35,N33+N33/Wages!$C$7*Wages!$C$8))</f>
        <v>0</v>
      </c>
      <c r="O31" s="905">
        <f>'Inputs-Outputs'!B47+'Inputs-Outputs'!B49</f>
        <v>0</v>
      </c>
      <c r="P31" t="b">
        <f>IF('Inputs-Outputs'!B48=1,TRUE,FALSE)</f>
        <v>0</v>
      </c>
      <c r="Q31" s="136"/>
    </row>
    <row r="32" spans="2:20" ht="15" customHeight="1" thickBot="1">
      <c r="B32" s="73"/>
      <c r="C32" s="1062" t="s">
        <v>455</v>
      </c>
      <c r="D32" s="1062"/>
      <c r="E32" s="1062"/>
      <c r="F32" s="74"/>
      <c r="G32" s="74"/>
      <c r="H32" s="104"/>
      <c r="I32" s="81"/>
      <c r="J32" s="1"/>
      <c r="K32" s="1"/>
      <c r="L32" s="553" t="s">
        <v>773</v>
      </c>
      <c r="M32" s="901">
        <f>IF(Wages!$D$7=0,0,IF(M36&gt;0,M36,M34+M34/Wages!$D$7*Wages!$D$8))</f>
        <v>0</v>
      </c>
      <c r="N32" s="901">
        <f>IF(Wages!$D$7=0,0,IF(N36&gt;0,N36,N34+N34/Wages!$D$7*Wages!$D$8))</f>
        <v>0</v>
      </c>
      <c r="O32" s="905">
        <f>'Inputs-Outputs'!B78+'Inputs-Outputs'!B80</f>
        <v>0</v>
      </c>
      <c r="P32" t="b">
        <f>IF('Inputs-Outputs'!B79=1,TRUE,FALSE)</f>
        <v>0</v>
      </c>
      <c r="R32" s="139"/>
    </row>
    <row r="33" spans="2:18" ht="15" customHeight="1">
      <c r="B33" s="73" t="s">
        <v>721</v>
      </c>
      <c r="C33" s="74"/>
      <c r="D33" s="74"/>
      <c r="E33" s="74"/>
      <c r="F33" s="74"/>
      <c r="G33" s="74"/>
      <c r="H33" s="710">
        <f>'Inputs-Outputs'!B168</f>
        <v>500</v>
      </c>
      <c r="I33" s="81"/>
      <c r="J33" s="1"/>
      <c r="K33" s="1"/>
      <c r="L33" s="552" t="s">
        <v>774</v>
      </c>
      <c r="M33" s="711">
        <f>'Inputs-Outputs'!B44</f>
        <v>0</v>
      </c>
      <c r="N33" s="711">
        <f>'Inputs-Outputs'!B46</f>
        <v>0</v>
      </c>
      <c r="O33" s="710">
        <v>0</v>
      </c>
      <c r="P33" s="136"/>
      <c r="Q33" s="916">
        <f>M33/Wages!C7</f>
        <v>0</v>
      </c>
      <c r="R33" s="139"/>
    </row>
    <row r="34" spans="2:18" ht="16" customHeight="1" thickBot="1">
      <c r="B34" s="73" t="s">
        <v>223</v>
      </c>
      <c r="C34" s="74"/>
      <c r="D34" s="74"/>
      <c r="E34" s="74"/>
      <c r="F34" s="74"/>
      <c r="G34" s="74"/>
      <c r="H34" s="710">
        <v>0</v>
      </c>
      <c r="I34" s="1"/>
      <c r="J34" s="1"/>
      <c r="K34" s="1"/>
      <c r="L34" s="553" t="s">
        <v>775</v>
      </c>
      <c r="M34" s="712">
        <f>'Inputs-Outputs'!B75</f>
        <v>0</v>
      </c>
      <c r="N34" s="712">
        <f>'Inputs-Outputs'!B77</f>
        <v>0</v>
      </c>
      <c r="O34" s="713">
        <v>0</v>
      </c>
      <c r="P34" s="136"/>
      <c r="Q34" s="916"/>
      <c r="R34" s="139"/>
    </row>
    <row r="35" spans="2:18" ht="17.149999999999999" customHeight="1">
      <c r="B35" s="76" t="s">
        <v>7</v>
      </c>
      <c r="C35" s="406"/>
      <c r="D35" s="406"/>
      <c r="E35" s="406"/>
      <c r="F35" s="406"/>
      <c r="G35" s="407"/>
      <c r="H35" s="710">
        <f>'Inputs-Outputs'!B158+'Inputs-Outputs'!B170</f>
        <v>0</v>
      </c>
      <c r="I35" s="81"/>
      <c r="J35" s="1"/>
      <c r="K35" s="1"/>
      <c r="L35" s="552" t="s">
        <v>776</v>
      </c>
      <c r="M35" s="1031">
        <v>0</v>
      </c>
      <c r="N35" s="711">
        <v>0</v>
      </c>
      <c r="O35" s="710">
        <v>0</v>
      </c>
      <c r="Q35" s="136"/>
      <c r="R35" s="139"/>
    </row>
    <row r="36" spans="2:18" ht="17.25" customHeight="1" thickBot="1">
      <c r="B36" s="75" t="s">
        <v>340</v>
      </c>
      <c r="C36" s="134"/>
      <c r="D36" s="134"/>
      <c r="E36" s="134"/>
      <c r="F36" s="134"/>
      <c r="G36" s="74"/>
      <c r="H36" s="709">
        <f>Deductions!C10-Deductions!C4</f>
        <v>449.99999999999983</v>
      </c>
      <c r="I36" s="81"/>
      <c r="J36" s="1"/>
      <c r="K36" s="1"/>
      <c r="L36" s="553" t="s">
        <v>777</v>
      </c>
      <c r="M36" s="712">
        <v>0</v>
      </c>
      <c r="N36" s="712">
        <v>0</v>
      </c>
      <c r="O36" s="713">
        <v>0</v>
      </c>
      <c r="Q36" s="332"/>
      <c r="R36" s="119"/>
    </row>
    <row r="37" spans="2:18" ht="16.5" customHeight="1">
      <c r="B37" s="275" t="s">
        <v>129</v>
      </c>
      <c r="C37" s="74" t="s">
        <v>309</v>
      </c>
      <c r="D37" s="134"/>
      <c r="E37" s="134"/>
      <c r="F37" s="969">
        <f>'Inputs-Outputs'!B188</f>
        <v>0</v>
      </c>
      <c r="G37" s="74"/>
      <c r="H37" s="709">
        <f>Deductions!D20</f>
        <v>0</v>
      </c>
      <c r="I37" s="81"/>
      <c r="J37" s="1"/>
      <c r="K37" s="1"/>
      <c r="L37" s="554" t="s">
        <v>447</v>
      </c>
      <c r="M37" s="589" t="s">
        <v>284</v>
      </c>
      <c r="N37" s="589" t="s">
        <v>285</v>
      </c>
      <c r="O37" s="590" t="s">
        <v>289</v>
      </c>
      <c r="P37" s="683" t="s">
        <v>567</v>
      </c>
      <c r="R37" s="119"/>
    </row>
    <row r="38" spans="2:18" ht="16.5" customHeight="1">
      <c r="B38" s="75" t="s">
        <v>128</v>
      </c>
      <c r="C38" s="134"/>
      <c r="D38" s="134"/>
      <c r="E38" s="134"/>
      <c r="F38" s="134"/>
      <c r="G38" s="74"/>
      <c r="H38" s="104">
        <v>0</v>
      </c>
      <c r="I38" s="1"/>
      <c r="J38" s="1"/>
      <c r="K38" s="1"/>
      <c r="L38" s="555" t="s">
        <v>1170</v>
      </c>
      <c r="M38" s="902">
        <f>IF(Wages!$F$7=0,0,IF(M42&gt;0,M42,M40+M40/Wages!$F$7*Wages!$F$8))</f>
        <v>0</v>
      </c>
      <c r="N38" s="902">
        <f>IF(Wages!$F$7=0,0,IF(N42&gt;0,N42,N40+N40/Wages!$F$7*Wages!$F$8))</f>
        <v>0</v>
      </c>
      <c r="O38" s="905">
        <f>'Inputs-Outputs'!B109+'Inputs-Outputs'!B111</f>
        <v>0</v>
      </c>
      <c r="P38" t="b">
        <f>IF('Inputs-Outputs'!B110=1,TRUE,FALSE)</f>
        <v>0</v>
      </c>
      <c r="R38" s="139"/>
    </row>
    <row r="39" spans="2:18" ht="16.5" customHeight="1" thickBot="1">
      <c r="B39" s="73" t="s">
        <v>66</v>
      </c>
      <c r="C39" s="135"/>
      <c r="D39" s="135"/>
      <c r="E39" s="969">
        <f>'Inputs-Outputs'!B192</f>
        <v>0</v>
      </c>
      <c r="F39" s="204"/>
      <c r="G39" s="244"/>
      <c r="H39" s="710">
        <f>'Inputs-Outputs'!B193</f>
        <v>0</v>
      </c>
      <c r="I39" s="1"/>
      <c r="J39" s="1"/>
      <c r="K39" s="1"/>
      <c r="L39" s="556" t="s">
        <v>1171</v>
      </c>
      <c r="M39" s="903">
        <f>IF(Wages!$G$7=0,0,IF(M43&gt;0,M43,M41+M41/Wages!$G$7*Wages!$G$8))</f>
        <v>0</v>
      </c>
      <c r="N39" s="903">
        <f>IF(Wages!$G$7=0,0,IF(N43&gt;0,N43,N41+N41/Wages!$G$7*Wages!$G$8))</f>
        <v>0</v>
      </c>
      <c r="O39" s="905">
        <f>'Inputs-Outputs'!B140+'Inputs-Outputs'!B142</f>
        <v>0</v>
      </c>
      <c r="P39" t="b">
        <f>IF('Inputs-Outputs'!B141=1,TRUE,FALSE)</f>
        <v>0</v>
      </c>
      <c r="R39" s="139"/>
    </row>
    <row r="40" spans="2:18" ht="15.75" customHeight="1">
      <c r="B40" s="1036" t="s">
        <v>565</v>
      </c>
      <c r="C40" s="1037"/>
      <c r="D40" s="1038" t="s">
        <v>847</v>
      </c>
      <c r="E40" s="969">
        <f>'Inputs-Outputs'!B197</f>
        <v>0</v>
      </c>
      <c r="F40" s="204"/>
      <c r="G40" s="466" t="s">
        <v>848</v>
      </c>
      <c r="H40" s="710">
        <f>'Inputs-Outputs'!B198</f>
        <v>0</v>
      </c>
      <c r="I40" s="1"/>
      <c r="J40" s="1"/>
      <c r="K40" s="1"/>
      <c r="L40" s="555" t="s">
        <v>1172</v>
      </c>
      <c r="M40" s="711">
        <f>'Inputs-Outputs'!B106</f>
        <v>0</v>
      </c>
      <c r="N40" s="711">
        <f>'Inputs-Outputs'!B108</f>
        <v>0</v>
      </c>
      <c r="O40" s="710">
        <v>0</v>
      </c>
      <c r="R40" s="140"/>
    </row>
    <row r="41" spans="2:18" ht="15.75" customHeight="1" thickBot="1">
      <c r="B41" s="1039" t="s">
        <v>566</v>
      </c>
      <c r="C41" s="1037"/>
      <c r="D41" s="1037"/>
      <c r="E41" s="1037"/>
      <c r="F41" s="1040"/>
      <c r="G41" s="466" t="s">
        <v>848</v>
      </c>
      <c r="H41" s="710">
        <f>'Inputs-Outputs'!B199</f>
        <v>0</v>
      </c>
      <c r="L41" s="556" t="s">
        <v>1173</v>
      </c>
      <c r="M41" s="712">
        <f>'Inputs-Outputs'!B137</f>
        <v>0</v>
      </c>
      <c r="N41" s="712">
        <f>'Inputs-Outputs'!B139</f>
        <v>0</v>
      </c>
      <c r="O41" s="713">
        <v>0</v>
      </c>
      <c r="R41" s="140"/>
    </row>
    <row r="42" spans="2:18" ht="16.5" customHeight="1">
      <c r="B42" s="73" t="s">
        <v>278</v>
      </c>
      <c r="C42" s="74"/>
      <c r="D42" s="74"/>
      <c r="E42" s="969">
        <f>'Inputs-Outputs'!B194</f>
        <v>0</v>
      </c>
      <c r="F42" s="74"/>
      <c r="G42" s="466" t="s">
        <v>381</v>
      </c>
      <c r="H42" s="710">
        <f>SUM('Inputs-Outputs'!B195:B196,'Inputs-Outputs'!B200:B208)</f>
        <v>0</v>
      </c>
      <c r="L42" s="555" t="s">
        <v>1174</v>
      </c>
      <c r="M42" s="711">
        <v>0</v>
      </c>
      <c r="N42" s="711">
        <v>0</v>
      </c>
      <c r="O42" s="710">
        <v>0</v>
      </c>
    </row>
    <row r="43" spans="2:18" ht="17" customHeight="1" thickBot="1">
      <c r="B43" s="77"/>
      <c r="C43" s="78"/>
      <c r="D43" s="78"/>
      <c r="E43" s="78"/>
      <c r="F43" s="78"/>
      <c r="G43" s="78"/>
      <c r="H43" s="107"/>
      <c r="L43" s="556" t="s">
        <v>1175</v>
      </c>
      <c r="M43" s="712">
        <v>0</v>
      </c>
      <c r="N43" s="712">
        <v>0</v>
      </c>
      <c r="O43" s="713">
        <v>0</v>
      </c>
    </row>
    <row r="44" spans="2:18" ht="16" thickBot="1">
      <c r="B44" s="142" t="s">
        <v>38</v>
      </c>
      <c r="C44" s="143"/>
      <c r="D44" s="143"/>
      <c r="E44" s="143"/>
      <c r="F44" s="143"/>
      <c r="G44" s="144"/>
      <c r="H44" s="710">
        <v>0</v>
      </c>
      <c r="K44" s="141"/>
    </row>
    <row r="45" spans="2:18" ht="18.5" thickTop="1">
      <c r="B45" s="578" t="s">
        <v>451</v>
      </c>
      <c r="C45" s="568"/>
      <c r="D45" s="568"/>
      <c r="E45" s="544" t="s">
        <v>15</v>
      </c>
      <c r="F45" s="544" t="s">
        <v>151</v>
      </c>
      <c r="G45" s="544" t="str">
        <f>G17</f>
        <v>Job 2</v>
      </c>
      <c r="H45" s="569" t="s">
        <v>457</v>
      </c>
      <c r="L45" s="579" t="s">
        <v>449</v>
      </c>
      <c r="M45" s="580"/>
      <c r="N45" s="581" t="s">
        <v>15</v>
      </c>
      <c r="O45" s="581" t="s">
        <v>114</v>
      </c>
      <c r="P45" s="581" t="s">
        <v>477</v>
      </c>
      <c r="Q45" s="582" t="s">
        <v>458</v>
      </c>
    </row>
    <row r="46" spans="2:18" ht="15" customHeight="1">
      <c r="B46" s="1071" t="s">
        <v>9</v>
      </c>
      <c r="C46" s="1072"/>
      <c r="D46" s="1073"/>
      <c r="E46" s="711">
        <f>'Inputs-Outputs'!B16</f>
        <v>0</v>
      </c>
      <c r="F46" s="711">
        <f>'Inputs-Outputs'!$B31</f>
        <v>10000</v>
      </c>
      <c r="G46" s="711">
        <f>'Inputs-Outputs'!$B62</f>
        <v>4000</v>
      </c>
      <c r="H46" s="710">
        <f>'Inputs-Outputs'!B149</f>
        <v>0</v>
      </c>
      <c r="L46" s="948" t="s">
        <v>9</v>
      </c>
      <c r="M46" s="944"/>
      <c r="N46" s="711">
        <f>'Inputs-Outputs'!B18</f>
        <v>0</v>
      </c>
      <c r="O46" s="711">
        <f>'Inputs-Outputs'!$B93</f>
        <v>0</v>
      </c>
      <c r="P46" s="711">
        <f>'Inputs-Outputs'!$B124</f>
        <v>0</v>
      </c>
      <c r="Q46" s="710">
        <f>'Inputs-Outputs'!B156</f>
        <v>0</v>
      </c>
    </row>
    <row r="47" spans="2:18" ht="15" customHeight="1">
      <c r="B47" s="1063" t="s">
        <v>446</v>
      </c>
      <c r="C47" s="1064"/>
      <c r="D47" s="1065"/>
      <c r="E47" s="577"/>
      <c r="F47" s="711">
        <f>'Inputs-Outputs'!$B30</f>
        <v>600</v>
      </c>
      <c r="G47" s="711">
        <f>'Inputs-Outputs'!$B61</f>
        <v>400</v>
      </c>
      <c r="H47" s="710">
        <f>'Inputs-Outputs'!B148</f>
        <v>0</v>
      </c>
      <c r="L47" s="948" t="s">
        <v>446</v>
      </c>
      <c r="M47" s="945"/>
      <c r="N47" s="577"/>
      <c r="O47" s="711">
        <f>'Inputs-Outputs'!$B92</f>
        <v>0</v>
      </c>
      <c r="P47" s="711">
        <f>'Inputs-Outputs'!$B123</f>
        <v>0</v>
      </c>
      <c r="Q47" s="710">
        <f>'Inputs-Outputs'!B155</f>
        <v>0</v>
      </c>
    </row>
    <row r="48" spans="2:18" ht="15.5" customHeight="1">
      <c r="B48" s="1063" t="s">
        <v>404</v>
      </c>
      <c r="C48" s="1064"/>
      <c r="D48" s="1065"/>
      <c r="E48" s="577"/>
      <c r="F48" s="548" t="str">
        <f>'Inputs-Outputs'!B25</f>
        <v>10/13/2021</v>
      </c>
      <c r="G48" s="548" t="str">
        <f>'Inputs-Outputs'!$B56</f>
        <v>10/13/2021</v>
      </c>
      <c r="H48" s="577"/>
      <c r="L48" s="948" t="s">
        <v>404</v>
      </c>
      <c r="M48" s="945"/>
      <c r="N48" s="577"/>
      <c r="O48" s="548">
        <f>'Inputs-Outputs'!$B87</f>
        <v>0</v>
      </c>
      <c r="P48" s="548">
        <f>'Inputs-Outputs'!$B118</f>
        <v>0</v>
      </c>
      <c r="Q48" s="947"/>
    </row>
    <row r="49" spans="2:17">
      <c r="B49" s="570"/>
      <c r="C49" s="571"/>
      <c r="D49" s="571"/>
      <c r="E49" s="571"/>
      <c r="F49" s="1026" t="str">
        <f>VLOOKUP(Calculations!$AM87,Calculations!$AL$83:$AN$86,3)</f>
        <v>Every other week</v>
      </c>
      <c r="G49" s="571"/>
      <c r="H49" s="572"/>
      <c r="L49" s="583"/>
      <c r="M49" s="584"/>
      <c r="N49" s="584"/>
      <c r="O49" s="1028" t="str">
        <f>VLOOKUP(Calculations!$AM89,Calculations!$AL$83:$AN$86,3)</f>
        <v>Weekly</v>
      </c>
      <c r="P49" s="584"/>
      <c r="Q49" s="585"/>
    </row>
    <row r="50" spans="2:17" ht="18" customHeight="1">
      <c r="B50" s="549" t="s">
        <v>476</v>
      </c>
      <c r="C50" s="711">
        <f>'Inputs-Outputs'!B159+'Inputs-Outputs'!B161+'Inputs-Outputs'!B169</f>
        <v>0</v>
      </c>
      <c r="D50" s="573"/>
      <c r="E50" s="571"/>
      <c r="F50" s="571"/>
      <c r="G50" s="1027" t="str">
        <f>VLOOKUP(Calculations!$AM88,Calculations!$AL$83:$AN$86,3)</f>
        <v>Monthly</v>
      </c>
      <c r="H50" s="572"/>
      <c r="L50" s="948" t="s">
        <v>476</v>
      </c>
      <c r="M50" s="711">
        <v>0</v>
      </c>
      <c r="N50" s="584"/>
      <c r="O50" s="584"/>
      <c r="P50" s="1029" t="str">
        <f>VLOOKUP(Calculations!$AM90,Calculations!$AL$83:$AN$86,3)</f>
        <v>Weekly</v>
      </c>
      <c r="Q50" s="585"/>
    </row>
    <row r="51" spans="2:17" ht="7" customHeight="1" thickBot="1">
      <c r="B51" s="574"/>
      <c r="C51" s="575"/>
      <c r="D51" s="575"/>
      <c r="E51" s="575"/>
      <c r="F51" s="575"/>
      <c r="G51" s="575"/>
      <c r="H51" s="576"/>
      <c r="L51" s="586"/>
      <c r="M51" s="587"/>
      <c r="N51" s="587"/>
      <c r="O51" s="587"/>
      <c r="P51" s="587"/>
      <c r="Q51" s="588"/>
    </row>
    <row r="53" spans="2:17">
      <c r="C53" s="332"/>
    </row>
    <row r="106" spans="2:6">
      <c r="B106" s="118"/>
      <c r="C106" s="118"/>
      <c r="D106" s="118"/>
      <c r="E106" s="118"/>
      <c r="F106" s="118"/>
    </row>
    <row r="107" spans="2:6">
      <c r="B107" s="118"/>
      <c r="C107" s="118"/>
      <c r="D107" s="118"/>
      <c r="E107" s="118"/>
      <c r="F107" s="118"/>
    </row>
    <row r="108" spans="2:6">
      <c r="B108" s="118"/>
      <c r="C108" s="118"/>
      <c r="D108" s="118"/>
      <c r="E108" s="118"/>
      <c r="F108" s="118"/>
    </row>
  </sheetData>
  <mergeCells count="17">
    <mergeCell ref="B25:B28"/>
    <mergeCell ref="C32:E32"/>
    <mergeCell ref="B48:D48"/>
    <mergeCell ref="I12:J15"/>
    <mergeCell ref="I22:J25"/>
    <mergeCell ref="B1:O1"/>
    <mergeCell ref="B46:D46"/>
    <mergeCell ref="B47:D47"/>
    <mergeCell ref="C14:D14"/>
    <mergeCell ref="E14:F14"/>
    <mergeCell ref="B3:H3"/>
    <mergeCell ref="B15:B18"/>
    <mergeCell ref="C12:E12"/>
    <mergeCell ref="C22:E22"/>
    <mergeCell ref="C24:D24"/>
    <mergeCell ref="E24:F24"/>
    <mergeCell ref="L3:R3"/>
  </mergeCells>
  <phoneticPr fontId="36"/>
  <conditionalFormatting sqref="C39:D39 F39">
    <cfRule type="expression" dxfId="1" priority="4" stopIfTrue="1">
      <formula>$H$10=0</formula>
    </cfRule>
  </conditionalFormatting>
  <conditionalFormatting sqref="F40">
    <cfRule type="expression" dxfId="0" priority="1" stopIfTrue="1">
      <formula>$H$10=0</formula>
    </cfRule>
  </conditionalFormatting>
  <hyperlinks>
    <hyperlink ref="B37" r:id="rId1" location="'Schedule%20A'!A1" xr:uid="{00000000-0004-0000-0000-000000000000}"/>
  </hyperlinks>
  <pageMargins left="0.75" right="0.75" top="1" bottom="1" header="0.5" footer="0.5"/>
  <pageSetup scale="46" orientation="landscape" horizontalDpi="4294967292" verticalDpi="4294967292"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84" r:id="rId5" name="Drop Down 60">
              <controlPr locked="0" defaultSize="0" autoLine="0" autoPict="0">
                <anchor moveWithCells="1">
                  <from>
                    <xdr:col>7</xdr:col>
                    <xdr:colOff>0</xdr:colOff>
                    <xdr:row>5</xdr:row>
                    <xdr:rowOff>38100</xdr:rowOff>
                  </from>
                  <to>
                    <xdr:col>7</xdr:col>
                    <xdr:colOff>704850</xdr:colOff>
                    <xdr:row>5</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897B81-6AF2-4218-B1F0-85DD2690792E}">
          <x14:formula1>
            <xm:f>Calculations!$AD$16:$AD$36</xm:f>
          </x14:formula1>
          <xm:sqref>Q28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21A89-2CDC-42BF-84A8-74C7F4F3CA70}">
  <sheetPr codeName="Sheet13"/>
  <dimension ref="A1:G23"/>
  <sheetViews>
    <sheetView workbookViewId="0">
      <selection activeCell="D6" sqref="D6"/>
    </sheetView>
  </sheetViews>
  <sheetFormatPr defaultRowHeight="12.5"/>
  <cols>
    <col min="1" max="1" width="2.6328125" customWidth="1"/>
    <col min="2" max="2" width="24.7265625" customWidth="1"/>
    <col min="3" max="4" width="9.90625" bestFit="1" customWidth="1"/>
    <col min="5" max="5" width="4.54296875" customWidth="1"/>
    <col min="6" max="7" width="9.90625" customWidth="1"/>
  </cols>
  <sheetData>
    <row r="1" spans="1:7">
      <c r="A1" s="1090" t="s">
        <v>761</v>
      </c>
    </row>
    <row r="2" spans="1:7">
      <c r="A2" s="1091"/>
    </row>
    <row r="3" spans="1:7" ht="15.5">
      <c r="A3" s="1091"/>
      <c r="C3" s="1092" t="s">
        <v>751</v>
      </c>
      <c r="D3" s="1092"/>
      <c r="F3" s="1093" t="s">
        <v>454</v>
      </c>
      <c r="G3" s="1093"/>
    </row>
    <row r="4" spans="1:7" ht="13">
      <c r="C4" s="432" t="s">
        <v>151</v>
      </c>
      <c r="D4" s="432" t="s">
        <v>152</v>
      </c>
      <c r="F4" s="432" t="s">
        <v>114</v>
      </c>
      <c r="G4" s="432" t="s">
        <v>477</v>
      </c>
    </row>
    <row r="5" spans="1:7">
      <c r="A5" s="622">
        <v>1</v>
      </c>
      <c r="B5" s="373" t="s">
        <v>755</v>
      </c>
      <c r="C5" s="440">
        <v>80000</v>
      </c>
      <c r="D5" s="440"/>
      <c r="F5" s="440">
        <v>40000</v>
      </c>
      <c r="G5" s="440"/>
    </row>
    <row r="6" spans="1:7">
      <c r="A6" s="622"/>
      <c r="B6" s="881" t="s">
        <v>754</v>
      </c>
      <c r="C6" s="882">
        <f>Calculations!P37</f>
        <v>26</v>
      </c>
      <c r="D6" s="882">
        <f>Calculations!P38</f>
        <v>12</v>
      </c>
      <c r="F6" s="884">
        <f>Calculations!P39</f>
        <v>52</v>
      </c>
      <c r="G6" s="884">
        <f>Calculations!P40</f>
        <v>52</v>
      </c>
    </row>
    <row r="7" spans="1:7">
      <c r="A7" s="622"/>
      <c r="B7" s="881" t="s">
        <v>770</v>
      </c>
      <c r="C7" s="963">
        <f>IF(_SD1&gt;'Inputs-Outputs'!B3,0,ROUND(Calculations!$P43*C6-C8,0))</f>
        <v>-3156</v>
      </c>
      <c r="D7" s="963">
        <f>IF(_SD2&gt;'Inputs-Outputs'!B3,0,ROUND(Calculations!$P44*D6-D8,0))</f>
        <v>-1453</v>
      </c>
      <c r="E7" s="473"/>
      <c r="F7" s="964">
        <f>IF(_SD3&gt;'Inputs-Outputs'!B3,0,ROUND(Calculations!$P45*F6-F8,0))</f>
        <v>0</v>
      </c>
      <c r="G7" s="964">
        <f>IF(_SD4&gt;'Inputs-Outputs'!B3,0,ROUND(Calculations!$P46*G6-G8,0))</f>
        <v>0</v>
      </c>
    </row>
    <row r="8" spans="1:7">
      <c r="A8" s="622"/>
      <c r="B8" s="881" t="s">
        <v>756</v>
      </c>
      <c r="C8" s="915">
        <f>Calculations!S37+Calculations!S43</f>
        <v>3182</v>
      </c>
      <c r="D8" s="882">
        <f>Calculations!S38+Calculations!S44</f>
        <v>1465</v>
      </c>
      <c r="F8" s="884">
        <f>Calculations!S39+Calculations!S45</f>
        <v>0</v>
      </c>
      <c r="G8" s="884">
        <f>Calculations!S40+Calculations!S46</f>
        <v>0</v>
      </c>
    </row>
    <row r="9" spans="1:7" ht="13" thickBot="1">
      <c r="A9" s="622"/>
      <c r="B9" s="391" t="s">
        <v>757</v>
      </c>
      <c r="C9" s="886">
        <f>'Inputs-Outputs'!B27</f>
        <v>0</v>
      </c>
      <c r="D9" s="886">
        <f>MIN(D7*D10,ROUND(D10*(D6-D8),0))</f>
        <v>0</v>
      </c>
      <c r="F9" s="886">
        <f>MIN(F7*F10,ROUND(F10*(F6-F8),0))</f>
        <v>0</v>
      </c>
      <c r="G9" s="886">
        <f>MIN(G7*G10,ROUND(G10*(G6-G8),0))</f>
        <v>0</v>
      </c>
    </row>
    <row r="10" spans="1:7" ht="13.5" thickTop="1" thickBot="1">
      <c r="A10" s="889">
        <v>2</v>
      </c>
      <c r="B10" s="890" t="s">
        <v>771</v>
      </c>
      <c r="C10" s="897">
        <f>'Inputs-Outputs'!B26</f>
        <v>0</v>
      </c>
      <c r="D10" s="897"/>
      <c r="E10" s="480"/>
      <c r="F10" s="897">
        <f>ROUND(F5/F6,2)</f>
        <v>769.23</v>
      </c>
      <c r="G10" s="897">
        <v>0</v>
      </c>
    </row>
    <row r="11" spans="1:7" ht="13" thickTop="1">
      <c r="A11" s="1087">
        <v>3</v>
      </c>
      <c r="B11" s="887" t="s">
        <v>752</v>
      </c>
      <c r="C11" s="888">
        <v>0</v>
      </c>
      <c r="D11" s="888">
        <v>0</v>
      </c>
      <c r="F11" s="888"/>
      <c r="G11" s="888">
        <v>0</v>
      </c>
    </row>
    <row r="12" spans="1:7" ht="13" thickBot="1">
      <c r="A12" s="1087"/>
      <c r="B12" s="887" t="s">
        <v>753</v>
      </c>
      <c r="C12" s="886">
        <v>0</v>
      </c>
      <c r="D12" s="886">
        <v>0</v>
      </c>
      <c r="F12" s="886">
        <v>0</v>
      </c>
      <c r="G12" s="886">
        <v>0</v>
      </c>
    </row>
    <row r="13" spans="1:7" ht="13" thickTop="1">
      <c r="A13" s="1088">
        <v>4</v>
      </c>
      <c r="B13" s="891" t="s">
        <v>758</v>
      </c>
      <c r="C13" s="892">
        <v>40</v>
      </c>
      <c r="D13" s="892">
        <v>20</v>
      </c>
      <c r="F13" s="892">
        <v>40</v>
      </c>
      <c r="G13" s="892">
        <v>10</v>
      </c>
    </row>
    <row r="14" spans="1:7" ht="13" thickBot="1">
      <c r="A14" s="1089"/>
      <c r="B14" s="893" t="s">
        <v>759</v>
      </c>
      <c r="C14" s="894">
        <v>0</v>
      </c>
      <c r="D14" s="894">
        <v>0</v>
      </c>
      <c r="F14" s="894">
        <v>0</v>
      </c>
      <c r="G14" s="894">
        <v>0</v>
      </c>
    </row>
    <row r="15" spans="1:7" ht="13" thickTop="1">
      <c r="A15" s="622"/>
    </row>
    <row r="16" spans="1:7" ht="13">
      <c r="A16" s="622"/>
      <c r="B16" s="373" t="s">
        <v>760</v>
      </c>
      <c r="C16" s="883">
        <f>'Inputs-Outputs'!B29</f>
        <v>100000</v>
      </c>
      <c r="D16" s="883">
        <f>'Inputs-Outputs'!B60</f>
        <v>40000</v>
      </c>
      <c r="F16" s="885">
        <f>'Inputs-Outputs'!B91</f>
        <v>0</v>
      </c>
      <c r="G16" s="885">
        <f>'Inputs-Outputs'!B122</f>
        <v>0</v>
      </c>
    </row>
    <row r="17" spans="1:7">
      <c r="A17" s="622"/>
      <c r="B17" s="373"/>
    </row>
    <row r="18" spans="1:7" ht="13" thickBot="1">
      <c r="B18" s="391" t="s">
        <v>757</v>
      </c>
      <c r="C18" s="906">
        <f>C19*C7</f>
        <v>0</v>
      </c>
      <c r="D18" s="906">
        <f>D19*D7</f>
        <v>0</v>
      </c>
      <c r="F18" s="909">
        <f>F19*F7</f>
        <v>0</v>
      </c>
      <c r="G18" s="909">
        <f>G19*G7</f>
        <v>0</v>
      </c>
    </row>
    <row r="19" spans="1:7" ht="13.5" thickTop="1" thickBot="1">
      <c r="B19" s="890" t="s">
        <v>771</v>
      </c>
      <c r="C19" s="907">
        <f>IF(C10&gt;0,C10,IF(C11&gt;0,AVERAGE(C11:C12),IF(C13&gt;0,C13*C14,ROUND(C5/C6,2))))</f>
        <v>0</v>
      </c>
      <c r="D19" s="907">
        <f>IF(D10&gt;0,D10,IF(D11&gt;0,AVERAGE(D11:D12),IF(D13&gt;0,D13*D14,ROUND(D5/D6,2))))</f>
        <v>0</v>
      </c>
      <c r="F19" s="910">
        <f>IF(F10&gt;0,F10,IF(F11&gt;0,AVERAGE(F11:F12),IF(F13&gt;0,F13*F14,ROUND(F5/F6,2))))</f>
        <v>769.23</v>
      </c>
      <c r="G19" s="910">
        <f>IF(G10&gt;0,G10,IF(G11&gt;0,AVERAGE(G11:G12),IF(G13&gt;0,G13*G14,ROUND(G5/G6,2))))</f>
        <v>0</v>
      </c>
    </row>
    <row r="20" spans="1:7" ht="13" thickTop="1">
      <c r="A20">
        <v>1</v>
      </c>
      <c r="C20" s="908">
        <f>C5</f>
        <v>80000</v>
      </c>
      <c r="D20" s="908">
        <f>D5</f>
        <v>0</v>
      </c>
      <c r="F20" s="911">
        <f>F5</f>
        <v>40000</v>
      </c>
      <c r="G20" s="911">
        <f>G5</f>
        <v>0</v>
      </c>
    </row>
    <row r="21" spans="1:7">
      <c r="A21">
        <v>2</v>
      </c>
      <c r="C21" s="908">
        <f>C18+C10*C8</f>
        <v>0</v>
      </c>
      <c r="D21" s="908">
        <f>D18+D10*D8</f>
        <v>0</v>
      </c>
      <c r="F21" s="911">
        <f>F18+F10*F8</f>
        <v>0</v>
      </c>
      <c r="G21" s="911">
        <f>G18+G10*G8</f>
        <v>0</v>
      </c>
    </row>
    <row r="22" spans="1:7">
      <c r="A22">
        <v>3</v>
      </c>
      <c r="C22" s="908">
        <f>C9+AVERAGE(C11:C12)*C8</f>
        <v>0</v>
      </c>
      <c r="D22" s="908">
        <f>D9+AVERAGE(D11:D12)*D8</f>
        <v>0</v>
      </c>
      <c r="F22" s="911">
        <f>F9+AVERAGE(F11:F12)*F8</f>
        <v>0</v>
      </c>
      <c r="G22" s="911">
        <f>G9+AVERAGE(G11:G12)*G8</f>
        <v>0</v>
      </c>
    </row>
    <row r="23" spans="1:7">
      <c r="A23">
        <v>4</v>
      </c>
      <c r="C23" s="908">
        <f>C9+C13*C14*C8</f>
        <v>0</v>
      </c>
      <c r="D23" s="908">
        <f>D9+D13*D14*D8</f>
        <v>0</v>
      </c>
      <c r="F23" s="911">
        <f>F9+F13*F14*F8</f>
        <v>0</v>
      </c>
      <c r="G23" s="911">
        <f>G9+G13*G14*G8</f>
        <v>0</v>
      </c>
    </row>
  </sheetData>
  <mergeCells count="5">
    <mergeCell ref="A11:A12"/>
    <mergeCell ref="A13:A14"/>
    <mergeCell ref="A1:A3"/>
    <mergeCell ref="C3:D3"/>
    <mergeCell ref="F3:G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F0"/>
  </sheetPr>
  <dimension ref="A1:K40"/>
  <sheetViews>
    <sheetView showGridLines="0" zoomScale="90" zoomScaleNormal="90" workbookViewId="0">
      <selection activeCell="D10" sqref="D10"/>
    </sheetView>
  </sheetViews>
  <sheetFormatPr defaultRowHeight="12.5"/>
  <cols>
    <col min="1" max="1" width="0.81640625" customWidth="1"/>
    <col min="2" max="2" width="65.1796875" customWidth="1"/>
    <col min="3" max="3" width="17.26953125" customWidth="1"/>
    <col min="4" max="4" width="11.26953125" customWidth="1"/>
    <col min="5" max="5" width="2.81640625" customWidth="1"/>
    <col min="6" max="6" width="14.36328125" customWidth="1"/>
    <col min="7" max="256" width="11.453125" customWidth="1"/>
  </cols>
  <sheetData>
    <row r="1" spans="2:11" ht="5.25" customHeight="1" thickBot="1"/>
    <row r="2" spans="2:11" ht="18.5" thickBot="1">
      <c r="B2" s="1097" t="str">
        <f>"Enter an estimate of your "&amp;Calculations!J1&amp;" adjustments to income:"</f>
        <v>Enter an estimate of your 2022 adjustments to income:</v>
      </c>
      <c r="C2" s="1098"/>
      <c r="D2" s="1052"/>
      <c r="E2" s="1052"/>
      <c r="F2" s="1053" t="s">
        <v>1204</v>
      </c>
      <c r="G2" s="1058" t="s">
        <v>1200</v>
      </c>
      <c r="H2" s="1058"/>
      <c r="I2" s="1059" t="s">
        <v>1201</v>
      </c>
      <c r="J2" s="1058"/>
    </row>
    <row r="3" spans="2:11" ht="15.5">
      <c r="B3" s="92" t="s">
        <v>529</v>
      </c>
      <c r="C3" s="701">
        <f>'Inputs-Outputs'!B175</f>
        <v>100</v>
      </c>
      <c r="G3" s="1055">
        <v>0</v>
      </c>
      <c r="H3" s="1055">
        <v>2500</v>
      </c>
      <c r="I3" s="1057">
        <v>0</v>
      </c>
      <c r="J3" s="1055">
        <v>2500</v>
      </c>
    </row>
    <row r="4" spans="2:11" ht="15.5">
      <c r="B4" s="93" t="s">
        <v>530</v>
      </c>
      <c r="C4" s="704">
        <f>'S.E. Tax'!C14</f>
        <v>211.94324999999998</v>
      </c>
      <c r="D4" s="1052"/>
      <c r="E4" s="1052"/>
      <c r="F4" s="1054" t="s">
        <v>1203</v>
      </c>
      <c r="G4" s="1055">
        <v>145000</v>
      </c>
      <c r="H4" s="1055">
        <v>2500</v>
      </c>
      <c r="I4" s="1057">
        <v>70000</v>
      </c>
      <c r="J4" s="1055">
        <v>2500</v>
      </c>
    </row>
    <row r="5" spans="2:11" ht="15.5">
      <c r="B5" s="93" t="s">
        <v>531</v>
      </c>
      <c r="C5" s="702">
        <v>0</v>
      </c>
      <c r="D5" s="1052"/>
      <c r="E5" s="1052"/>
      <c r="F5" s="1054" t="s">
        <v>1202</v>
      </c>
      <c r="G5" s="1055">
        <v>175000</v>
      </c>
      <c r="H5" s="1055">
        <v>0</v>
      </c>
      <c r="I5" s="1057">
        <v>85000</v>
      </c>
      <c r="J5" s="1055">
        <v>0</v>
      </c>
    </row>
    <row r="6" spans="2:11" ht="15.5">
      <c r="B6" s="732" t="s">
        <v>579</v>
      </c>
      <c r="C6" s="702">
        <f>'Inputs-Outputs'!B172</f>
        <v>2500</v>
      </c>
      <c r="D6" s="333">
        <f>IF('Input &amp; Results'!H7=2,MIN(C6,H7),MIN(C6,J7))</f>
        <v>0</v>
      </c>
      <c r="E6" s="373" t="s">
        <v>584</v>
      </c>
      <c r="G6" s="1056">
        <f>2500/30000</f>
        <v>8.3333333333333329E-2</v>
      </c>
      <c r="H6" s="1056"/>
      <c r="I6" s="1056">
        <f>2500/15000</f>
        <v>0.16666666666666666</v>
      </c>
      <c r="K6" s="373" t="s">
        <v>1205</v>
      </c>
    </row>
    <row r="7" spans="2:11" ht="15.5">
      <c r="B7" s="93" t="s">
        <v>578</v>
      </c>
      <c r="C7" s="704">
        <f>MIN(2500,MAX(0,D6-D6*MAX(0,(D10-VLOOKUP(Calculations!$P$5,Calculations!$A$8:$N$12,13))/VLOOKUP(Calculations!$P$5,Calculations!$A$8:$N$12,14))))</f>
        <v>0</v>
      </c>
      <c r="H7" s="1055">
        <f>IF($D10&lt;G4,H3,MAX(0,H4-G6*($D10-G4)))</f>
        <v>2500</v>
      </c>
      <c r="J7" s="1055">
        <f>IF($D10&lt;I4,J3,MAX(0,J4-I6*($D10-I4)))</f>
        <v>0</v>
      </c>
      <c r="K7" s="373" t="s">
        <v>1206</v>
      </c>
    </row>
    <row r="8" spans="2:11" ht="15.5">
      <c r="B8" s="93" t="s">
        <v>1189</v>
      </c>
      <c r="C8" s="704">
        <f>MIN('Inputs-Outputs'!B173,D8)</f>
        <v>250</v>
      </c>
      <c r="D8">
        <f>IF('Input &amp; Results'!H7=2,500,250)</f>
        <v>250</v>
      </c>
      <c r="E8" s="373" t="s">
        <v>1190</v>
      </c>
    </row>
    <row r="9" spans="2:11" ht="15.5">
      <c r="B9" s="93" t="s">
        <v>569</v>
      </c>
      <c r="C9" s="702">
        <f>'Inputs-Outputs'!B174+'Inputs-Outputs'!B176+'Inputs-Outputs'!B177+'Inputs-Outputs'!B178+'Inputs-Outputs'!B179</f>
        <v>100</v>
      </c>
      <c r="D9" s="733">
        <f>SUM(C3:C5)+C8+C9</f>
        <v>661.94325000000003</v>
      </c>
      <c r="E9" s="373" t="s">
        <v>585</v>
      </c>
    </row>
    <row r="10" spans="2:11" ht="16" thickBot="1">
      <c r="B10" s="708" t="s">
        <v>535</v>
      </c>
      <c r="C10" s="706">
        <f>SUM(C3:C9)-C6</f>
        <v>661.94324999999981</v>
      </c>
      <c r="D10" s="333">
        <f>Calculations!U3-D9</f>
        <v>144838.05674999999</v>
      </c>
      <c r="E10" t="s">
        <v>580</v>
      </c>
    </row>
    <row r="11" spans="2:11" ht="13" thickBot="1"/>
    <row r="12" spans="2:11" ht="18.5" thickBot="1">
      <c r="B12" s="1097" t="str">
        <f>"Enter an estimate of your "&amp;Calculations!J1&amp;" itemized deductions:"</f>
        <v>Enter an estimate of your 2022 itemized deductions:</v>
      </c>
      <c r="C12" s="1098"/>
      <c r="D12" s="707" t="s">
        <v>568</v>
      </c>
    </row>
    <row r="13" spans="2:11" ht="16" thickBot="1">
      <c r="B13" s="92" t="str">
        <f>"Medical and Dental Expenses over $"&amp;Calculations!S5&amp;":"</f>
        <v>Medical and Dental Expenses over $10863:</v>
      </c>
      <c r="C13" s="701">
        <f>'Inputs-Outputs'!B182</f>
        <v>0</v>
      </c>
      <c r="D13" s="705">
        <f>MAX(C13-Calculations!S5,0)</f>
        <v>0</v>
      </c>
    </row>
    <row r="14" spans="2:11" ht="16" thickBot="1">
      <c r="B14" s="93" t="s">
        <v>17</v>
      </c>
      <c r="C14" s="701">
        <f>'Inputs-Outputs'!B183</f>
        <v>0</v>
      </c>
      <c r="D14" s="704">
        <f>MIN(C14,VLOOKUP(Calculations!P5,Calculations!A8:L12,12))</f>
        <v>0</v>
      </c>
    </row>
    <row r="15" spans="2:11" ht="16" thickBot="1">
      <c r="B15" s="93" t="s">
        <v>28</v>
      </c>
      <c r="C15" s="701">
        <f>'Inputs-Outputs'!B184</f>
        <v>0</v>
      </c>
      <c r="D15" s="704">
        <f>C15</f>
        <v>0</v>
      </c>
    </row>
    <row r="16" spans="2:11" ht="15.5">
      <c r="B16" s="93" t="s">
        <v>150</v>
      </c>
      <c r="C16" s="701">
        <f>'Inputs-Outputs'!B185</f>
        <v>0</v>
      </c>
      <c r="D16" s="704">
        <f>C16</f>
        <v>0</v>
      </c>
    </row>
    <row r="17" spans="2:4" ht="15.5">
      <c r="B17" s="93" t="s">
        <v>171</v>
      </c>
      <c r="C17" s="702">
        <f>'Inputs-Outputs'!B186</f>
        <v>0</v>
      </c>
      <c r="D17" s="704">
        <f>C17</f>
        <v>0</v>
      </c>
    </row>
    <row r="18" spans="2:4" ht="15.5">
      <c r="B18" s="93" t="s">
        <v>6</v>
      </c>
      <c r="C18" s="702">
        <f>'Inputs-Outputs'!B187</f>
        <v>0</v>
      </c>
      <c r="D18" s="704">
        <f>C18</f>
        <v>0</v>
      </c>
    </row>
    <row r="19" spans="2:4" ht="8.15" customHeight="1">
      <c r="B19" s="93"/>
      <c r="C19" s="95"/>
      <c r="D19" s="704"/>
    </row>
    <row r="20" spans="2:4" ht="16" thickBot="1">
      <c r="B20" s="94" t="s">
        <v>18</v>
      </c>
      <c r="C20" s="703">
        <f>SUM(C13:C18)</f>
        <v>0</v>
      </c>
      <c r="D20" s="706">
        <f>SUM(D13:D18)</f>
        <v>0</v>
      </c>
    </row>
    <row r="21" spans="2:4" ht="36" customHeight="1" thickBot="1">
      <c r="B21" s="1094" t="str">
        <f>"Note:  Your standard deduction is $"&amp;Calculations!AA4&amp;".  Your tax will be based on either the standard deduction, or your itemized deductions, whichever is larger."</f>
        <v>Note:  Your standard deduction is $12950.  Your tax will be based on either the standard deduction, or your itemized deductions, whichever is larger.</v>
      </c>
      <c r="C21" s="1095"/>
      <c r="D21" s="1096"/>
    </row>
    <row r="34" spans="1:3" ht="13">
      <c r="B34" s="290" t="s">
        <v>46</v>
      </c>
    </row>
    <row r="35" spans="1:3">
      <c r="A35">
        <v>1</v>
      </c>
      <c r="B35" t="s">
        <v>47</v>
      </c>
      <c r="C35" s="291">
        <f>VLOOKUP(Calculations!P5,Calculations!$A$8:$E$12,5)</f>
        <v>12950</v>
      </c>
    </row>
    <row r="36" spans="1:3">
      <c r="A36">
        <v>2</v>
      </c>
      <c r="B36" t="s">
        <v>48</v>
      </c>
      <c r="C36" s="292">
        <f>Calculations!Q3</f>
        <v>0</v>
      </c>
    </row>
    <row r="37" spans="1:3">
      <c r="A37">
        <v>3</v>
      </c>
      <c r="B37" t="s">
        <v>222</v>
      </c>
      <c r="C37" s="291">
        <f>IF(Calculations!U2&gt;600,Calculations!U2+Calculations!AD4,Calculations!AC4)</f>
        <v>143400</v>
      </c>
    </row>
    <row r="38" spans="1:3">
      <c r="A38">
        <v>4</v>
      </c>
      <c r="B38" t="s">
        <v>49</v>
      </c>
      <c r="C38" s="291">
        <f>IF(C36="No",C35,MIN(C35,C37))</f>
        <v>12950</v>
      </c>
    </row>
    <row r="39" spans="1:3">
      <c r="A39">
        <v>5</v>
      </c>
      <c r="B39" t="s">
        <v>50</v>
      </c>
      <c r="C39" s="291">
        <f>Calculations!Q6*VLOOKUP(Calculations!P5,Calculations!$A$8:$F$12,6)</f>
        <v>0</v>
      </c>
    </row>
    <row r="40" spans="1:3">
      <c r="A40">
        <v>10</v>
      </c>
      <c r="B40" t="s">
        <v>115</v>
      </c>
      <c r="C40" s="291">
        <f>C38+C39</f>
        <v>12950</v>
      </c>
    </row>
  </sheetData>
  <mergeCells count="3">
    <mergeCell ref="B21:D21"/>
    <mergeCell ref="B12:C12"/>
    <mergeCell ref="B2:C2"/>
  </mergeCells>
  <pageMargins left="0.75" right="0.75" top="1" bottom="1" header="0.5" footer="0.5"/>
  <pageSetup orientation="portrait" horizontalDpi="4294967292" verticalDpi="4294967292"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ransitionEvaluation="1" codeName="Sheet3">
    <tabColor rgb="FFFF0000"/>
  </sheetPr>
  <dimension ref="A1:EC243"/>
  <sheetViews>
    <sheetView topLeftCell="AK105" zoomScale="80" zoomScaleNormal="80" workbookViewId="0">
      <selection activeCell="AM81" sqref="AM81"/>
    </sheetView>
  </sheetViews>
  <sheetFormatPr defaultColWidth="10.81640625" defaultRowHeight="12.5"/>
  <cols>
    <col min="1" max="1" width="2.81640625" style="5" customWidth="1"/>
    <col min="2" max="2" width="23.26953125" style="5" customWidth="1"/>
    <col min="3" max="3" width="15.1796875" style="5" customWidth="1"/>
    <col min="4" max="5" width="11.81640625" style="5" customWidth="1"/>
    <col min="6" max="6" width="13" style="5" customWidth="1"/>
    <col min="7" max="7" width="12.453125" style="5" customWidth="1"/>
    <col min="8" max="8" width="12" style="5" customWidth="1"/>
    <col min="9" max="9" width="14.7265625" style="5" customWidth="1"/>
    <col min="10" max="10" width="15.26953125" style="5" customWidth="1"/>
    <col min="11" max="11" width="19.1796875" style="5" customWidth="1"/>
    <col min="12" max="12" width="12.54296875" style="5" customWidth="1"/>
    <col min="13" max="13" width="9.81640625" style="5" customWidth="1"/>
    <col min="14" max="14" width="13.26953125" style="5" customWidth="1"/>
    <col min="15" max="15" width="53" style="5" customWidth="1"/>
    <col min="16" max="16" width="15.7265625" style="5" customWidth="1"/>
    <col min="17" max="17" width="12.1796875" style="5" customWidth="1"/>
    <col min="18" max="18" width="11.1796875" style="5" customWidth="1"/>
    <col min="19" max="19" width="12.26953125" style="5" customWidth="1"/>
    <col min="20" max="20" width="37.453125" style="5" customWidth="1"/>
    <col min="21" max="21" width="18.81640625" style="5" customWidth="1"/>
    <col min="22" max="22" width="12.7265625" style="5" customWidth="1"/>
    <col min="23" max="23" width="12.453125" style="5" customWidth="1"/>
    <col min="24" max="24" width="17.453125" style="5" customWidth="1"/>
    <col min="25" max="25" width="14" style="5" customWidth="1"/>
    <col min="26" max="26" width="16.81640625" style="5" customWidth="1"/>
    <col min="27" max="27" width="19.7265625" style="5" customWidth="1"/>
    <col min="28" max="28" width="14.7265625" style="5" customWidth="1"/>
    <col min="29" max="29" width="13.1796875" style="5" customWidth="1"/>
    <col min="30" max="30" width="13.81640625" style="5" customWidth="1"/>
    <col min="31" max="31" width="16.26953125" style="5" customWidth="1"/>
    <col min="32" max="32" width="23.26953125" style="5" customWidth="1"/>
    <col min="33" max="35" width="13.26953125" style="5" customWidth="1"/>
    <col min="36" max="36" width="20.7265625" style="5" customWidth="1"/>
    <col min="37" max="37" width="14.453125" style="5" customWidth="1"/>
    <col min="38" max="38" width="16.26953125" style="5" customWidth="1"/>
    <col min="39" max="39" width="14.81640625" style="5" customWidth="1"/>
    <col min="40" max="40" width="15.7265625" style="5" customWidth="1"/>
    <col min="41" max="44" width="13.26953125" style="5" customWidth="1"/>
    <col min="45" max="45" width="16.7265625" style="5" customWidth="1"/>
    <col min="46" max="58" width="13.26953125" style="5" customWidth="1"/>
    <col min="59" max="82" width="10.81640625" style="5"/>
    <col min="83" max="91" width="10.7265625" style="5" customWidth="1"/>
    <col min="92" max="132" width="10.81640625" style="5"/>
    <col min="133" max="133" width="10.453125" style="5" customWidth="1"/>
    <col min="134" max="16384" width="10.81640625" style="5"/>
  </cols>
  <sheetData>
    <row r="1" spans="1:85" ht="15.5">
      <c r="B1" s="6" t="s">
        <v>12</v>
      </c>
      <c r="I1" s="6" t="s">
        <v>13</v>
      </c>
      <c r="J1" s="979">
        <f>Parameters!A2</f>
        <v>2022</v>
      </c>
      <c r="K1" s="5" t="str">
        <f>_xlfn.CONCAT("January 1, ",J1)</f>
        <v>January 1, 2022</v>
      </c>
      <c r="L1" s="5">
        <f>DATEVALUE(K1)</f>
        <v>44562</v>
      </c>
      <c r="M1" s="5">
        <f>L1-1</f>
        <v>44561</v>
      </c>
      <c r="N1" s="5" t="str">
        <f>_xlfn.CONCAT("December 31, ",J1)</f>
        <v>December 31, 2022</v>
      </c>
      <c r="T1" s="7" t="s">
        <v>141</v>
      </c>
      <c r="U1" s="8"/>
      <c r="V1" s="755" t="s">
        <v>732</v>
      </c>
      <c r="W1" s="755"/>
      <c r="X1" s="281"/>
      <c r="Y1" s="281"/>
      <c r="Z1" s="8"/>
      <c r="AA1" s="9"/>
      <c r="AJ1" s="154" t="s">
        <v>135</v>
      </c>
      <c r="AK1" s="34" t="s">
        <v>136</v>
      </c>
      <c r="AL1" s="34" t="s">
        <v>136</v>
      </c>
      <c r="AN1" s="14"/>
      <c r="AO1" s="34" t="s">
        <v>136</v>
      </c>
      <c r="AP1" s="34" t="s">
        <v>136</v>
      </c>
      <c r="AQ1" s="34" t="s">
        <v>136</v>
      </c>
    </row>
    <row r="2" spans="1:85" ht="24" customHeight="1" thickBot="1">
      <c r="B2" s="6" t="s">
        <v>131</v>
      </c>
      <c r="C2" s="343">
        <v>0</v>
      </c>
      <c r="E2" s="6" t="s">
        <v>201</v>
      </c>
      <c r="H2" s="849">
        <f>Parameters!T2</f>
        <v>4300</v>
      </c>
      <c r="K2" s="155"/>
      <c r="L2" s="875">
        <v>43831</v>
      </c>
      <c r="M2" s="875">
        <v>44196</v>
      </c>
      <c r="N2" s="5">
        <f>DATEVALUE(N1)</f>
        <v>44926</v>
      </c>
      <c r="O2" s="88">
        <f>N2-M1</f>
        <v>365</v>
      </c>
      <c r="T2" s="279" t="s">
        <v>222</v>
      </c>
      <c r="U2" s="280">
        <f>SUM('Input &amp; Results'!H13:H19)+SUM('Input &amp; Results'!H23:H29)+'Input &amp; Results'!H35+SUM('Input &amp; Results'!O31:O32)+SUM('Input &amp; Results'!O38:O39)-SUM('Input &amp; Results'!M31:M32)-SUM('Input &amp; Results'!M38:M39)-SUM('Input &amp; Results'!N31:N32)-SUM('Input &amp; Results'!N38:N39)</f>
        <v>143000</v>
      </c>
      <c r="V2" s="816">
        <f>SUM('Input &amp; Results'!H13:H17)+SUM('Input &amp; Results'!H23:H27)+SUM('Input &amp; Results'!O31:O32)+SUM('Input &amp; Results'!O38:O39)-SUM('Input &amp; Results'!M31:M32)-SUM('Input &amp; Results'!M38:M39)-SUM('Input &amp; Results'!N31:N32)-SUM('Input &amp; Results'!N38:N39)</f>
        <v>140000</v>
      </c>
      <c r="W2" s="755"/>
      <c r="X2" s="280"/>
      <c r="Y2" s="280"/>
      <c r="Z2" s="12"/>
      <c r="AA2" s="13"/>
      <c r="AC2" s="14" t="s">
        <v>37</v>
      </c>
      <c r="AK2" s="47">
        <f>Q$14</f>
        <v>1</v>
      </c>
      <c r="AL2" s="47">
        <f>Q$15</f>
        <v>2</v>
      </c>
      <c r="AM2" s="47" t="s">
        <v>115</v>
      </c>
      <c r="AO2" s="47">
        <v>1</v>
      </c>
      <c r="AP2" s="47">
        <v>2</v>
      </c>
      <c r="AQ2" s="47">
        <v>3</v>
      </c>
      <c r="BC2"/>
      <c r="BD2"/>
      <c r="BE2"/>
    </row>
    <row r="3" spans="1:85" ht="15.75" customHeight="1">
      <c r="A3" s="33"/>
      <c r="B3" s="8"/>
      <c r="C3" s="8"/>
      <c r="D3" s="59"/>
      <c r="E3" s="60"/>
      <c r="F3" s="8"/>
      <c r="G3" s="8"/>
      <c r="H3" s="37" t="s">
        <v>106</v>
      </c>
      <c r="I3" s="61" t="s">
        <v>132</v>
      </c>
      <c r="J3" s="858">
        <v>500</v>
      </c>
      <c r="K3" s="8"/>
      <c r="L3" s="1115" t="s">
        <v>242</v>
      </c>
      <c r="M3" s="1127" t="s">
        <v>581</v>
      </c>
      <c r="N3" s="1128"/>
      <c r="O3" s="79" t="s">
        <v>42</v>
      </c>
      <c r="P3" s="52"/>
      <c r="Q3" s="1013">
        <f>IF('Input &amp; Results'!$H$5=0,0,1)</f>
        <v>0</v>
      </c>
      <c r="T3" s="19" t="s">
        <v>192</v>
      </c>
      <c r="U3" s="22">
        <f>U2+'Input &amp; Results'!H21+'Input &amp; Results'!H31+'Input &amp; Results'!H33+'S.S. Benefits Approx'!E25</f>
        <v>145500</v>
      </c>
      <c r="V3" s="821">
        <f>V2/U3</f>
        <v>0.96219931271477666</v>
      </c>
      <c r="W3" s="20" t="s">
        <v>662</v>
      </c>
      <c r="X3" s="20"/>
      <c r="Y3" s="20"/>
      <c r="Z3" s="12"/>
      <c r="AA3" s="21">
        <f>IF(P7=1,MAX(AA4,AA5)+AA6,AA5)</f>
        <v>12950</v>
      </c>
      <c r="AC3" s="14" t="s">
        <v>211</v>
      </c>
      <c r="AK3" s="16">
        <f>$Q$5</f>
        <v>1</v>
      </c>
      <c r="AL3" s="16">
        <f>$Q$5</f>
        <v>1</v>
      </c>
      <c r="AN3" s="19" t="s">
        <v>169</v>
      </c>
      <c r="AO3" s="16">
        <f>$Q$5</f>
        <v>1</v>
      </c>
      <c r="AP3" s="16">
        <f>$Q$5</f>
        <v>1</v>
      </c>
      <c r="AQ3" s="16">
        <f>$Q$5</f>
        <v>1</v>
      </c>
      <c r="AU3"/>
      <c r="AV3"/>
      <c r="AW3"/>
      <c r="AX3"/>
      <c r="AY3"/>
      <c r="BC3"/>
      <c r="BD3"/>
      <c r="BE3"/>
    </row>
    <row r="4" spans="1:85" ht="15.5">
      <c r="A4" s="11"/>
      <c r="B4" s="12"/>
      <c r="C4" s="12"/>
      <c r="D4" s="12"/>
      <c r="E4" s="12"/>
      <c r="F4" s="12"/>
      <c r="G4" s="37"/>
      <c r="H4" s="37" t="s">
        <v>241</v>
      </c>
      <c r="I4" s="37" t="s">
        <v>145</v>
      </c>
      <c r="J4" s="37" t="s">
        <v>146</v>
      </c>
      <c r="K4" s="37" t="s">
        <v>191</v>
      </c>
      <c r="L4" s="1116"/>
      <c r="M4" s="1129"/>
      <c r="N4" s="1130"/>
      <c r="O4" s="79" t="s">
        <v>214</v>
      </c>
      <c r="P4" s="52">
        <v>1</v>
      </c>
      <c r="Q4" s="18" t="str">
        <f>IF(P4=2,"No","Yes")</f>
        <v>Yes</v>
      </c>
      <c r="R4" s="5" t="str">
        <f>VLOOKUP(Q5,A8:B12,2)</f>
        <v>Single</v>
      </c>
      <c r="T4" s="19" t="s">
        <v>230</v>
      </c>
      <c r="U4" s="22">
        <f>MAX(U3-'Input &amp; Results'!H36-'S.E. Tax'!C14,0)</f>
        <v>144838.05674999999</v>
      </c>
      <c r="V4" s="654">
        <f>U3-U4</f>
        <v>661.94325000001118</v>
      </c>
      <c r="W4" s="390" t="s">
        <v>727</v>
      </c>
      <c r="X4" s="23"/>
      <c r="Y4" s="23"/>
      <c r="Z4" s="37" t="s">
        <v>105</v>
      </c>
      <c r="AA4" s="21">
        <f>IF(P3=2,VLOOKUP(P5,$A$8:$E$12,5)+(Q6+S6)*VLOOKUP(P5,$A$8:$F$12,6),MIN(VLOOKUP(P5,$A$8:$E$12,5),MAX(AC4,U2+AD4))+Q6*VLOOKUP(P5,$A$8:$F$12,6))</f>
        <v>12950</v>
      </c>
      <c r="AC4" s="862">
        <f>Parameters!U2</f>
        <v>1150</v>
      </c>
      <c r="AD4" s="863">
        <f>Parameters!V2</f>
        <v>400</v>
      </c>
      <c r="AK4" s="16" t="e" vm="1">
        <f>VLOOKUP(1,AC34:AD39,2)</f>
        <v>#VALUE!</v>
      </c>
      <c r="AL4" s="16">
        <f>HLOOKUP(1,AG11:BA12,2)</f>
        <v>0</v>
      </c>
      <c r="AM4" s="16" t="e" vm="2">
        <f>AK4+AL4</f>
        <v>#VALUE!</v>
      </c>
      <c r="AN4" s="19" t="s">
        <v>109</v>
      </c>
      <c r="AO4" s="16" t="e" vm="2">
        <f>IF(AO2=$AK2,$AK4,IF(AO2=$AL2,$AL4,$W38))</f>
        <v>#VALUE!</v>
      </c>
      <c r="AP4" s="16">
        <f>IF(AP2=$AK2,$AK4,IF(AP2=$AL2,$AL4,$W38))</f>
        <v>0</v>
      </c>
      <c r="AQ4" s="16">
        <f>IF(AQ2=$AK2,$AK4,IF(AQ2=$AL2,$AL4,$W38))</f>
        <v>0</v>
      </c>
      <c r="AU4"/>
      <c r="AV4"/>
      <c r="AW4"/>
      <c r="AX4"/>
      <c r="AY4"/>
      <c r="BC4"/>
      <c r="BD4"/>
      <c r="BE4"/>
    </row>
    <row r="5" spans="1:85" ht="15.5">
      <c r="A5" s="11"/>
      <c r="B5" s="12"/>
      <c r="C5" s="12"/>
      <c r="D5" s="297">
        <v>1</v>
      </c>
      <c r="E5" s="12"/>
      <c r="F5" s="12"/>
      <c r="G5" s="37"/>
      <c r="H5" s="37" t="s">
        <v>213</v>
      </c>
      <c r="I5" s="37" t="s">
        <v>227</v>
      </c>
      <c r="J5" s="37" t="s">
        <v>228</v>
      </c>
      <c r="K5" s="37" t="s">
        <v>229</v>
      </c>
      <c r="L5" s="1116"/>
      <c r="M5" s="1129"/>
      <c r="N5" s="1130"/>
      <c r="O5" s="80" t="s">
        <v>121</v>
      </c>
      <c r="P5" s="52">
        <f>'Input &amp; Results'!H7</f>
        <v>1</v>
      </c>
      <c r="Q5" s="16">
        <f>'Input &amp; Results'!H7</f>
        <v>1</v>
      </c>
      <c r="R5" s="876">
        <f>Parameters!AJ2</f>
        <v>7.4999999999999997E-2</v>
      </c>
      <c r="S5" s="155">
        <f>ROUND(U4*R5,0)</f>
        <v>10863</v>
      </c>
      <c r="T5" s="19" t="s">
        <v>96</v>
      </c>
      <c r="U5" s="22">
        <f>MAX(U4,0)</f>
        <v>144838.05674999999</v>
      </c>
      <c r="V5" s="12"/>
      <c r="X5" s="23"/>
      <c r="Y5" s="23"/>
      <c r="Z5" s="37" t="s">
        <v>129</v>
      </c>
      <c r="AA5" s="277">
        <f>'Input &amp; Results'!H37-D5*MIN($I$6*MAX($U$4-VLOOKUP(Calculations!P5,$A$8:$I$12,9),0),$I$7*'Input &amp; Results'!H37)</f>
        <v>0</v>
      </c>
      <c r="AC5" s="155">
        <f>$I$6*MAX($U$4-VLOOKUP(Calculations!P5,$A$8:$I$12,9),0)</f>
        <v>0</v>
      </c>
      <c r="AD5" s="155">
        <f>$I$7*'Input &amp; Results'!H37</f>
        <v>0</v>
      </c>
      <c r="AK5" s="22" t="e" vm="2">
        <f>MAX($U$21-AK4*$H$2,0)</f>
        <v>#VALUE!</v>
      </c>
      <c r="AL5" s="22">
        <f>MAX($V$21-AL4*$H$2,0)</f>
        <v>40000</v>
      </c>
      <c r="AM5" s="15" t="e" vm="2">
        <f>AK5+AL5</f>
        <v>#VALUE!</v>
      </c>
      <c r="AN5" s="19" t="s">
        <v>78</v>
      </c>
      <c r="AO5" s="15" t="e" vm="2">
        <f>IF(AO2=$AK2,$AK5,IF(AO2=$AL2,$AL5,$W39))</f>
        <v>#VALUE!</v>
      </c>
      <c r="AP5" s="15">
        <f>IF(AP2=$AK2,$AK5,IF(AP2=$AL2,$AL5,$W39))</f>
        <v>40000</v>
      </c>
      <c r="AQ5" s="15">
        <f>IF(AQ2=$AK2,$AK5,IF(AQ2=$AL2,$AL5,$W39))</f>
        <v>0</v>
      </c>
      <c r="AU5"/>
      <c r="AV5"/>
      <c r="AW5"/>
      <c r="AX5"/>
      <c r="AY5"/>
      <c r="BC5"/>
      <c r="BD5"/>
      <c r="BE5"/>
    </row>
    <row r="6" spans="1:85" ht="15.5">
      <c r="A6" s="11"/>
      <c r="B6" s="12"/>
      <c r="C6" s="12"/>
      <c r="D6" s="37" t="s">
        <v>202</v>
      </c>
      <c r="E6" s="12"/>
      <c r="F6" s="37" t="s">
        <v>203</v>
      </c>
      <c r="G6" s="37" t="s">
        <v>221</v>
      </c>
      <c r="H6" s="37" t="s">
        <v>138</v>
      </c>
      <c r="I6" s="856">
        <v>0</v>
      </c>
      <c r="J6" s="37" t="s">
        <v>227</v>
      </c>
      <c r="K6" s="37" t="s">
        <v>227</v>
      </c>
      <c r="L6" s="1116"/>
      <c r="M6" s="1129"/>
      <c r="N6" s="1130"/>
      <c r="O6" s="79" t="s">
        <v>224</v>
      </c>
      <c r="P6" s="813">
        <f>'Input &amp; Results'!$H$8</f>
        <v>0</v>
      </c>
      <c r="Q6" s="813">
        <f>$P$6</f>
        <v>0</v>
      </c>
      <c r="R6" s="814">
        <f>'Input &amp; Results'!$H$9</f>
        <v>0</v>
      </c>
      <c r="S6" s="814">
        <f>$R$6</f>
        <v>0</v>
      </c>
      <c r="T6" s="19" t="s">
        <v>119</v>
      </c>
      <c r="U6" s="22">
        <f>U4</f>
        <v>144838.05674999999</v>
      </c>
      <c r="V6" s="112">
        <v>100000</v>
      </c>
      <c r="X6" s="23"/>
      <c r="Z6" s="37" t="s">
        <v>97</v>
      </c>
      <c r="AA6" s="277">
        <f>IF(P3=2,IF(AE6=0,(VLOOKUP(P5,$A$8:$G$12,7)+'Input &amp; Results'!H10)*$C$2,(VLOOKUP(P5,$A$8:$G$12,7)+'Input &amp; Results'!H10)*$C$2*MAX(1-D5*$D$7*$AE$6,0)),0)</f>
        <v>0</v>
      </c>
      <c r="AC6" s="278">
        <f>IF($U$4&gt;VLOOKUP($P$5,$A$8:$K$12,3),($U$4-VLOOKUP($P$5,$A$8:$K$12,3))/VLOOKUP($P$5,$A$8:$K$12,4),0)</f>
        <v>0</v>
      </c>
      <c r="AD6" s="26">
        <f>TRUNC(AC6)</f>
        <v>0</v>
      </c>
      <c r="AE6" s="26">
        <f>MIN(IF(AC6&gt;AD6,AD6+1,AD6),50)</f>
        <v>0</v>
      </c>
      <c r="AK6" s="35" t="e" vm="2">
        <f>VLOOKUP(AK5,$I$36:$K$44,2)+VLOOKUP(AK5,$I$36:$K$44,3)*(AK5-VLOOKUP(AK5,$I$36:$K$44,1))</f>
        <v>#VALUE!</v>
      </c>
      <c r="AL6" s="35">
        <f>VLOOKUP(AL5,$I$36:$K$44,2)+VLOOKUP(AL5,$I$36:$K$44,3)*(AL5-VLOOKUP(AL5,$I$36:$K$44,1))</f>
        <v>3040.5</v>
      </c>
      <c r="AM6" s="35" t="e" vm="2">
        <f>AK6+AL6</f>
        <v>#VALUE!</v>
      </c>
      <c r="AN6" s="19" t="s">
        <v>65</v>
      </c>
      <c r="AO6" s="15" t="e" vm="2">
        <f>IF(AO$2=$AK$2,$AK6,IF(AO$2=$AL$2,$AL6,$W40))</f>
        <v>#VALUE!</v>
      </c>
      <c r="AP6" s="15">
        <f>IF(AP$2=$AK$2,$AK6,IF(AP$2=$AL$2,$AL6,$W40))</f>
        <v>3040.5</v>
      </c>
      <c r="AQ6" s="15">
        <f>IF(AQ$2=$AK$2,$AK6,IF(AQ$2=$AL$2,$AL6,$W40))</f>
        <v>0</v>
      </c>
      <c r="AU6"/>
      <c r="AV6"/>
      <c r="AW6"/>
      <c r="AX6"/>
      <c r="AY6"/>
      <c r="BC6"/>
      <c r="BD6"/>
      <c r="BE6"/>
    </row>
    <row r="7" spans="1:85" ht="15.75" customHeight="1" thickBot="1">
      <c r="A7" s="56"/>
      <c r="B7" s="54" t="s">
        <v>89</v>
      </c>
      <c r="C7" s="55"/>
      <c r="D7" s="113">
        <v>0.02</v>
      </c>
      <c r="E7" s="39" t="s">
        <v>178</v>
      </c>
      <c r="F7" s="39" t="s">
        <v>116</v>
      </c>
      <c r="G7" s="39" t="s">
        <v>117</v>
      </c>
      <c r="H7" s="338">
        <f>Parameters!CU2</f>
        <v>8.9999999999999993E-3</v>
      </c>
      <c r="I7" s="857">
        <v>1</v>
      </c>
      <c r="J7" s="859">
        <f>Parameters!BO2</f>
        <v>2000</v>
      </c>
      <c r="K7" s="55"/>
      <c r="L7" s="1116"/>
      <c r="M7" s="736" t="s">
        <v>583</v>
      </c>
      <c r="N7" s="731" t="s">
        <v>582</v>
      </c>
      <c r="O7" s="416" t="s">
        <v>309</v>
      </c>
      <c r="P7" s="52">
        <v>1</v>
      </c>
      <c r="Q7" s="18" t="str">
        <f>IF('Input &amp; Results'!F37=1,"Yes","No")</f>
        <v>No</v>
      </c>
      <c r="T7" s="19" t="s">
        <v>58</v>
      </c>
      <c r="U7" s="22">
        <f>QBI!C23</f>
        <v>131350.4454</v>
      </c>
      <c r="V7" s="29">
        <f>VLOOKUP(U7,$H$24:$J$30,2)+VLOOKUP(U7,$H$24:$J$30,3)*(U7-VLOOKUP(U7,$H$24:$J$30,1))</f>
        <v>25359.606895999998</v>
      </c>
      <c r="W7" s="748"/>
      <c r="X7" s="748"/>
      <c r="Y7" s="749" t="s">
        <v>640</v>
      </c>
      <c r="Z7" s="749" t="s">
        <v>624</v>
      </c>
      <c r="AA7" s="750" t="s">
        <v>115</v>
      </c>
      <c r="AE7" s="993"/>
      <c r="AF7" s="1014">
        <f>AF8+1</f>
        <v>1</v>
      </c>
      <c r="AG7" s="1014" t="s">
        <v>103</v>
      </c>
      <c r="AH7" s="1014"/>
      <c r="AI7" s="1014"/>
      <c r="AM7" s="98" t="e" vm="2">
        <f>IF(AM6-$U$17&gt;=0,AM6-$U$17,"N/A")</f>
        <v>#VALUE!</v>
      </c>
      <c r="AN7" s="20" t="s">
        <v>212</v>
      </c>
      <c r="AO7" s="15"/>
      <c r="AP7" s="16"/>
      <c r="AQ7" s="16"/>
      <c r="AU7"/>
      <c r="AV7"/>
      <c r="AW7"/>
      <c r="AX7"/>
      <c r="AY7"/>
      <c r="BC7"/>
      <c r="BD7"/>
      <c r="BE7"/>
    </row>
    <row r="8" spans="1:85" ht="15.5">
      <c r="A8" s="57">
        <v>1</v>
      </c>
      <c r="B8" s="205" t="s">
        <v>197</v>
      </c>
      <c r="C8" s="339">
        <v>9999999</v>
      </c>
      <c r="D8" s="206">
        <v>2500</v>
      </c>
      <c r="E8" s="977">
        <f>Parameters!P2</f>
        <v>12950</v>
      </c>
      <c r="F8" s="977">
        <f>Parameters!W2</f>
        <v>1750</v>
      </c>
      <c r="G8" s="207">
        <v>1</v>
      </c>
      <c r="H8" s="206">
        <f>Parameters!CW2</f>
        <v>200000</v>
      </c>
      <c r="I8" s="339">
        <v>9999999</v>
      </c>
      <c r="J8" s="860">
        <f>Parameters!BN2</f>
        <v>200000</v>
      </c>
      <c r="K8" s="344">
        <v>80000</v>
      </c>
      <c r="L8" s="864">
        <f>Parameters!AK2</f>
        <v>10000</v>
      </c>
      <c r="M8" s="734">
        <v>70000</v>
      </c>
      <c r="N8" s="346">
        <v>15000</v>
      </c>
      <c r="O8" s="96" t="s">
        <v>82</v>
      </c>
      <c r="P8" s="27"/>
      <c r="Q8" s="10" t="s">
        <v>116</v>
      </c>
      <c r="R8" s="155"/>
      <c r="S8" s="443" t="s">
        <v>586</v>
      </c>
      <c r="T8" s="19" t="s">
        <v>225</v>
      </c>
      <c r="U8" s="22">
        <f>IF(U7&gt;V6,U7,IF(U7=0,0,MAX($U$4-$AA$3-QBI!C21,0)-MOD(MAX($U$4-$AA$3-QBI!C21,0),VLOOKUP(U7,R27:S28,2))+VLOOKUP(U7,R27:S28,2)/2))</f>
        <v>131350.4454</v>
      </c>
      <c r="V8" s="29">
        <f>VLOOKUP(U8,$H$24:$J$30,2)+VLOOKUP(U8,$H$24:$J$30,3)*(U8-VLOOKUP(U8,$H$24:$J$30,1))</f>
        <v>25359.606895999998</v>
      </c>
      <c r="W8" s="751" t="s">
        <v>120</v>
      </c>
      <c r="X8" s="751"/>
      <c r="Y8" s="805">
        <f>MIN(SUM(Y9:Y14),U9)</f>
        <v>3000</v>
      </c>
      <c r="Z8" s="805">
        <f>SUM(Z9:Z14)</f>
        <v>0</v>
      </c>
      <c r="AA8" s="806">
        <f t="shared" ref="AA8:AA14" si="0">SUM(Y8:Z8)</f>
        <v>3000</v>
      </c>
      <c r="AE8" s="994">
        <f>'Input &amp; Results'!$H$11</f>
        <v>2</v>
      </c>
      <c r="AF8" s="993">
        <f>'Input &amp; Results'!H10</f>
        <v>0</v>
      </c>
      <c r="AG8" s="995" t="s">
        <v>104</v>
      </c>
      <c r="AH8" s="993"/>
      <c r="AI8" s="993"/>
      <c r="AM8" s="50">
        <f>IF($Z$40&lt;$U$17,$U$17-$Z$40,0)</f>
        <v>4974.993395999998</v>
      </c>
      <c r="AN8" s="20" t="s">
        <v>54</v>
      </c>
      <c r="AO8" s="15"/>
      <c r="AP8" s="16"/>
      <c r="AQ8" s="16"/>
      <c r="AU8"/>
      <c r="AV8"/>
      <c r="AW8"/>
      <c r="AX8"/>
      <c r="AY8"/>
      <c r="BC8"/>
      <c r="BD8"/>
      <c r="BE8"/>
    </row>
    <row r="9" spans="1:85" ht="16" thickBot="1">
      <c r="A9" s="57">
        <v>2</v>
      </c>
      <c r="B9" s="205" t="s">
        <v>55</v>
      </c>
      <c r="C9" s="339">
        <v>9999999</v>
      </c>
      <c r="D9" s="206">
        <v>2500</v>
      </c>
      <c r="E9" s="977">
        <f>Parameters!Q2</f>
        <v>25900</v>
      </c>
      <c r="F9" s="977">
        <f>Parameters!X2</f>
        <v>1400</v>
      </c>
      <c r="G9" s="207">
        <v>2</v>
      </c>
      <c r="H9" s="206">
        <f>Parameters!CX2</f>
        <v>250000</v>
      </c>
      <c r="I9" s="339">
        <v>9999999</v>
      </c>
      <c r="J9" s="860">
        <f>Parameters!BL2</f>
        <v>400000</v>
      </c>
      <c r="K9" s="344">
        <v>160000</v>
      </c>
      <c r="L9" s="864">
        <f>Parameters!AK2</f>
        <v>10000</v>
      </c>
      <c r="M9" s="734">
        <v>140000</v>
      </c>
      <c r="N9" s="346">
        <v>30000</v>
      </c>
      <c r="O9" s="16" t="s">
        <v>83</v>
      </c>
      <c r="P9" s="16"/>
      <c r="Q9" s="16">
        <v>0</v>
      </c>
      <c r="S9" s="738">
        <f>'Input &amp; Results'!H16*(1-S14)</f>
        <v>100000</v>
      </c>
      <c r="T9" s="19" t="s">
        <v>189</v>
      </c>
      <c r="U9" s="22">
        <f>IF('Kiddie Tax'!D9=1,'Kiddie Tax'!E47,V9)</f>
        <v>25359.606895999998</v>
      </c>
      <c r="V9" s="29">
        <f>IF(U7&gt;=V6,V7,ROUND(V8,0))</f>
        <v>25359.606895999998</v>
      </c>
      <c r="W9" s="754" t="s">
        <v>661</v>
      </c>
      <c r="X9" s="754"/>
      <c r="Y9" s="752">
        <f>CTC!D27</f>
        <v>3000</v>
      </c>
      <c r="Z9" s="752">
        <f>CTC!D58</f>
        <v>0</v>
      </c>
      <c r="AA9" s="753">
        <f t="shared" si="0"/>
        <v>3000</v>
      </c>
      <c r="AE9" s="996" t="s">
        <v>30</v>
      </c>
      <c r="AF9" s="1014">
        <v>3</v>
      </c>
      <c r="AG9" s="1015" t="s">
        <v>187</v>
      </c>
      <c r="AH9" s="1014"/>
      <c r="AI9" s="1014"/>
      <c r="AM9" s="50" t="e" vm="2">
        <f>AM6+W40</f>
        <v>#VALUE!</v>
      </c>
      <c r="AN9" s="20" t="s">
        <v>53</v>
      </c>
      <c r="AO9" s="15"/>
      <c r="AP9" s="16"/>
      <c r="AQ9" s="16"/>
      <c r="AU9"/>
      <c r="AV9"/>
      <c r="AW9"/>
      <c r="AX9"/>
      <c r="AY9"/>
      <c r="BC9"/>
      <c r="BD9"/>
      <c r="BE9"/>
      <c r="BW9" s="16">
        <v>0</v>
      </c>
      <c r="BX9" s="16">
        <v>0</v>
      </c>
      <c r="BY9" s="16">
        <v>0</v>
      </c>
      <c r="BZ9" s="16">
        <v>0</v>
      </c>
      <c r="CA9" s="16">
        <v>0</v>
      </c>
      <c r="CB9" s="16">
        <v>0</v>
      </c>
      <c r="CC9" s="16">
        <v>0</v>
      </c>
      <c r="CD9" s="16">
        <v>0</v>
      </c>
      <c r="CE9" s="16">
        <v>0</v>
      </c>
      <c r="CF9" s="16">
        <v>0</v>
      </c>
      <c r="CG9" s="16">
        <v>0</v>
      </c>
    </row>
    <row r="10" spans="1:85" ht="15.5">
      <c r="A10" s="57">
        <v>3</v>
      </c>
      <c r="B10" s="205" t="s">
        <v>11</v>
      </c>
      <c r="C10" s="339">
        <v>9999999</v>
      </c>
      <c r="D10" s="206">
        <v>1250</v>
      </c>
      <c r="E10" s="977">
        <f>Parameters!S2</f>
        <v>12950</v>
      </c>
      <c r="F10" s="977">
        <f>F9</f>
        <v>1400</v>
      </c>
      <c r="G10" s="207">
        <v>1</v>
      </c>
      <c r="H10" s="206">
        <f>Parameters!CY2</f>
        <v>125000</v>
      </c>
      <c r="I10" s="339">
        <v>9999999</v>
      </c>
      <c r="J10" s="860">
        <f>Parameters!BM2</f>
        <v>200000</v>
      </c>
      <c r="K10" s="344">
        <v>0</v>
      </c>
      <c r="L10" s="864">
        <f>Parameters!AL2</f>
        <v>5000</v>
      </c>
      <c r="M10" s="734">
        <f t="shared" ref="M10:N12" si="1">M$8</f>
        <v>70000</v>
      </c>
      <c r="N10" s="346">
        <f t="shared" si="1"/>
        <v>15000</v>
      </c>
      <c r="O10" s="96" t="s">
        <v>82</v>
      </c>
      <c r="P10" s="16"/>
      <c r="Q10" s="16">
        <v>1</v>
      </c>
      <c r="S10" s="738">
        <f>'Input &amp; Results'!H17*(1-S15)</f>
        <v>40000</v>
      </c>
      <c r="T10" s="19" t="s">
        <v>717</v>
      </c>
      <c r="U10" s="22">
        <f>Y8</f>
        <v>3000</v>
      </c>
      <c r="V10" s="877"/>
      <c r="W10" s="754" t="s">
        <v>2</v>
      </c>
      <c r="X10" s="754"/>
      <c r="Y10" s="752">
        <f>J88</f>
        <v>0</v>
      </c>
      <c r="Z10" s="752"/>
      <c r="AA10" s="753">
        <f t="shared" si="0"/>
        <v>0</v>
      </c>
      <c r="AE10" s="993"/>
      <c r="AF10" s="993">
        <f>AF8-AE8</f>
        <v>-2</v>
      </c>
      <c r="AG10" s="997" t="s">
        <v>276</v>
      </c>
      <c r="AH10" s="993"/>
      <c r="AI10" s="993"/>
      <c r="AU10"/>
      <c r="AV10"/>
      <c r="AW10"/>
      <c r="AX10"/>
      <c r="AY10"/>
      <c r="BC10"/>
      <c r="BD10"/>
      <c r="BE10"/>
      <c r="BW10" s="16">
        <v>1</v>
      </c>
      <c r="BX10" s="16">
        <v>1</v>
      </c>
      <c r="BY10" s="16">
        <v>1</v>
      </c>
      <c r="BZ10" s="16">
        <v>1</v>
      </c>
      <c r="CA10" s="16">
        <v>1</v>
      </c>
      <c r="CB10" s="16">
        <v>1</v>
      </c>
      <c r="CC10" s="16">
        <v>1</v>
      </c>
      <c r="CD10" s="16">
        <v>1</v>
      </c>
      <c r="CE10" s="16">
        <v>1</v>
      </c>
      <c r="CF10" s="16">
        <v>1</v>
      </c>
    </row>
    <row r="11" spans="1:85" ht="15.5">
      <c r="A11" s="57">
        <v>4</v>
      </c>
      <c r="B11" s="205" t="s">
        <v>725</v>
      </c>
      <c r="C11" s="339">
        <v>9999999</v>
      </c>
      <c r="D11" s="206">
        <v>2500</v>
      </c>
      <c r="E11" s="977">
        <f>Parameters!R2</f>
        <v>19400</v>
      </c>
      <c r="F11" s="977">
        <f>F8</f>
        <v>1750</v>
      </c>
      <c r="G11" s="207">
        <v>3</v>
      </c>
      <c r="H11" s="206">
        <f>H8</f>
        <v>200000</v>
      </c>
      <c r="I11" s="339">
        <v>9999999</v>
      </c>
      <c r="J11" s="860">
        <f>J8</f>
        <v>200000</v>
      </c>
      <c r="K11" s="344">
        <f>K8</f>
        <v>80000</v>
      </c>
      <c r="L11" s="864">
        <f>Parameters!AK2</f>
        <v>10000</v>
      </c>
      <c r="M11" s="734">
        <f t="shared" si="1"/>
        <v>70000</v>
      </c>
      <c r="N11" s="346">
        <f t="shared" si="1"/>
        <v>15000</v>
      </c>
      <c r="O11" s="16"/>
      <c r="P11" s="16"/>
      <c r="Q11" s="16">
        <v>2</v>
      </c>
      <c r="S11" s="738">
        <f>'Input &amp; Results'!H26*(1-S16)</f>
        <v>0</v>
      </c>
      <c r="T11" s="28" t="s">
        <v>3</v>
      </c>
      <c r="U11" s="22">
        <f>MAX(U9-U10,0)</f>
        <v>22359.606895999998</v>
      </c>
      <c r="V11" s="280"/>
      <c r="W11" s="754" t="s">
        <v>719</v>
      </c>
      <c r="X11" s="754"/>
      <c r="Y11" s="752">
        <f>'Ed''n Credits'!F36</f>
        <v>0</v>
      </c>
      <c r="Z11" s="752">
        <f>'Ed''n Credits'!F13</f>
        <v>0</v>
      </c>
      <c r="AA11" s="753">
        <f t="shared" si="0"/>
        <v>0</v>
      </c>
      <c r="AC11" s="97">
        <v>2000</v>
      </c>
      <c r="AD11" s="335">
        <v>4000</v>
      </c>
      <c r="AG11" s="16">
        <f t="shared" ref="AG11:BA11" si="2">IF(OR(AF11=1,AF11=2),2,IF(AG17=MIN($AG$17:$AQ$17),1,0))</f>
        <v>1</v>
      </c>
      <c r="AH11" s="16">
        <f t="shared" si="2"/>
        <v>2</v>
      </c>
      <c r="AI11" s="16">
        <f t="shared" si="2"/>
        <v>2</v>
      </c>
      <c r="AJ11" s="16">
        <f t="shared" si="2"/>
        <v>2</v>
      </c>
      <c r="AK11" s="16">
        <f t="shared" si="2"/>
        <v>2</v>
      </c>
      <c r="AL11" s="16">
        <f t="shared" si="2"/>
        <v>2</v>
      </c>
      <c r="AM11" s="16">
        <f t="shared" si="2"/>
        <v>2</v>
      </c>
      <c r="AN11" s="16">
        <f t="shared" si="2"/>
        <v>2</v>
      </c>
      <c r="AO11" s="16">
        <f t="shared" si="2"/>
        <v>2</v>
      </c>
      <c r="AP11" s="16">
        <f t="shared" si="2"/>
        <v>2</v>
      </c>
      <c r="AQ11" s="16">
        <f t="shared" si="2"/>
        <v>2</v>
      </c>
      <c r="AR11" s="16">
        <f t="shared" si="2"/>
        <v>2</v>
      </c>
      <c r="AS11" s="16">
        <f t="shared" si="2"/>
        <v>2</v>
      </c>
      <c r="AT11" s="16">
        <f t="shared" si="2"/>
        <v>2</v>
      </c>
      <c r="AU11" s="16">
        <f t="shared" si="2"/>
        <v>2</v>
      </c>
      <c r="AV11" s="16">
        <f t="shared" si="2"/>
        <v>2</v>
      </c>
      <c r="AW11" s="16">
        <f t="shared" si="2"/>
        <v>2</v>
      </c>
      <c r="AX11" s="16">
        <f t="shared" si="2"/>
        <v>2</v>
      </c>
      <c r="AY11" s="16">
        <f t="shared" si="2"/>
        <v>2</v>
      </c>
      <c r="AZ11" s="16">
        <f t="shared" si="2"/>
        <v>2</v>
      </c>
      <c r="BA11" s="16">
        <f t="shared" si="2"/>
        <v>2</v>
      </c>
      <c r="BC11"/>
      <c r="BD11"/>
      <c r="BE11"/>
      <c r="BW11" s="16">
        <v>2</v>
      </c>
      <c r="BX11" s="16">
        <v>2</v>
      </c>
      <c r="BY11" s="16">
        <v>2</v>
      </c>
      <c r="BZ11" s="16">
        <v>2</v>
      </c>
      <c r="CA11" s="16">
        <v>2</v>
      </c>
      <c r="CB11" s="16">
        <v>2</v>
      </c>
      <c r="CC11" s="16">
        <v>2</v>
      </c>
      <c r="CD11" s="16">
        <v>2</v>
      </c>
      <c r="CE11" s="16">
        <v>2</v>
      </c>
      <c r="CF11" s="16"/>
    </row>
    <row r="12" spans="1:85" ht="16" thickBot="1">
      <c r="A12" s="58">
        <v>5</v>
      </c>
      <c r="B12" s="208" t="s">
        <v>726</v>
      </c>
      <c r="C12" s="340">
        <v>9999999</v>
      </c>
      <c r="D12" s="209">
        <v>2500</v>
      </c>
      <c r="E12" s="978">
        <f>E8</f>
        <v>12950</v>
      </c>
      <c r="F12" s="978">
        <f>F9</f>
        <v>1400</v>
      </c>
      <c r="G12" s="210">
        <v>2</v>
      </c>
      <c r="H12" s="209">
        <f>H8</f>
        <v>200000</v>
      </c>
      <c r="I12" s="340">
        <v>9999999</v>
      </c>
      <c r="J12" s="861">
        <f>J8</f>
        <v>200000</v>
      </c>
      <c r="K12" s="345">
        <f>K9</f>
        <v>160000</v>
      </c>
      <c r="L12" s="865">
        <f>Parameters!AK2</f>
        <v>10000</v>
      </c>
      <c r="M12" s="735">
        <f t="shared" si="1"/>
        <v>70000</v>
      </c>
      <c r="N12" s="347">
        <f t="shared" si="1"/>
        <v>15000</v>
      </c>
      <c r="O12" s="16"/>
      <c r="P12" s="16">
        <f>MIN('Input &amp; Results'!H16:H18)</f>
        <v>40000</v>
      </c>
      <c r="Q12" s="16">
        <v>3</v>
      </c>
      <c r="S12" s="738">
        <f>'Input &amp; Results'!H27*(1-S17)</f>
        <v>0</v>
      </c>
      <c r="T12" s="337" t="s">
        <v>239</v>
      </c>
      <c r="U12" s="22">
        <f>MAX(SUM('Input &amp; Results'!H13:H19,'Input &amp; Results'!H23:H29)+SUM('Input &amp; Results'!O31:O32,'Input &amp; Results'!O38:O39)-SUM('Input &amp; Results'!N31:N32,'Input &amp; Results'!N38:N39)-VLOOKUP(P5,A8:H12,8),0)*H7</f>
        <v>0</v>
      </c>
      <c r="V12" s="280"/>
      <c r="W12" s="754" t="s">
        <v>720</v>
      </c>
      <c r="X12" s="754"/>
      <c r="Y12" s="752"/>
      <c r="Z12" s="752"/>
      <c r="AA12" s="753"/>
      <c r="AC12" s="97">
        <v>5000</v>
      </c>
      <c r="AD12" s="5" t="s">
        <v>208</v>
      </c>
      <c r="AG12" s="16">
        <v>0</v>
      </c>
      <c r="AH12" s="16">
        <v>1</v>
      </c>
      <c r="AI12" s="16">
        <v>2</v>
      </c>
      <c r="AJ12" s="16">
        <v>3</v>
      </c>
      <c r="AK12" s="16">
        <v>4</v>
      </c>
      <c r="AL12" s="16">
        <v>5</v>
      </c>
      <c r="AM12" s="16">
        <v>6</v>
      </c>
      <c r="AN12" s="16">
        <v>7</v>
      </c>
      <c r="AO12" s="16">
        <v>8</v>
      </c>
      <c r="AP12" s="16">
        <v>9</v>
      </c>
      <c r="AQ12" s="16">
        <v>10</v>
      </c>
      <c r="AR12" s="16">
        <v>11</v>
      </c>
      <c r="AS12" s="16">
        <v>12</v>
      </c>
      <c r="AT12" s="16">
        <v>13</v>
      </c>
      <c r="AU12" s="16">
        <v>14</v>
      </c>
      <c r="AV12" s="16">
        <v>15</v>
      </c>
      <c r="AW12" s="16">
        <v>16</v>
      </c>
      <c r="AX12" s="16">
        <v>17</v>
      </c>
      <c r="AY12" s="16">
        <v>18</v>
      </c>
      <c r="AZ12" s="16">
        <v>19</v>
      </c>
      <c r="BA12" s="16">
        <v>20</v>
      </c>
      <c r="BC12"/>
      <c r="BD12"/>
      <c r="BE12"/>
      <c r="BW12" s="16">
        <v>3</v>
      </c>
      <c r="BX12" s="16">
        <v>3</v>
      </c>
      <c r="BY12" s="16">
        <v>3</v>
      </c>
      <c r="BZ12" s="16">
        <v>3</v>
      </c>
      <c r="CA12" s="16">
        <v>3</v>
      </c>
      <c r="CB12" s="16">
        <v>3</v>
      </c>
      <c r="CC12" s="16">
        <v>3</v>
      </c>
      <c r="CD12" s="16">
        <v>3</v>
      </c>
      <c r="CE12" s="16"/>
      <c r="CF12" s="16"/>
    </row>
    <row r="13" spans="1:85" ht="13.5" thickBot="1">
      <c r="B13" s="211"/>
      <c r="C13" s="211"/>
      <c r="D13" s="211"/>
      <c r="E13" s="211"/>
      <c r="F13" s="211"/>
      <c r="G13" s="211">
        <v>1</v>
      </c>
      <c r="H13" s="211">
        <v>2</v>
      </c>
      <c r="I13" s="211">
        <v>3</v>
      </c>
      <c r="J13" s="211">
        <v>4</v>
      </c>
      <c r="O13" s="16"/>
      <c r="P13" s="16">
        <v>1</v>
      </c>
      <c r="Q13" s="16">
        <v>4</v>
      </c>
      <c r="S13" s="686" t="s">
        <v>232</v>
      </c>
      <c r="T13" s="337" t="s">
        <v>380</v>
      </c>
      <c r="U13" s="22">
        <f>'S.E. Tax'!C11+'S.E. Tax'!D11</f>
        <v>423.88649999999996</v>
      </c>
      <c r="V13" s="280"/>
      <c r="W13" s="754" t="s">
        <v>179</v>
      </c>
      <c r="X13" s="754"/>
      <c r="Y13" s="752"/>
      <c r="Z13" s="752">
        <f>EITC!E42</f>
        <v>0</v>
      </c>
      <c r="AA13" s="753">
        <f t="shared" si="0"/>
        <v>0</v>
      </c>
      <c r="AU13"/>
      <c r="AV13"/>
      <c r="AW13"/>
      <c r="AX13"/>
      <c r="AY13"/>
      <c r="BC13"/>
      <c r="BD13"/>
      <c r="BE13"/>
      <c r="BW13" s="16">
        <v>4</v>
      </c>
      <c r="BX13" s="16">
        <v>4</v>
      </c>
      <c r="BY13" s="16">
        <v>4</v>
      </c>
      <c r="BZ13" s="16">
        <v>4</v>
      </c>
      <c r="CA13" s="16">
        <v>4</v>
      </c>
      <c r="CB13" s="16">
        <v>4</v>
      </c>
      <c r="CC13" s="16">
        <v>4</v>
      </c>
      <c r="CD13" s="16"/>
      <c r="CE13" s="16"/>
      <c r="CF13" s="16"/>
    </row>
    <row r="14" spans="1:85" ht="13" thickBot="1">
      <c r="D14" s="211"/>
      <c r="E14" s="205" t="s">
        <v>197</v>
      </c>
      <c r="F14" s="211"/>
      <c r="G14" s="212">
        <f t="shared" ref="G14:H17" si="3">$E8+G$13*$F8</f>
        <v>14700</v>
      </c>
      <c r="H14" s="212">
        <f t="shared" si="3"/>
        <v>16450</v>
      </c>
      <c r="I14" s="212"/>
      <c r="J14" s="212"/>
      <c r="N14" s="16">
        <v>1</v>
      </c>
      <c r="O14" s="82" t="s">
        <v>456</v>
      </c>
      <c r="P14" s="83">
        <f>'Input &amp; Results'!H16-SUM('Input &amp; Results'!M31:N31)</f>
        <v>100000</v>
      </c>
      <c r="Q14" s="88">
        <v>1</v>
      </c>
      <c r="R14" s="729">
        <f>VLOOKUP(Q14,$O$43:$P$46,2)</f>
        <v>1</v>
      </c>
      <c r="S14" s="687" t="b">
        <f>'Input &amp; Results'!J16</f>
        <v>0</v>
      </c>
      <c r="T14" s="807" t="s">
        <v>718</v>
      </c>
      <c r="U14" s="463">
        <f>Z8</f>
        <v>0</v>
      </c>
      <c r="W14" s="754" t="s">
        <v>73</v>
      </c>
      <c r="X14" s="754"/>
      <c r="Y14" s="752">
        <f>'Input &amp; Results'!H42</f>
        <v>0</v>
      </c>
      <c r="Z14" s="752"/>
      <c r="AA14" s="753">
        <f t="shared" si="0"/>
        <v>0</v>
      </c>
      <c r="AU14"/>
      <c r="AV14"/>
      <c r="AW14"/>
      <c r="AX14"/>
      <c r="AY14"/>
      <c r="BC14"/>
      <c r="BD14"/>
      <c r="BE14"/>
      <c r="BW14" s="16">
        <v>5</v>
      </c>
      <c r="BX14" s="16">
        <v>5</v>
      </c>
      <c r="BY14" s="16">
        <v>5</v>
      </c>
      <c r="BZ14" s="16">
        <v>5</v>
      </c>
      <c r="CA14" s="16">
        <v>5</v>
      </c>
      <c r="CB14" s="16">
        <v>5</v>
      </c>
      <c r="CC14" s="16"/>
      <c r="CD14" s="16"/>
      <c r="CE14" s="16"/>
      <c r="CF14" s="16"/>
    </row>
    <row r="15" spans="1:85" ht="16" thickBot="1">
      <c r="D15" s="211"/>
      <c r="E15" s="205" t="s">
        <v>55</v>
      </c>
      <c r="F15" s="211"/>
      <c r="G15" s="212">
        <f t="shared" si="3"/>
        <v>27300</v>
      </c>
      <c r="H15" s="212">
        <f t="shared" si="3"/>
        <v>28700</v>
      </c>
      <c r="I15" s="212">
        <f>$E9+I$13*$F9</f>
        <v>30100</v>
      </c>
      <c r="J15" s="212">
        <f>$E9+J$13*$F9</f>
        <v>31500</v>
      </c>
      <c r="N15" s="16">
        <v>2</v>
      </c>
      <c r="O15" s="84" t="s">
        <v>459</v>
      </c>
      <c r="P15" s="85">
        <f>'Input &amp; Results'!H17+'Input &amp; Results'!O32-SUM('Input &amp; Results'!M32:N32)</f>
        <v>40000</v>
      </c>
      <c r="Q15" s="88">
        <v>2</v>
      </c>
      <c r="R15" s="173">
        <f>VLOOKUP(Q15,$O$43:$P$46,2)</f>
        <v>1</v>
      </c>
      <c r="S15" s="687" t="b">
        <f>'Input &amp; Results'!J17</f>
        <v>0</v>
      </c>
      <c r="T15" s="464" t="s">
        <v>240</v>
      </c>
      <c r="U15" s="465">
        <f>SUM(U11:U13)-U14</f>
        <v>22783.493395999998</v>
      </c>
      <c r="V15" s="654"/>
      <c r="W15" s="827" t="s">
        <v>734</v>
      </c>
      <c r="X15" s="827"/>
      <c r="Y15" s="827"/>
      <c r="Z15" s="828"/>
      <c r="AA15" s="829">
        <f>U17-IF('Input &amp; Results'!H13&gt;0,'Input &amp; Results'!E46,0)-IF('Input &amp; Results'!H16&gt;0,'Input &amp; Results'!F46,0)-IF('Input &amp; Results'!H16&gt;0,'Input &amp; Results'!F47*S43,0)-IF('Input &amp; Results'!H17&gt;0,'Input &amp; Results'!G46,0)-IF('Input &amp; Results'!H17&gt;0,'Input &amp; Results'!G47*S44,0)-IF('Input &amp; Results'!H23&gt;0,'Input &amp; Results'!N46,0)-IF('Input &amp; Results'!H26&gt;0,'Input &amp; Results'!O46,0)-IF('Input &amp; Results'!H26&gt;0,'Input &amp; Results'!O47*S45,0)-IF('Input &amp; Results'!H27&gt;0,'Input &amp; Results'!P46,0)-IF('Input &amp; Results'!H27&gt;0,'Input &amp; Results'!P47*S46,0)-'Input &amp; Results'!C50-'Input &amp; Results'!M50-IF('Input &amp; Results'!H19&gt;0,'Input &amp; Results'!F19,0)-IF('Input &amp; Results'!H29&gt;0,'Input &amp; Results'!F29,0)</f>
        <v>7183.493395999998</v>
      </c>
      <c r="AC15" s="981">
        <v>1</v>
      </c>
      <c r="AD15" s="982" t="s">
        <v>383</v>
      </c>
      <c r="AE15"/>
      <c r="AF15" s="987" t="s">
        <v>547</v>
      </c>
      <c r="AG15" s="988">
        <v>0.05</v>
      </c>
      <c r="AH15"/>
      <c r="AI15"/>
      <c r="AJ15"/>
      <c r="AK15"/>
      <c r="AL15"/>
      <c r="AM15"/>
      <c r="AN15"/>
      <c r="AO15"/>
      <c r="AP15"/>
      <c r="AQ15"/>
      <c r="AR15"/>
      <c r="AS15"/>
      <c r="AT15"/>
      <c r="AU15"/>
      <c r="AV15"/>
      <c r="AW15"/>
      <c r="AX15"/>
      <c r="AY15"/>
      <c r="AZ15"/>
      <c r="BA15"/>
      <c r="BC15"/>
      <c r="BD15"/>
      <c r="BE15"/>
      <c r="BW15" s="16">
        <v>6</v>
      </c>
      <c r="BX15" s="16">
        <v>6</v>
      </c>
      <c r="BY15" s="16">
        <v>6</v>
      </c>
      <c r="BZ15" s="16">
        <v>6</v>
      </c>
      <c r="CA15" s="16">
        <v>6</v>
      </c>
      <c r="CB15" s="16"/>
      <c r="CC15" s="16"/>
      <c r="CD15" s="16"/>
      <c r="CE15" s="16"/>
      <c r="CF15" s="16"/>
    </row>
    <row r="16" spans="1:85">
      <c r="D16" s="211"/>
      <c r="E16" s="205" t="s">
        <v>11</v>
      </c>
      <c r="F16" s="211"/>
      <c r="G16" s="212">
        <f t="shared" si="3"/>
        <v>14350</v>
      </c>
      <c r="H16" s="212">
        <f t="shared" si="3"/>
        <v>15750</v>
      </c>
      <c r="I16" s="212">
        <f>$E10+I$13*$F10</f>
        <v>17150</v>
      </c>
      <c r="J16" s="212">
        <f>$E10+J$13*$F10</f>
        <v>18550</v>
      </c>
      <c r="N16" s="16">
        <v>3</v>
      </c>
      <c r="O16" s="84" t="s">
        <v>460</v>
      </c>
      <c r="P16" s="85">
        <f>'Input &amp; Results'!H26+'Input &amp; Results'!O38-SUM('Input &amp; Results'!M38:N38)</f>
        <v>0</v>
      </c>
      <c r="Q16" s="88">
        <v>3</v>
      </c>
      <c r="R16" s="173">
        <f>VLOOKUP(Q16,$O$43:$P$46,2)</f>
        <v>2.7397260273972603E-3</v>
      </c>
      <c r="S16" s="687" t="b">
        <f>'Input &amp; Results'!J26</f>
        <v>0</v>
      </c>
      <c r="T16" s="279" t="s">
        <v>384</v>
      </c>
      <c r="U16" s="280">
        <f>IF('Input &amp; Results'!Q29=0,'Input &amp; Results'!Q28,'Input &amp; Results'!Q29)</f>
        <v>0</v>
      </c>
      <c r="V16" s="12"/>
      <c r="W16" s="827" t="s">
        <v>735</v>
      </c>
      <c r="X16" s="827"/>
      <c r="Y16" s="827"/>
      <c r="Z16" s="828"/>
      <c r="AA16" s="829">
        <f>AA15*V3</f>
        <v>6911.9524085223347</v>
      </c>
      <c r="AC16" s="983">
        <v>0</v>
      </c>
      <c r="AD16" s="984">
        <v>0</v>
      </c>
      <c r="AE16"/>
      <c r="AF16" s="989" t="s">
        <v>548</v>
      </c>
      <c r="AG16" s="990">
        <v>1000</v>
      </c>
      <c r="AH16"/>
      <c r="AI16"/>
      <c r="AJ16"/>
      <c r="AK16"/>
      <c r="AL16"/>
      <c r="AM16"/>
      <c r="AN16"/>
      <c r="AO16"/>
      <c r="AP16"/>
      <c r="AQ16"/>
      <c r="AR16"/>
      <c r="AS16"/>
      <c r="AT16"/>
      <c r="AU16"/>
      <c r="AV16"/>
      <c r="AW16"/>
      <c r="AX16"/>
      <c r="AY16"/>
      <c r="AZ16"/>
      <c r="BA16"/>
      <c r="BC16"/>
      <c r="BD16"/>
      <c r="BE16"/>
      <c r="BW16" s="16">
        <v>7</v>
      </c>
      <c r="BX16" s="16">
        <v>7</v>
      </c>
      <c r="BY16" s="16">
        <v>7</v>
      </c>
      <c r="BZ16" s="16">
        <v>7</v>
      </c>
      <c r="CA16" s="16"/>
      <c r="CB16" s="16"/>
      <c r="CC16" s="16"/>
      <c r="CD16" s="16"/>
      <c r="CE16" s="16"/>
      <c r="CF16" s="16"/>
    </row>
    <row r="17" spans="1:84" ht="16" thickBot="1">
      <c r="D17" s="211"/>
      <c r="E17" s="205" t="s">
        <v>199</v>
      </c>
      <c r="F17" s="211"/>
      <c r="G17" s="212">
        <f t="shared" si="3"/>
        <v>21150</v>
      </c>
      <c r="H17" s="212">
        <f t="shared" si="3"/>
        <v>22900</v>
      </c>
      <c r="I17" s="212"/>
      <c r="J17" s="212"/>
      <c r="N17" s="16">
        <v>4</v>
      </c>
      <c r="O17" s="86" t="s">
        <v>461</v>
      </c>
      <c r="P17" s="87">
        <f>'Input &amp; Results'!H27+'Input &amp; Results'!O39-SUM('Input &amp; Results'!M39:N39)</f>
        <v>0</v>
      </c>
      <c r="Q17" s="88">
        <v>4</v>
      </c>
      <c r="R17" s="174">
        <f>VLOOKUP(Q17,$O$43:$P$46,2)</f>
        <v>2.7397260273972603E-3</v>
      </c>
      <c r="S17" s="687" t="b">
        <f>'Input &amp; Results'!J27</f>
        <v>0</v>
      </c>
      <c r="T17" s="464" t="s">
        <v>383</v>
      </c>
      <c r="U17" s="465">
        <f>U15+U16</f>
        <v>22783.493395999998</v>
      </c>
      <c r="V17" s="22"/>
      <c r="W17" s="827" t="s">
        <v>738</v>
      </c>
      <c r="X17" s="830"/>
      <c r="Y17" s="830"/>
      <c r="Z17" s="830"/>
      <c r="AA17" s="831">
        <f>AA53-SUM(U44:Y44)</f>
        <v>7183.4933960002381</v>
      </c>
      <c r="AC17" s="983">
        <v>1</v>
      </c>
      <c r="AD17" s="984">
        <f>AD16+AG$20</f>
        <v>250</v>
      </c>
      <c r="AE17"/>
      <c r="AF17" s="989" t="s">
        <v>549</v>
      </c>
      <c r="AG17" s="990">
        <v>5000</v>
      </c>
      <c r="AH17"/>
      <c r="AI17"/>
      <c r="AJ17"/>
      <c r="AK17"/>
      <c r="AL17"/>
      <c r="AM17"/>
      <c r="AN17"/>
      <c r="AO17"/>
      <c r="AP17"/>
      <c r="AQ17"/>
      <c r="AR17"/>
      <c r="AS17"/>
      <c r="AT17"/>
      <c r="AU17"/>
      <c r="AV17"/>
      <c r="AW17"/>
      <c r="AX17"/>
      <c r="AY17"/>
      <c r="AZ17"/>
      <c r="BA17"/>
      <c r="BC17"/>
      <c r="BD17"/>
      <c r="BE17"/>
      <c r="BW17" s="16">
        <v>8</v>
      </c>
      <c r="BX17" s="16">
        <v>8</v>
      </c>
      <c r="BY17" s="16">
        <v>8</v>
      </c>
      <c r="BZ17" s="16"/>
      <c r="CA17" s="16"/>
      <c r="CB17" s="16"/>
      <c r="CC17" s="16"/>
      <c r="CD17" s="16"/>
      <c r="CE17" s="16"/>
      <c r="CF17" s="16"/>
    </row>
    <row r="18" spans="1:84" ht="16" thickBot="1">
      <c r="D18" s="211"/>
      <c r="E18" s="211"/>
      <c r="F18" s="211"/>
      <c r="G18" s="211"/>
      <c r="H18" s="211"/>
      <c r="I18" s="211"/>
      <c r="J18" s="211"/>
      <c r="N18"/>
      <c r="O18"/>
      <c r="P18"/>
      <c r="Q18"/>
      <c r="R18" s="878">
        <f>19/52</f>
        <v>0.36538461538461536</v>
      </c>
      <c r="S18" s="24"/>
      <c r="T18" s="33"/>
      <c r="U18" s="1110" t="s">
        <v>209</v>
      </c>
      <c r="V18" s="1110"/>
      <c r="W18" s="1110"/>
      <c r="X18" s="533"/>
      <c r="Y18" s="834"/>
      <c r="Z18" s="217"/>
      <c r="AA18" s="835"/>
      <c r="AC18" s="983">
        <v>2</v>
      </c>
      <c r="AD18" s="984">
        <f t="shared" ref="AD18:AD36" si="4">AD17+AG$20</f>
        <v>500</v>
      </c>
      <c r="AE18"/>
      <c r="AF18" s="989" t="s">
        <v>550</v>
      </c>
      <c r="AG18" s="990">
        <f>U7</f>
        <v>131350.4454</v>
      </c>
      <c r="AH18"/>
      <c r="AI18"/>
      <c r="AJ18"/>
      <c r="AK18"/>
      <c r="AL18"/>
      <c r="AM18"/>
      <c r="AN18"/>
      <c r="AO18"/>
      <c r="AP18"/>
      <c r="AQ18"/>
      <c r="AR18"/>
      <c r="AS18"/>
      <c r="AT18"/>
      <c r="AU18"/>
      <c r="AV18"/>
      <c r="AW18"/>
      <c r="AX18"/>
      <c r="AY18"/>
      <c r="AZ18"/>
      <c r="BA18"/>
      <c r="BC18"/>
      <c r="BD18"/>
      <c r="BE18"/>
      <c r="BW18" s="16">
        <v>9</v>
      </c>
      <c r="BX18" s="16">
        <v>9</v>
      </c>
      <c r="BY18" s="16"/>
      <c r="BZ18" s="16"/>
      <c r="CA18" s="16"/>
      <c r="CB18" s="16"/>
      <c r="CC18" s="16"/>
      <c r="CD18" s="16"/>
      <c r="CE18" s="16"/>
      <c r="CF18" s="16"/>
    </row>
    <row r="19" spans="1:84" ht="16" thickBot="1">
      <c r="B19" s="211"/>
      <c r="C19" s="684" t="s">
        <v>555</v>
      </c>
      <c r="D19" s="685">
        <f>Parameters!BK2</f>
        <v>0.22</v>
      </c>
      <c r="E19" s="211"/>
      <c r="F19" s="211"/>
      <c r="G19" s="1124" t="s">
        <v>417</v>
      </c>
      <c r="H19" s="1117" t="s">
        <v>79</v>
      </c>
      <c r="I19" s="1118"/>
      <c r="J19" s="1119"/>
      <c r="N19"/>
      <c r="O19"/>
      <c r="P19"/>
      <c r="Q19"/>
      <c r="R19" s="149"/>
      <c r="S19" s="24"/>
      <c r="T19" s="28" t="s">
        <v>113</v>
      </c>
      <c r="U19" s="606" t="s">
        <v>456</v>
      </c>
      <c r="V19" s="606" t="s">
        <v>459</v>
      </c>
      <c r="W19" s="606" t="s">
        <v>460</v>
      </c>
      <c r="X19" s="606" t="s">
        <v>461</v>
      </c>
      <c r="Y19" s="89" t="s">
        <v>458</v>
      </c>
      <c r="Z19" s="34" t="s">
        <v>115</v>
      </c>
      <c r="AA19" s="13"/>
      <c r="AC19" s="983">
        <v>3</v>
      </c>
      <c r="AD19" s="984">
        <f t="shared" si="4"/>
        <v>750</v>
      </c>
      <c r="AE19"/>
      <c r="AF19" s="989" t="s">
        <v>551</v>
      </c>
      <c r="AG19" s="990">
        <f>MIN(MAX(ROUND(AG15*AG18,-3),AG16),AG17)</f>
        <v>5000</v>
      </c>
      <c r="AH19"/>
      <c r="AI19"/>
      <c r="AJ19"/>
      <c r="AK19"/>
      <c r="AL19"/>
      <c r="AM19"/>
      <c r="AN19"/>
      <c r="AO19"/>
      <c r="AP19"/>
      <c r="AQ19"/>
      <c r="AR19"/>
      <c r="AS19"/>
      <c r="AT19"/>
      <c r="AU19"/>
      <c r="AV19"/>
      <c r="AW19"/>
      <c r="AX19"/>
      <c r="AY19"/>
      <c r="AZ19"/>
      <c r="BA19"/>
      <c r="BC19"/>
      <c r="BD19"/>
      <c r="BE19"/>
      <c r="BW19" s="16">
        <v>10</v>
      </c>
    </row>
    <row r="20" spans="1:84" ht="16" thickBot="1">
      <c r="A20" s="33"/>
      <c r="B20" s="216" t="s">
        <v>79</v>
      </c>
      <c r="C20" s="217"/>
      <c r="D20" s="217"/>
      <c r="E20" s="218" t="s">
        <v>154</v>
      </c>
      <c r="F20" s="218" t="s">
        <v>74</v>
      </c>
      <c r="G20" s="1125"/>
      <c r="H20" s="219" t="s">
        <v>155</v>
      </c>
      <c r="I20" s="220"/>
      <c r="J20" s="221" t="str">
        <f>VLOOKUP(P5,A8:B12,2)</f>
        <v>Single</v>
      </c>
      <c r="O20" s="125"/>
      <c r="P20" s="176" t="s">
        <v>56</v>
      </c>
      <c r="Q20" s="176" t="s">
        <v>68</v>
      </c>
      <c r="R20" s="390" t="s">
        <v>554</v>
      </c>
      <c r="T20" s="19" t="s">
        <v>118</v>
      </c>
      <c r="U20" s="36">
        <f>$Q$5</f>
        <v>1</v>
      </c>
      <c r="V20" s="36">
        <f>$Q$5</f>
        <v>1</v>
      </c>
      <c r="W20" s="36">
        <f>$Q$5</f>
        <v>1</v>
      </c>
      <c r="X20" s="36">
        <f>$Q$5</f>
        <v>1</v>
      </c>
      <c r="Y20" s="36"/>
      <c r="Z20" s="12"/>
      <c r="AA20" s="13"/>
      <c r="AC20" s="983">
        <v>4</v>
      </c>
      <c r="AD20" s="984">
        <f t="shared" si="4"/>
        <v>1000</v>
      </c>
      <c r="AE20"/>
      <c r="AF20" s="989" t="s">
        <v>552</v>
      </c>
      <c r="AG20" s="990">
        <f>AG19/AG21</f>
        <v>250</v>
      </c>
      <c r="AH20"/>
      <c r="AI20"/>
      <c r="AJ20"/>
      <c r="AK20"/>
      <c r="AL20"/>
      <c r="AM20"/>
      <c r="AN20"/>
      <c r="AO20"/>
      <c r="AP20"/>
      <c r="AQ20"/>
      <c r="AR20"/>
      <c r="AS20"/>
      <c r="AT20"/>
      <c r="AU20"/>
      <c r="AV20"/>
      <c r="AW20"/>
      <c r="AX20"/>
      <c r="AY20"/>
      <c r="AZ20"/>
      <c r="BA20"/>
      <c r="BC20"/>
      <c r="BD20"/>
      <c r="BE20"/>
    </row>
    <row r="21" spans="1:84" ht="13" thickBot="1">
      <c r="A21" s="11"/>
      <c r="B21" s="222" t="s">
        <v>197</v>
      </c>
      <c r="C21" s="222" t="s">
        <v>80</v>
      </c>
      <c r="D21" s="222" t="s">
        <v>81</v>
      </c>
      <c r="E21" s="222" t="s">
        <v>52</v>
      </c>
      <c r="F21" s="222" t="s">
        <v>75</v>
      </c>
      <c r="G21" s="1125"/>
      <c r="H21" s="213"/>
      <c r="I21" s="222" t="s">
        <v>76</v>
      </c>
      <c r="J21" s="214" t="s">
        <v>226</v>
      </c>
      <c r="N21" s="16">
        <v>1</v>
      </c>
      <c r="O21" s="82" t="s">
        <v>456</v>
      </c>
      <c r="P21" s="83">
        <f>IF('Input &amp; Results'!H16&gt;0,'Input &amp; Results'!F46,0)</f>
        <v>10000</v>
      </c>
      <c r="Q21" s="83">
        <f>IF('Input &amp; Results'!H16&gt;0,'Input &amp; Results'!F47,0)</f>
        <v>600</v>
      </c>
      <c r="R21" s="83">
        <f>IF(S21=1,$D$19*'Input &amp; Results'!O31,0)</f>
        <v>0</v>
      </c>
      <c r="S21" s="681" t="b">
        <f>'Input &amp; Results'!P31</f>
        <v>0</v>
      </c>
      <c r="T21" s="19" t="s">
        <v>78</v>
      </c>
      <c r="U21" s="898">
        <f>MAX($P14,0)/R14</f>
        <v>100000</v>
      </c>
      <c r="V21" s="22">
        <f>IF(P15&gt;0,P15/R15,0)</f>
        <v>40000</v>
      </c>
      <c r="W21" s="22">
        <f>IF(P16&gt;0,P16/R16,0)</f>
        <v>0</v>
      </c>
      <c r="X21" s="22">
        <f>IF(P17&gt;0,P17/R17,0)</f>
        <v>0</v>
      </c>
      <c r="Y21" s="22" t="s">
        <v>767</v>
      </c>
      <c r="Z21" s="22">
        <f>SUM(U21:Y21)</f>
        <v>140000</v>
      </c>
      <c r="AA21" s="13"/>
      <c r="AC21" s="983">
        <v>5</v>
      </c>
      <c r="AD21" s="984">
        <f t="shared" si="4"/>
        <v>1250</v>
      </c>
      <c r="AE21"/>
      <c r="AF21" s="991" t="s">
        <v>553</v>
      </c>
      <c r="AG21" s="992">
        <v>20</v>
      </c>
      <c r="AH21"/>
      <c r="AI21"/>
      <c r="AJ21"/>
      <c r="AK21"/>
      <c r="AL21"/>
      <c r="AM21"/>
      <c r="AN21"/>
      <c r="AO21"/>
      <c r="AP21"/>
      <c r="AQ21"/>
      <c r="AR21"/>
      <c r="AS21"/>
      <c r="AT21"/>
      <c r="AU21"/>
      <c r="AV21"/>
      <c r="AW21"/>
      <c r="AX21"/>
      <c r="AY21"/>
      <c r="AZ21"/>
      <c r="BA21"/>
      <c r="BC21"/>
      <c r="BD21"/>
      <c r="BE21"/>
    </row>
    <row r="22" spans="1:84">
      <c r="A22" s="56"/>
      <c r="B22" s="224" t="s">
        <v>138</v>
      </c>
      <c r="C22" s="224" t="s">
        <v>138</v>
      </c>
      <c r="D22" s="224" t="s">
        <v>138</v>
      </c>
      <c r="E22" s="224" t="s">
        <v>138</v>
      </c>
      <c r="F22" s="224" t="s">
        <v>138</v>
      </c>
      <c r="G22" s="1125"/>
      <c r="H22" s="226" t="s">
        <v>138</v>
      </c>
      <c r="I22" s="224" t="s">
        <v>77</v>
      </c>
      <c r="J22" s="225" t="s">
        <v>95</v>
      </c>
      <c r="N22" s="16">
        <v>2</v>
      </c>
      <c r="O22" s="84" t="s">
        <v>459</v>
      </c>
      <c r="P22" s="85">
        <f>IF('Input &amp; Results'!H17&gt;0,'Input &amp; Results'!G46,0)</f>
        <v>4000</v>
      </c>
      <c r="Q22" s="85">
        <f>IF('Input &amp; Results'!H17&gt;0,'Input &amp; Results'!G47,0)</f>
        <v>400</v>
      </c>
      <c r="R22" s="85">
        <f>IF(S22=1,$D$19*'Input &amp; Results'!O32,0)</f>
        <v>0</v>
      </c>
      <c r="S22" s="968" t="b">
        <f>'Input &amp; Results'!P32</f>
        <v>0</v>
      </c>
      <c r="T22" s="19" t="s">
        <v>560</v>
      </c>
      <c r="U22" s="22">
        <f>IF($S14=0,VLOOKUP(U21,$I$36:$K$43,2)+VLOOKUP(U21,$I$36:$K$43,3)*(U21-VLOOKUP(U21,$I$36:$K$43,1)),VLOOKUP(U21,$B$69:$D$76,2)+VLOOKUP(U21,$B$69:$D$76,3)*(U21-VLOOKUP(U21,$B$69:$D$76,1)))</f>
        <v>14768</v>
      </c>
      <c r="V22" s="29">
        <f>IF($S15=0,VLOOKUP(V21,$I$36:$K$43,2)+VLOOKUP(V21,$I$36:$K$43,3)*(V21-VLOOKUP(V21,$I$36:$K$43,1)),VLOOKUP(V21,$B$69:$D$76,2)+VLOOKUP(V21,$B$69:$D$76,3)*(V21-VLOOKUP(V21,$B$69:$D$76,1)))</f>
        <v>3040.5</v>
      </c>
      <c r="W22" s="29">
        <f>IF($S16=0,VLOOKUP(W21,$I$36:$K$43,2)+VLOOKUP(W21,$I$36:$K$43,3)*(W21-VLOOKUP(W21,$I$36:$K$43,1)),VLOOKUP(W21,$B$69:$D$76,2)+VLOOKUP(W21,$B$69:$D$76,3)*(W21-VLOOKUP(W21,$B$69:$D$76,1)))</f>
        <v>0</v>
      </c>
      <c r="X22" s="29">
        <f>IF($S17=0,VLOOKUP(X21,$I$36:$K$43,2)+VLOOKUP(X21,$I$36:$K$43,3)*(X21-VLOOKUP(X21,$I$36:$K$43,1)),VLOOKUP(X21,$B$69:$D$76,2)+VLOOKUP(X21,$B$69:$D$76,3)*(X21-VLOOKUP(X21,$B$69:$D$76,1)))</f>
        <v>0</v>
      </c>
      <c r="Y22" s="29"/>
      <c r="Z22" s="22">
        <f>SUM(U22:Y22)</f>
        <v>17808.5</v>
      </c>
      <c r="AA22" s="293">
        <f>Z22*U48</f>
        <v>2178801.4807692305</v>
      </c>
      <c r="AC22" s="983">
        <v>6</v>
      </c>
      <c r="AD22" s="984">
        <f t="shared" si="4"/>
        <v>1500</v>
      </c>
      <c r="AE22"/>
      <c r="AH22"/>
      <c r="AI22"/>
      <c r="AJ22"/>
      <c r="AK22"/>
      <c r="AL22"/>
      <c r="AM22"/>
      <c r="AN22"/>
      <c r="AO22"/>
      <c r="AP22"/>
      <c r="AQ22"/>
      <c r="AR22"/>
      <c r="AS22"/>
      <c r="AT22"/>
      <c r="AU22"/>
      <c r="AV22"/>
      <c r="AW22"/>
      <c r="AX22"/>
      <c r="AY22"/>
      <c r="AZ22"/>
      <c r="BA22"/>
      <c r="BC22"/>
      <c r="BD22"/>
      <c r="BE22"/>
    </row>
    <row r="23" spans="1:84">
      <c r="A23" s="11"/>
      <c r="B23" s="120"/>
      <c r="C23" s="120"/>
      <c r="D23" s="120"/>
      <c r="E23" s="120"/>
      <c r="F23" s="120"/>
      <c r="G23" s="1125"/>
      <c r="H23" s="694"/>
      <c r="I23" s="120"/>
      <c r="J23" s="227"/>
      <c r="N23" s="16">
        <v>3</v>
      </c>
      <c r="O23" s="84" t="s">
        <v>460</v>
      </c>
      <c r="P23" s="85">
        <f>IF('Input &amp; Results'!H26&gt;0,'Input &amp; Results'!O46,0)</f>
        <v>0</v>
      </c>
      <c r="Q23" s="85">
        <f>IF('Input &amp; Results'!H26&gt;0,'Input &amp; Results'!O47,0)</f>
        <v>0</v>
      </c>
      <c r="R23" s="85">
        <f>IF(S23=1,$D$19*'Input &amp; Results'!O38,0)</f>
        <v>0</v>
      </c>
      <c r="S23" s="968" t="b">
        <f>'Input &amp; Results'!P38</f>
        <v>0</v>
      </c>
      <c r="T23" s="19" t="s">
        <v>575</v>
      </c>
      <c r="U23" s="917">
        <f>U22/U46</f>
        <v>568</v>
      </c>
      <c r="V23" s="175">
        <f>V22/V46</f>
        <v>253.375</v>
      </c>
      <c r="W23" s="175">
        <f>W22/W46</f>
        <v>0</v>
      </c>
      <c r="X23" s="175">
        <f>X22/X46</f>
        <v>0</v>
      </c>
      <c r="Y23" s="12"/>
      <c r="Z23" s="29">
        <f>IF(Z22&gt;U17,Z22-U17,0)</f>
        <v>0</v>
      </c>
      <c r="AA23" s="294">
        <f>AA22-U17</f>
        <v>2156017.9873732305</v>
      </c>
      <c r="AC23" s="983">
        <v>7</v>
      </c>
      <c r="AD23" s="984">
        <f t="shared" si="4"/>
        <v>1750</v>
      </c>
      <c r="AE23"/>
      <c r="AF23"/>
      <c r="AG23"/>
      <c r="AH23"/>
      <c r="AI23"/>
      <c r="AJ23"/>
      <c r="AK23"/>
      <c r="AL23"/>
      <c r="AM23"/>
      <c r="AN23"/>
      <c r="AO23"/>
      <c r="AP23"/>
      <c r="AQ23"/>
      <c r="AR23"/>
      <c r="AS23"/>
      <c r="AT23"/>
      <c r="AU23"/>
      <c r="AV23"/>
      <c r="AW23"/>
      <c r="AX23"/>
      <c r="AY23"/>
      <c r="AZ23"/>
      <c r="BA23"/>
      <c r="BC23"/>
      <c r="BD23"/>
      <c r="BE23"/>
    </row>
    <row r="24" spans="1:84" ht="13.5" thickBot="1">
      <c r="A24" s="11"/>
      <c r="B24" s="206">
        <v>0</v>
      </c>
      <c r="C24" s="206">
        <v>0</v>
      </c>
      <c r="D24" s="206">
        <v>0</v>
      </c>
      <c r="E24" s="206">
        <v>0</v>
      </c>
      <c r="F24" s="206">
        <v>0</v>
      </c>
      <c r="G24" s="1126"/>
      <c r="H24" s="229">
        <v>0</v>
      </c>
      <c r="I24" s="230">
        <f t="shared" ref="I24:I30" si="5">I23+$J23*(H24-H23)</f>
        <v>0</v>
      </c>
      <c r="J24" s="850">
        <v>0.1</v>
      </c>
      <c r="N24" s="207">
        <v>4</v>
      </c>
      <c r="O24" s="86" t="s">
        <v>461</v>
      </c>
      <c r="P24" s="87">
        <f>IF('Input &amp; Results'!H27&gt;0,'Input &amp; Results'!P46,0)</f>
        <v>0</v>
      </c>
      <c r="Q24" s="177">
        <f>IF('Input &amp; Results'!H27&gt;0,'Input &amp; Results'!P47,0)</f>
        <v>0</v>
      </c>
      <c r="R24" s="177">
        <f>IF(S24=1,$D$19*'Input &amp; Results'!O39,0)</f>
        <v>0</v>
      </c>
      <c r="S24" s="968" t="b">
        <f>'Input &amp; Results'!P39</f>
        <v>0</v>
      </c>
      <c r="T24" s="737"/>
      <c r="U24" s="175">
        <f>U23-U50/U46+U55</f>
        <v>1.8735971174493216</v>
      </c>
      <c r="V24" s="175">
        <f>U24-U23</f>
        <v>-566.12640288255068</v>
      </c>
      <c r="W24" s="12"/>
      <c r="X24" s="12"/>
      <c r="Y24" s="12"/>
      <c r="Z24" s="12"/>
      <c r="AA24" s="13"/>
      <c r="AC24" s="983">
        <v>8</v>
      </c>
      <c r="AD24" s="984">
        <f t="shared" si="4"/>
        <v>2000</v>
      </c>
      <c r="AE24"/>
      <c r="AF24"/>
      <c r="AG24"/>
      <c r="AH24"/>
      <c r="AI24"/>
      <c r="AJ24"/>
      <c r="AK24"/>
      <c r="AL24"/>
      <c r="AM24"/>
      <c r="AN24"/>
      <c r="AO24"/>
      <c r="AP24"/>
      <c r="AQ24"/>
      <c r="AR24"/>
      <c r="AS24"/>
      <c r="AT24"/>
      <c r="AU24"/>
      <c r="AV24"/>
      <c r="AW24"/>
      <c r="AX24"/>
      <c r="AY24"/>
      <c r="AZ24"/>
      <c r="BA24"/>
      <c r="BC24"/>
      <c r="BD24"/>
      <c r="BE24"/>
    </row>
    <row r="25" spans="1:84" ht="15.5">
      <c r="A25" s="57">
        <v>1</v>
      </c>
      <c r="B25" s="977">
        <f>Parameters!AW2</f>
        <v>10275</v>
      </c>
      <c r="C25" s="977">
        <f>Parameters!AW3</f>
        <v>20550</v>
      </c>
      <c r="D25" s="977">
        <f t="shared" ref="D25:D30" si="6">C25/2</f>
        <v>10275</v>
      </c>
      <c r="E25" s="977">
        <f>Parameters!AW5</f>
        <v>14650</v>
      </c>
      <c r="F25" s="977">
        <f t="shared" ref="F25:F30" si="7">C25</f>
        <v>20550</v>
      </c>
      <c r="G25" s="231">
        <v>1</v>
      </c>
      <c r="H25" s="229">
        <f>VLOOKUP(G25,$A$25:$F$30,Calculations!$P$5+1)</f>
        <v>10275</v>
      </c>
      <c r="I25" s="230">
        <f t="shared" si="5"/>
        <v>1027.5</v>
      </c>
      <c r="J25" s="850">
        <v>0.12</v>
      </c>
      <c r="M25" s="16"/>
      <c r="N25" s="16"/>
      <c r="O25" s="16"/>
      <c r="P25" s="150" t="s">
        <v>21</v>
      </c>
      <c r="Q25" s="152"/>
      <c r="R25" s="1120" t="s">
        <v>198</v>
      </c>
      <c r="S25" s="1121"/>
      <c r="T25" s="40" t="s">
        <v>39</v>
      </c>
      <c r="U25" s="12"/>
      <c r="V25" s="41" t="s">
        <v>112</v>
      </c>
      <c r="W25" s="41" t="s">
        <v>181</v>
      </c>
      <c r="X25" s="41"/>
      <c r="Y25" s="41"/>
      <c r="Z25" s="41" t="s">
        <v>213</v>
      </c>
      <c r="AA25" s="13"/>
      <c r="AC25" s="983">
        <v>9</v>
      </c>
      <c r="AD25" s="984">
        <f t="shared" si="4"/>
        <v>2250</v>
      </c>
      <c r="AE25"/>
      <c r="AF25"/>
      <c r="AG25"/>
      <c r="AH25"/>
      <c r="AI25"/>
      <c r="AJ25"/>
      <c r="AK25"/>
      <c r="AL25"/>
      <c r="AM25"/>
      <c r="AN25"/>
      <c r="AO25"/>
      <c r="AP25"/>
      <c r="AQ25"/>
      <c r="AR25"/>
      <c r="AS25"/>
      <c r="AT25"/>
      <c r="AU25"/>
      <c r="AV25"/>
      <c r="AW25"/>
      <c r="AX25"/>
      <c r="AY25"/>
      <c r="AZ25"/>
      <c r="BA25"/>
      <c r="BC25"/>
      <c r="BD25"/>
      <c r="BE25"/>
    </row>
    <row r="26" spans="1:84" ht="16" customHeight="1" thickBot="1">
      <c r="A26" s="57">
        <v>2</v>
      </c>
      <c r="B26" s="977">
        <f>Parameters!AX2</f>
        <v>41775</v>
      </c>
      <c r="C26" s="977">
        <f>Parameters!AX3</f>
        <v>83550</v>
      </c>
      <c r="D26" s="977">
        <f t="shared" si="6"/>
        <v>41775</v>
      </c>
      <c r="E26" s="977">
        <f>Parameters!AX5</f>
        <v>55900</v>
      </c>
      <c r="F26" s="977">
        <f t="shared" si="7"/>
        <v>83550</v>
      </c>
      <c r="G26" s="231">
        <v>2</v>
      </c>
      <c r="H26" s="229">
        <f>VLOOKUP(G26,$A$25:$F$30,Calculations!$P$5+1)</f>
        <v>41775</v>
      </c>
      <c r="I26" s="230">
        <f t="shared" si="5"/>
        <v>4807.5</v>
      </c>
      <c r="J26" s="850">
        <v>0.22</v>
      </c>
      <c r="M26" s="16"/>
      <c r="N26" s="16"/>
      <c r="O26" s="16"/>
      <c r="Q26" s="153">
        <f>U56</f>
        <v>0.82966769815988894</v>
      </c>
      <c r="R26" s="1122"/>
      <c r="S26" s="1123"/>
      <c r="T26" s="19" t="s">
        <v>57</v>
      </c>
      <c r="U26" s="654">
        <f>U22-U50</f>
        <v>48.713525053681224</v>
      </c>
      <c r="V26" s="42">
        <f>VLOOKUP(U21,$I$36:$K$44,3)</f>
        <v>0.22</v>
      </c>
      <c r="W26" s="22">
        <f>U21-VLOOKUP(U21,$I$36:$K$44,1)</f>
        <v>45275</v>
      </c>
      <c r="X26" s="41"/>
      <c r="Y26" s="22"/>
      <c r="Z26" s="22">
        <f>W26*V26</f>
        <v>9960.5</v>
      </c>
      <c r="AA26" s="13"/>
      <c r="AC26" s="983">
        <v>10</v>
      </c>
      <c r="AD26" s="984">
        <f t="shared" si="4"/>
        <v>2500</v>
      </c>
      <c r="AE26"/>
      <c r="AF26"/>
      <c r="AG26"/>
      <c r="AH26"/>
      <c r="AI26"/>
      <c r="AJ26"/>
      <c r="AK26"/>
      <c r="AL26"/>
      <c r="AM26"/>
      <c r="AN26"/>
      <c r="AO26"/>
      <c r="AP26"/>
      <c r="AQ26"/>
      <c r="AR26"/>
      <c r="AS26"/>
      <c r="AT26"/>
      <c r="AU26"/>
      <c r="AV26"/>
      <c r="AW26"/>
      <c r="AX26"/>
      <c r="AY26"/>
      <c r="AZ26"/>
      <c r="BA26"/>
      <c r="BC26"/>
      <c r="BD26"/>
      <c r="BE26"/>
    </row>
    <row r="27" spans="1:84" ht="15.5">
      <c r="A27" s="57">
        <v>3</v>
      </c>
      <c r="B27" s="977">
        <f>Parameters!AY2</f>
        <v>89075</v>
      </c>
      <c r="C27" s="977">
        <f>Parameters!AY3</f>
        <v>178150</v>
      </c>
      <c r="D27" s="977">
        <f t="shared" si="6"/>
        <v>89075</v>
      </c>
      <c r="E27" s="977">
        <f>Parameters!AY5</f>
        <v>89050</v>
      </c>
      <c r="F27" s="977">
        <f t="shared" si="7"/>
        <v>178150</v>
      </c>
      <c r="G27" s="231">
        <v>3</v>
      </c>
      <c r="H27" s="229">
        <f>VLOOKUP(G27,$A$25:$F$30,Calculations!$P$5+1)</f>
        <v>89075</v>
      </c>
      <c r="I27" s="230">
        <f t="shared" si="5"/>
        <v>15213.5</v>
      </c>
      <c r="J27" s="850">
        <v>0.24</v>
      </c>
      <c r="M27" s="16"/>
      <c r="N27" s="16"/>
      <c r="O27" s="16"/>
      <c r="Q27" s="153">
        <f>V56</f>
        <v>0.17033230184011106</v>
      </c>
      <c r="R27" s="33">
        <v>0</v>
      </c>
      <c r="S27" s="9">
        <v>25</v>
      </c>
      <c r="T27" s="19" t="s">
        <v>175</v>
      </c>
      <c r="U27" s="898">
        <f>P14/S37</f>
        <v>31.436655139893116</v>
      </c>
      <c r="V27" s="42">
        <f>IF(W26&lt;U21,VLOOKUP(U21-W26-1,$I$36:$K$44,3),0)</f>
        <v>0.12</v>
      </c>
      <c r="W27" s="22">
        <f>IF(V27&gt;0,IF(W26&lt;U21,Z27/V27,0),0)</f>
        <v>0</v>
      </c>
      <c r="X27" s="41"/>
      <c r="Y27" s="22"/>
      <c r="Z27" s="22">
        <f>MAX(Z23-Z26,0)</f>
        <v>0</v>
      </c>
      <c r="AA27" s="13"/>
      <c r="AC27" s="983">
        <v>11</v>
      </c>
      <c r="AD27" s="984">
        <f t="shared" si="4"/>
        <v>2750</v>
      </c>
      <c r="AE27"/>
      <c r="AF27"/>
      <c r="AG27"/>
      <c r="AH27"/>
      <c r="AI27"/>
      <c r="AJ27"/>
      <c r="AK27"/>
      <c r="AL27"/>
      <c r="AM27"/>
      <c r="AN27"/>
      <c r="AO27"/>
      <c r="AP27"/>
      <c r="AQ27"/>
      <c r="AR27"/>
      <c r="AS27"/>
      <c r="AT27"/>
      <c r="AU27"/>
      <c r="AV27"/>
      <c r="AW27"/>
      <c r="AX27"/>
      <c r="AY27"/>
      <c r="AZ27"/>
      <c r="BA27"/>
      <c r="BC27"/>
      <c r="BD27"/>
      <c r="BE27"/>
    </row>
    <row r="28" spans="1:84" ht="16" thickBot="1">
      <c r="A28" s="57">
        <v>4</v>
      </c>
      <c r="B28" s="977">
        <f>Parameters!AZ2</f>
        <v>170050</v>
      </c>
      <c r="C28" s="977">
        <f>Parameters!AZ3</f>
        <v>340100</v>
      </c>
      <c r="D28" s="977">
        <f t="shared" si="6"/>
        <v>170050</v>
      </c>
      <c r="E28" s="977">
        <f>Parameters!AZ5</f>
        <v>170050</v>
      </c>
      <c r="F28" s="977">
        <f t="shared" si="7"/>
        <v>340100</v>
      </c>
      <c r="G28" s="231">
        <v>4</v>
      </c>
      <c r="H28" s="229">
        <f>VLOOKUP(G28,$A$25:$F$30,Calculations!$P$5+1)</f>
        <v>170050</v>
      </c>
      <c r="I28" s="230">
        <f t="shared" si="5"/>
        <v>34647.5</v>
      </c>
      <c r="J28" s="850">
        <v>0.32</v>
      </c>
      <c r="M28" s="16"/>
      <c r="N28" s="16"/>
      <c r="O28" s="16"/>
      <c r="Q28" s="153">
        <f>W56</f>
        <v>0</v>
      </c>
      <c r="R28" s="30">
        <v>3000</v>
      </c>
      <c r="S28" s="32">
        <v>50</v>
      </c>
      <c r="T28" s="19" t="s">
        <v>176</v>
      </c>
      <c r="U28" s="12"/>
      <c r="V28" s="42">
        <f>IF(V27&gt;0,(V26*W26+V27*W27)/(W26+W27),V26)</f>
        <v>0.22</v>
      </c>
      <c r="W28" s="12"/>
      <c r="X28" s="12"/>
      <c r="Y28" s="12"/>
      <c r="Z28" s="12"/>
      <c r="AA28" s="13"/>
      <c r="AC28" s="983">
        <v>12</v>
      </c>
      <c r="AD28" s="984">
        <f t="shared" si="4"/>
        <v>3000</v>
      </c>
      <c r="AE28"/>
      <c r="AF28"/>
      <c r="AG28"/>
      <c r="AH28"/>
      <c r="AI28"/>
      <c r="AJ28"/>
      <c r="AK28"/>
      <c r="AL28"/>
      <c r="AM28"/>
      <c r="AN28"/>
      <c r="AO28"/>
      <c r="AP28"/>
      <c r="AQ28"/>
      <c r="AR28"/>
      <c r="AS28"/>
      <c r="AT28"/>
      <c r="AU28"/>
      <c r="AV28"/>
      <c r="AW28"/>
      <c r="AX28"/>
      <c r="AY28"/>
      <c r="AZ28"/>
      <c r="BA28"/>
      <c r="BC28"/>
      <c r="BD28"/>
      <c r="BE28"/>
    </row>
    <row r="29" spans="1:84" ht="15.5">
      <c r="A29" s="57">
        <v>5</v>
      </c>
      <c r="B29" s="977">
        <f>Parameters!BA2</f>
        <v>215950</v>
      </c>
      <c r="C29" s="977">
        <f>Parameters!BA3</f>
        <v>431900</v>
      </c>
      <c r="D29" s="977">
        <f t="shared" si="6"/>
        <v>215950</v>
      </c>
      <c r="E29" s="977">
        <f>Parameters!BA5</f>
        <v>215950</v>
      </c>
      <c r="F29" s="977">
        <f t="shared" si="7"/>
        <v>431900</v>
      </c>
      <c r="G29" s="231">
        <v>5</v>
      </c>
      <c r="H29" s="229">
        <f>VLOOKUP(G29,$A$25:$F$30,Calculations!$P$5+1)</f>
        <v>215950</v>
      </c>
      <c r="I29" s="230">
        <f t="shared" si="5"/>
        <v>49335.5</v>
      </c>
      <c r="J29" s="850">
        <v>0.35</v>
      </c>
      <c r="O29" s="16"/>
      <c r="P29" s="150" t="s">
        <v>19</v>
      </c>
      <c r="Q29" s="150" t="s">
        <v>20</v>
      </c>
      <c r="R29" s="150" t="s">
        <v>764</v>
      </c>
      <c r="S29" s="150" t="s">
        <v>765</v>
      </c>
      <c r="T29" s="11"/>
      <c r="U29" s="175">
        <v>72.884615384615387</v>
      </c>
      <c r="V29" s="12"/>
      <c r="W29" s="175">
        <v>49.807692307692307</v>
      </c>
      <c r="X29" s="12"/>
      <c r="Y29" s="12"/>
      <c r="Z29" s="12"/>
      <c r="AA29" s="38" t="s">
        <v>106</v>
      </c>
      <c r="AC29" s="983">
        <v>13</v>
      </c>
      <c r="AD29" s="984">
        <f t="shared" si="4"/>
        <v>3250</v>
      </c>
      <c r="AE29"/>
      <c r="AF29"/>
      <c r="AG29"/>
      <c r="AH29"/>
      <c r="AI29"/>
      <c r="AJ29"/>
      <c r="AK29"/>
      <c r="AL29"/>
      <c r="AM29"/>
      <c r="AN29"/>
      <c r="AO29"/>
      <c r="AP29"/>
      <c r="AQ29"/>
      <c r="AR29"/>
      <c r="AS29"/>
      <c r="AT29"/>
      <c r="AU29"/>
      <c r="AV29"/>
      <c r="AW29"/>
      <c r="AX29"/>
      <c r="AY29"/>
      <c r="AZ29"/>
      <c r="BA29"/>
      <c r="BC29"/>
      <c r="BD29"/>
      <c r="BE29"/>
    </row>
    <row r="30" spans="1:84" ht="16" thickBot="1">
      <c r="A30" s="58">
        <v>6</v>
      </c>
      <c r="B30" s="978">
        <f>Parameters!BB2</f>
        <v>539900</v>
      </c>
      <c r="C30" s="978">
        <f>Parameters!BB3</f>
        <v>647850</v>
      </c>
      <c r="D30" s="978">
        <f t="shared" si="6"/>
        <v>323925</v>
      </c>
      <c r="E30" s="978">
        <f>Parameters!BB5</f>
        <v>539900</v>
      </c>
      <c r="F30" s="978">
        <f t="shared" si="7"/>
        <v>647850</v>
      </c>
      <c r="G30" s="231">
        <v>6</v>
      </c>
      <c r="H30" s="232">
        <f>VLOOKUP(G30,$A$25:$F$30,Calculations!$P$5+1)</f>
        <v>539900</v>
      </c>
      <c r="I30" s="233">
        <f t="shared" si="5"/>
        <v>162718</v>
      </c>
      <c r="J30" s="851">
        <v>0.37</v>
      </c>
      <c r="O30" s="27" t="s">
        <v>151</v>
      </c>
      <c r="P30" s="332">
        <f>'Est''d Pymts'!E$26</f>
        <v>16559.912430606317</v>
      </c>
      <c r="R30" s="133">
        <f>'Est''d Pymts'!E$25</f>
        <v>0</v>
      </c>
      <c r="S30" s="133">
        <f>'Est''d Pymts'!E$28</f>
        <v>0</v>
      </c>
      <c r="T30" s="40" t="s">
        <v>107</v>
      </c>
      <c r="U30" s="34" t="s">
        <v>151</v>
      </c>
      <c r="V30" s="34" t="s">
        <v>152</v>
      </c>
      <c r="W30" s="34" t="s">
        <v>114</v>
      </c>
      <c r="X30" s="34"/>
      <c r="Y30" s="34"/>
      <c r="Z30" s="34" t="s">
        <v>115</v>
      </c>
      <c r="AA30" s="38" t="s">
        <v>108</v>
      </c>
      <c r="AC30" s="983">
        <v>14</v>
      </c>
      <c r="AD30" s="984">
        <f t="shared" si="4"/>
        <v>3500</v>
      </c>
      <c r="AE30"/>
      <c r="AF30"/>
      <c r="AG30"/>
      <c r="AH30"/>
      <c r="AI30"/>
      <c r="AJ30"/>
      <c r="AK30"/>
      <c r="AL30"/>
      <c r="AM30"/>
      <c r="AN30"/>
      <c r="AO30"/>
      <c r="AP30"/>
      <c r="AQ30"/>
      <c r="AR30"/>
      <c r="AS30"/>
      <c r="AT30"/>
      <c r="AU30"/>
      <c r="AV30"/>
      <c r="AW30"/>
      <c r="AX30"/>
      <c r="AY30"/>
      <c r="AZ30"/>
      <c r="BA30"/>
      <c r="BC30"/>
      <c r="BD30"/>
      <c r="BE30"/>
    </row>
    <row r="31" spans="1:84" ht="13" thickBot="1">
      <c r="B31" s="211"/>
      <c r="C31" s="211"/>
      <c r="D31" s="211"/>
      <c r="E31" s="211"/>
      <c r="F31" s="211"/>
      <c r="G31" s="211"/>
      <c r="H31" s="211"/>
      <c r="I31" s="211"/>
      <c r="J31" s="211"/>
      <c r="N31" s="5">
        <f>IF(Q$14=1,1,IF(Q$15=1,2,3))</f>
        <v>1</v>
      </c>
      <c r="O31" s="27" t="s">
        <v>152</v>
      </c>
      <c r="P31" s="332">
        <f>'Est''d Pymts'!F$26</f>
        <v>5623.5809653939214</v>
      </c>
      <c r="R31" s="133">
        <f>'Est''d Pymts'!F$25</f>
        <v>0</v>
      </c>
      <c r="S31" s="133">
        <f>'Est''d Pymts'!F$28</f>
        <v>0</v>
      </c>
      <c r="T31" s="19" t="s">
        <v>109</v>
      </c>
      <c r="U31" s="44">
        <f>Z23/V28/$H$2</f>
        <v>0</v>
      </c>
      <c r="V31" s="44">
        <v>0</v>
      </c>
      <c r="W31" s="44">
        <v>0</v>
      </c>
      <c r="X31" s="44"/>
      <c r="Y31" s="44"/>
      <c r="Z31" s="12"/>
      <c r="AA31" s="38" t="s">
        <v>110</v>
      </c>
      <c r="AC31" s="983">
        <v>15</v>
      </c>
      <c r="AD31" s="984">
        <f t="shared" si="4"/>
        <v>3750</v>
      </c>
      <c r="AE31"/>
      <c r="AF31"/>
      <c r="AG31"/>
      <c r="AH31"/>
      <c r="AI31"/>
      <c r="AJ31"/>
      <c r="AK31"/>
      <c r="AL31"/>
      <c r="AM31"/>
      <c r="AN31"/>
      <c r="AO31"/>
      <c r="AP31"/>
      <c r="AQ31"/>
      <c r="AR31"/>
      <c r="AS31"/>
      <c r="AT31"/>
      <c r="AU31"/>
      <c r="AV31"/>
      <c r="AW31"/>
      <c r="AX31"/>
      <c r="AY31"/>
      <c r="AZ31"/>
      <c r="BA31"/>
      <c r="BC31"/>
      <c r="BD31"/>
      <c r="BE31"/>
    </row>
    <row r="32" spans="1:84" ht="15.5">
      <c r="A32" s="285"/>
      <c r="B32" s="283" t="s">
        <v>26</v>
      </c>
      <c r="C32" s="286"/>
      <c r="D32" s="287"/>
      <c r="E32" s="688"/>
      <c r="F32" s="697"/>
      <c r="H32" s="211"/>
      <c r="I32" s="282" t="s">
        <v>26</v>
      </c>
      <c r="J32" s="283"/>
      <c r="K32" s="284"/>
      <c r="N32" s="5">
        <f>IF(Q$14=2,1,IF(Q$15=2,2,3))</f>
        <v>2</v>
      </c>
      <c r="O32" s="27" t="s">
        <v>114</v>
      </c>
      <c r="P32" s="332">
        <f>'Est''d Pymts'!G$26</f>
        <v>0</v>
      </c>
      <c r="R32" s="133">
        <f>'Est''d Pymts'!G$25</f>
        <v>0</v>
      </c>
      <c r="S32" s="133">
        <f>'Est''d Pymts'!G$28</f>
        <v>0</v>
      </c>
      <c r="T32" s="19" t="s">
        <v>8</v>
      </c>
      <c r="U32" s="12"/>
      <c r="V32" s="12"/>
      <c r="W32" s="12"/>
      <c r="X32" s="12"/>
      <c r="Y32" s="12"/>
      <c r="Z32" s="29">
        <f>IF(Z22&lt;U17,U17-Z22,0)</f>
        <v>4974.993395999998</v>
      </c>
      <c r="AA32" s="13"/>
      <c r="AC32" s="983">
        <v>16</v>
      </c>
      <c r="AD32" s="984">
        <f t="shared" si="4"/>
        <v>4000</v>
      </c>
      <c r="AE32"/>
      <c r="AF32"/>
      <c r="AG32"/>
      <c r="AH32"/>
      <c r="AI32"/>
      <c r="AJ32"/>
      <c r="AK32"/>
      <c r="AL32"/>
      <c r="AM32"/>
      <c r="AN32"/>
      <c r="AO32"/>
      <c r="AP32"/>
      <c r="AQ32"/>
      <c r="AR32"/>
      <c r="AS32"/>
      <c r="AT32"/>
      <c r="AU32"/>
      <c r="AV32"/>
      <c r="AW32"/>
      <c r="AX32"/>
      <c r="AY32"/>
      <c r="AZ32"/>
      <c r="BA32"/>
      <c r="BC32"/>
      <c r="BD32"/>
      <c r="BE32"/>
    </row>
    <row r="33" spans="1:57" ht="16" thickBot="1">
      <c r="A33" s="11"/>
      <c r="B33" s="222" t="s">
        <v>197</v>
      </c>
      <c r="C33" s="695" t="s">
        <v>149</v>
      </c>
      <c r="D33" s="696" t="s">
        <v>558</v>
      </c>
      <c r="E33" s="213" t="s">
        <v>197</v>
      </c>
      <c r="F33" s="214" t="s">
        <v>149</v>
      </c>
      <c r="H33" s="211">
        <f>VLOOKUP(P5,A8:G12,7)</f>
        <v>1</v>
      </c>
      <c r="I33" s="219" t="s">
        <v>10</v>
      </c>
      <c r="J33" s="220"/>
      <c r="K33" s="221" t="str">
        <f>VLOOKUP(P5,A8:B12,2)</f>
        <v>Single</v>
      </c>
      <c r="N33" s="5">
        <f>IF(Q$14=3,1,IF(Q$15=3,2,3))</f>
        <v>3</v>
      </c>
      <c r="O33" s="634" t="s">
        <v>477</v>
      </c>
      <c r="P33" s="332">
        <f>'Est''d Pymts'!H$26</f>
        <v>0</v>
      </c>
      <c r="R33" s="133">
        <f>'Est''d Pymts'!H$25</f>
        <v>0</v>
      </c>
      <c r="S33" s="133">
        <f>'Est''d Pymts'!H$28</f>
        <v>0</v>
      </c>
      <c r="T33" s="45" t="s">
        <v>172</v>
      </c>
      <c r="U33" s="31"/>
      <c r="V33" s="31"/>
      <c r="W33" s="31"/>
      <c r="X33" s="31"/>
      <c r="Y33" s="31"/>
      <c r="Z33" s="43">
        <f>MIN(Z32,SUM('Input &amp; Results'!H16:H18))</f>
        <v>4974.993395999998</v>
      </c>
      <c r="AA33" s="46">
        <f>Z32-Z33</f>
        <v>0</v>
      </c>
      <c r="AC33" s="983">
        <v>17</v>
      </c>
      <c r="AD33" s="984">
        <f t="shared" si="4"/>
        <v>4250</v>
      </c>
      <c r="AE33"/>
      <c r="AF33"/>
      <c r="AG33"/>
      <c r="AH33"/>
      <c r="AI33"/>
      <c r="AJ33"/>
      <c r="AK33"/>
      <c r="AL33"/>
      <c r="AM33"/>
      <c r="AN33"/>
      <c r="AO33"/>
      <c r="AP33"/>
      <c r="AQ33"/>
      <c r="AR33"/>
      <c r="AS33"/>
      <c r="AT33"/>
      <c r="AU33"/>
      <c r="AV33"/>
      <c r="AW33"/>
      <c r="AX33"/>
      <c r="AY33"/>
      <c r="AZ33"/>
      <c r="BA33"/>
      <c r="BC33"/>
      <c r="BD33"/>
      <c r="BE33"/>
    </row>
    <row r="34" spans="1:57" ht="16" thickBot="1">
      <c r="A34" s="56"/>
      <c r="B34" s="224" t="s">
        <v>138</v>
      </c>
      <c r="C34" s="224" t="s">
        <v>138</v>
      </c>
      <c r="D34" s="225" t="s">
        <v>138</v>
      </c>
      <c r="E34" s="226" t="s">
        <v>95</v>
      </c>
      <c r="F34" s="225" t="s">
        <v>95</v>
      </c>
      <c r="H34" s="223"/>
      <c r="I34" s="213"/>
      <c r="J34" s="222" t="s">
        <v>76</v>
      </c>
      <c r="K34" s="214" t="s">
        <v>226</v>
      </c>
      <c r="P34" s="1105" t="s">
        <v>24</v>
      </c>
      <c r="Q34" s="1106"/>
      <c r="R34" s="1106"/>
      <c r="S34" s="1107"/>
      <c r="T34" s="33"/>
      <c r="U34" s="1110" t="s">
        <v>209</v>
      </c>
      <c r="V34" s="1110"/>
      <c r="W34" s="1110"/>
      <c r="X34" s="539"/>
      <c r="Y34" s="470"/>
      <c r="Z34" s="8"/>
      <c r="AA34" s="9"/>
      <c r="AC34" s="983">
        <v>18</v>
      </c>
      <c r="AD34" s="984">
        <f t="shared" si="4"/>
        <v>4500</v>
      </c>
      <c r="AE34"/>
      <c r="AF34"/>
      <c r="AG34"/>
      <c r="AH34"/>
      <c r="AI34"/>
      <c r="AJ34"/>
      <c r="AK34"/>
      <c r="AL34"/>
      <c r="AM34"/>
      <c r="AN34"/>
      <c r="AO34"/>
      <c r="AP34"/>
      <c r="AQ34"/>
      <c r="AR34"/>
      <c r="AS34"/>
      <c r="AT34"/>
      <c r="AU34"/>
      <c r="AV34"/>
      <c r="AW34"/>
      <c r="AX34"/>
      <c r="AY34"/>
      <c r="AZ34"/>
      <c r="BA34"/>
      <c r="BC34"/>
      <c r="BD34"/>
      <c r="BE34"/>
    </row>
    <row r="35" spans="1:57" ht="15.5">
      <c r="A35" s="11"/>
      <c r="B35" s="120"/>
      <c r="C35" s="120"/>
      <c r="D35" s="227"/>
      <c r="E35" s="11"/>
      <c r="F35" s="13"/>
      <c r="H35" s="223"/>
      <c r="I35" s="226" t="s">
        <v>138</v>
      </c>
      <c r="J35" s="224" t="s">
        <v>77</v>
      </c>
      <c r="K35" s="225" t="s">
        <v>95</v>
      </c>
      <c r="P35" s="295" t="s">
        <v>217</v>
      </c>
      <c r="Q35" s="296" t="s">
        <v>98</v>
      </c>
      <c r="R35" s="296" t="s">
        <v>99</v>
      </c>
      <c r="S35" s="314"/>
      <c r="T35" s="28" t="s">
        <v>173</v>
      </c>
      <c r="U35" s="606" t="s">
        <v>456</v>
      </c>
      <c r="V35" s="606" t="s">
        <v>459</v>
      </c>
      <c r="W35" s="606" t="s">
        <v>460</v>
      </c>
      <c r="X35" s="606" t="s">
        <v>461</v>
      </c>
      <c r="Y35" s="89" t="s">
        <v>458</v>
      </c>
      <c r="Z35" s="34" t="s">
        <v>115</v>
      </c>
      <c r="AA35" s="38" t="s">
        <v>174</v>
      </c>
      <c r="AC35" s="983">
        <v>19</v>
      </c>
      <c r="AD35" s="984">
        <f t="shared" si="4"/>
        <v>4750</v>
      </c>
      <c r="AE35"/>
      <c r="AF35"/>
      <c r="AG35"/>
      <c r="AH35"/>
      <c r="AI35"/>
      <c r="AJ35"/>
      <c r="AK35"/>
      <c r="AL35"/>
      <c r="AM35"/>
      <c r="AN35"/>
      <c r="AO35"/>
      <c r="AP35"/>
      <c r="AQ35"/>
      <c r="AR35"/>
      <c r="AS35"/>
      <c r="AT35"/>
      <c r="AU35"/>
      <c r="AV35"/>
      <c r="AW35"/>
      <c r="AX35"/>
      <c r="AY35"/>
      <c r="AZ35"/>
      <c r="BA35"/>
      <c r="BC35"/>
      <c r="BD35"/>
      <c r="BE35"/>
    </row>
    <row r="36" spans="1:57" ht="13" thickBot="1">
      <c r="A36" s="11"/>
      <c r="B36" s="206">
        <v>0</v>
      </c>
      <c r="C36" s="206">
        <v>0</v>
      </c>
      <c r="D36" s="215">
        <v>0</v>
      </c>
      <c r="E36" s="288">
        <v>0</v>
      </c>
      <c r="F36" s="234">
        <v>0</v>
      </c>
      <c r="H36" s="228"/>
      <c r="I36" s="229">
        <v>0</v>
      </c>
      <c r="J36" s="230">
        <v>0</v>
      </c>
      <c r="K36" s="234">
        <v>0</v>
      </c>
      <c r="O36" s="168" t="s">
        <v>136</v>
      </c>
      <c r="P36" s="164"/>
      <c r="Q36" s="165" t="s">
        <v>406</v>
      </c>
      <c r="R36" s="165" t="s">
        <v>406</v>
      </c>
      <c r="S36" s="166" t="s">
        <v>45</v>
      </c>
      <c r="T36" s="19" t="s">
        <v>169</v>
      </c>
      <c r="U36" s="36">
        <f>$Q$5</f>
        <v>1</v>
      </c>
      <c r="V36" s="36">
        <f>$Q$5</f>
        <v>1</v>
      </c>
      <c r="W36" s="36">
        <f>$Q$5</f>
        <v>1</v>
      </c>
      <c r="X36" s="36">
        <f>$Q$5</f>
        <v>1</v>
      </c>
      <c r="Y36" s="36"/>
      <c r="Z36" s="44"/>
      <c r="AA36" s="48"/>
      <c r="AC36" s="985">
        <v>20</v>
      </c>
      <c r="AD36" s="986">
        <f t="shared" si="4"/>
        <v>5000</v>
      </c>
      <c r="AE36"/>
      <c r="AF36"/>
      <c r="AG36"/>
      <c r="AH36"/>
      <c r="AI36"/>
      <c r="AJ36"/>
      <c r="AK36"/>
      <c r="AL36"/>
      <c r="AM36"/>
      <c r="AN36"/>
      <c r="AO36"/>
      <c r="AP36"/>
      <c r="AQ36"/>
      <c r="AR36"/>
      <c r="AS36"/>
      <c r="AT36"/>
      <c r="AU36"/>
      <c r="AV36"/>
      <c r="AW36"/>
      <c r="AX36"/>
      <c r="AY36"/>
      <c r="AZ36"/>
      <c r="BA36"/>
      <c r="BC36"/>
      <c r="BD36"/>
      <c r="BE36"/>
    </row>
    <row r="37" spans="1:57" ht="15.5">
      <c r="A37" s="57">
        <v>1</v>
      </c>
      <c r="B37" s="848">
        <f t="shared" ref="B37:B43" si="8">B24+$E$8</f>
        <v>12950</v>
      </c>
      <c r="C37" s="848">
        <f>C24+$E$9</f>
        <v>25900</v>
      </c>
      <c r="D37" s="848">
        <f>E24+$E$11</f>
        <v>19400</v>
      </c>
      <c r="E37" s="852">
        <f t="shared" ref="E37:E43" si="9">J24</f>
        <v>0.1</v>
      </c>
      <c r="F37" s="853">
        <f t="shared" ref="F37:F43" si="10">J24</f>
        <v>0.1</v>
      </c>
      <c r="H37" s="231">
        <v>1</v>
      </c>
      <c r="I37" s="229">
        <f>VLOOKUP(H37,$A$37:$D$44,$H$33+1)</f>
        <v>12950</v>
      </c>
      <c r="J37" s="230">
        <f t="shared" ref="J37:J43" si="11">J36+$K36*(I37-I36)</f>
        <v>0</v>
      </c>
      <c r="K37" s="234">
        <f>J24</f>
        <v>0.1</v>
      </c>
      <c r="O37" s="16">
        <v>1</v>
      </c>
      <c r="P37" s="158">
        <f>VLOOKUP(AM87,$AL$83:$AM$86,2)</f>
        <v>26</v>
      </c>
      <c r="Q37" s="504">
        <f>_SD1</f>
        <v>44197</v>
      </c>
      <c r="R37" s="504">
        <f>'Input &amp; Results'!E16</f>
        <v>44561</v>
      </c>
      <c r="S37" s="912">
        <f>IF(R37=EOY,INT(AD135),AD135)</f>
        <v>3181</v>
      </c>
      <c r="T37" s="130" t="s">
        <v>125</v>
      </c>
      <c r="U37" s="12"/>
      <c r="V37" s="12"/>
      <c r="W37" s="12"/>
      <c r="X37" s="12"/>
      <c r="Y37" s="12"/>
      <c r="Z37" s="12"/>
      <c r="AA37" s="13"/>
      <c r="AC37"/>
      <c r="AD37"/>
      <c r="AE37"/>
      <c r="AF37"/>
      <c r="AG37"/>
      <c r="AH37"/>
      <c r="AI37"/>
      <c r="AJ37"/>
      <c r="AK37"/>
      <c r="AL37"/>
      <c r="AM37"/>
      <c r="AN37"/>
      <c r="AO37"/>
      <c r="AP37"/>
      <c r="AQ37"/>
      <c r="AR37"/>
      <c r="AS37"/>
      <c r="AT37"/>
      <c r="AU37"/>
      <c r="AV37"/>
      <c r="AW37"/>
      <c r="AX37"/>
      <c r="AY37"/>
      <c r="AZ37"/>
      <c r="BA37"/>
      <c r="BC37"/>
      <c r="BD37"/>
      <c r="BE37"/>
    </row>
    <row r="38" spans="1:57" ht="15.5">
      <c r="A38" s="57">
        <v>2</v>
      </c>
      <c r="B38" s="848">
        <f t="shared" si="8"/>
        <v>23225</v>
      </c>
      <c r="C38" s="848">
        <f t="shared" ref="C38:C43" si="12">C25+$E$9</f>
        <v>46450</v>
      </c>
      <c r="D38" s="848">
        <f t="shared" ref="D38:D43" si="13">E25+$E$11</f>
        <v>34050</v>
      </c>
      <c r="E38" s="852">
        <f t="shared" si="9"/>
        <v>0.12</v>
      </c>
      <c r="F38" s="853">
        <f t="shared" si="10"/>
        <v>0.12</v>
      </c>
      <c r="H38" s="231">
        <v>2</v>
      </c>
      <c r="I38" s="229">
        <f t="shared" ref="I38:I43" si="14">VLOOKUP(H38,$A$37:$D$44,$H$33+1)</f>
        <v>23225</v>
      </c>
      <c r="J38" s="230">
        <f t="shared" si="11"/>
        <v>1027.5</v>
      </c>
      <c r="K38" s="234">
        <f t="shared" ref="K38:K43" si="15">J25</f>
        <v>0.12</v>
      </c>
      <c r="O38" s="16">
        <v>2</v>
      </c>
      <c r="P38" s="158">
        <f>VLOOKUP(AM88,$AL$83:$AM$86,2)</f>
        <v>12</v>
      </c>
      <c r="Q38" s="504">
        <f>'Input &amp; Results'!C17</f>
        <v>44197</v>
      </c>
      <c r="R38" s="504">
        <f>'Input &amp; Results'!E17</f>
        <v>44561</v>
      </c>
      <c r="S38" s="912">
        <f>IF(R38=EOY,INT(AD136),AD136)</f>
        <v>1464</v>
      </c>
      <c r="T38" s="19" t="s">
        <v>109</v>
      </c>
      <c r="U38" s="44">
        <v>0</v>
      </c>
      <c r="V38" s="44">
        <v>0</v>
      </c>
      <c r="W38" s="44">
        <v>0</v>
      </c>
      <c r="X38" s="44">
        <v>0</v>
      </c>
      <c r="Y38" s="44"/>
      <c r="Z38" s="49">
        <f>IF(U17&gt;0,MAX(TRUNC(AA38),0),TRUNC(AA38)+1)</f>
        <v>0</v>
      </c>
      <c r="AA38" s="48">
        <f>U31+0.000000000000001</f>
        <v>1.0000000000000001E-15</v>
      </c>
      <c r="AC38"/>
      <c r="AD38"/>
      <c r="AE38"/>
      <c r="AF38"/>
      <c r="AG38"/>
      <c r="AH38"/>
      <c r="AI38"/>
      <c r="AJ38"/>
      <c r="AK38"/>
      <c r="AL38"/>
      <c r="AM38"/>
      <c r="AN38"/>
      <c r="AO38"/>
      <c r="AP38"/>
      <c r="AQ38"/>
      <c r="AR38"/>
      <c r="AS38"/>
      <c r="AT38"/>
      <c r="AU38"/>
      <c r="AV38"/>
      <c r="AW38"/>
      <c r="AX38"/>
      <c r="AY38"/>
      <c r="AZ38"/>
      <c r="BA38"/>
      <c r="BC38"/>
      <c r="BD38"/>
      <c r="BE38"/>
    </row>
    <row r="39" spans="1:57" ht="15.5">
      <c r="A39" s="57">
        <v>3</v>
      </c>
      <c r="B39" s="848">
        <f t="shared" si="8"/>
        <v>54725</v>
      </c>
      <c r="C39" s="848">
        <f t="shared" si="12"/>
        <v>109450</v>
      </c>
      <c r="D39" s="848">
        <f t="shared" si="13"/>
        <v>75300</v>
      </c>
      <c r="E39" s="852">
        <f t="shared" si="9"/>
        <v>0.22</v>
      </c>
      <c r="F39" s="853">
        <f t="shared" si="10"/>
        <v>0.22</v>
      </c>
      <c r="H39" s="231">
        <v>3</v>
      </c>
      <c r="I39" s="229">
        <f t="shared" si="14"/>
        <v>54725</v>
      </c>
      <c r="J39" s="230">
        <f t="shared" si="11"/>
        <v>4807.5</v>
      </c>
      <c r="K39" s="234">
        <f t="shared" si="15"/>
        <v>0.22</v>
      </c>
      <c r="O39" s="16">
        <v>3</v>
      </c>
      <c r="P39" s="158">
        <f>VLOOKUP(AM89,$AL$83:$AM$86,2)</f>
        <v>52</v>
      </c>
      <c r="Q39" s="504">
        <f>'Input &amp; Results'!C26</f>
        <v>0</v>
      </c>
      <c r="R39" s="504">
        <f>'Input &amp; Results'!E26</f>
        <v>0</v>
      </c>
      <c r="S39" s="912">
        <f>IF(R39=EOY,INT(AD137),AD137)</f>
        <v>-2</v>
      </c>
      <c r="T39" s="19" t="s">
        <v>78</v>
      </c>
      <c r="U39" s="22">
        <f>MAX(U$21-0*$H$2,0)</f>
        <v>100000</v>
      </c>
      <c r="V39" s="22">
        <f>MAX(V21-0*$H$2,0)</f>
        <v>40000</v>
      </c>
      <c r="W39" s="22">
        <f>MAX(W21-W38*$H$2,0)</f>
        <v>0</v>
      </c>
      <c r="X39" s="22">
        <f>MAX(X21-X38*$H$2,0)</f>
        <v>0</v>
      </c>
      <c r="Y39" s="22"/>
      <c r="Z39" s="22">
        <f>SUM(U39:X39)</f>
        <v>140000</v>
      </c>
      <c r="AA39" s="13"/>
      <c r="AC39"/>
      <c r="AD39"/>
      <c r="AE39"/>
      <c r="AF39"/>
      <c r="AG39"/>
      <c r="AH39"/>
      <c r="AI39"/>
      <c r="AJ39"/>
      <c r="AK39"/>
      <c r="AL39"/>
      <c r="AM39"/>
      <c r="AN39"/>
      <c r="AO39"/>
      <c r="AP39"/>
      <c r="AQ39"/>
      <c r="AR39"/>
      <c r="AS39"/>
      <c r="AT39"/>
      <c r="AU39"/>
      <c r="AV39"/>
      <c r="AW39"/>
      <c r="AX39"/>
      <c r="AY39"/>
      <c r="AZ39"/>
      <c r="BA39"/>
      <c r="BC39"/>
      <c r="BD39"/>
      <c r="BE39"/>
    </row>
    <row r="40" spans="1:57" ht="15.5">
      <c r="A40" s="57">
        <v>4</v>
      </c>
      <c r="B40" s="848">
        <f t="shared" si="8"/>
        <v>102025</v>
      </c>
      <c r="C40" s="848">
        <f t="shared" si="12"/>
        <v>204050</v>
      </c>
      <c r="D40" s="848">
        <f t="shared" si="13"/>
        <v>108450</v>
      </c>
      <c r="E40" s="852">
        <f t="shared" si="9"/>
        <v>0.24</v>
      </c>
      <c r="F40" s="853">
        <f t="shared" si="10"/>
        <v>0.24</v>
      </c>
      <c r="H40" s="231">
        <v>4</v>
      </c>
      <c r="I40" s="229">
        <f t="shared" si="14"/>
        <v>102025</v>
      </c>
      <c r="J40" s="230">
        <f t="shared" si="11"/>
        <v>15213.5</v>
      </c>
      <c r="K40" s="234">
        <f t="shared" si="15"/>
        <v>0.24</v>
      </c>
      <c r="O40" s="16">
        <v>4</v>
      </c>
      <c r="P40" s="158">
        <f>VLOOKUP(AM90,$AL$83:$AM$86,2)</f>
        <v>52</v>
      </c>
      <c r="Q40" s="504">
        <f>'Input &amp; Results'!C27</f>
        <v>0</v>
      </c>
      <c r="R40" s="504">
        <f>'Input &amp; Results'!E27</f>
        <v>0</v>
      </c>
      <c r="S40" s="912">
        <f>IF(R40=EOY,INT(AD138),AD138)</f>
        <v>-2</v>
      </c>
      <c r="T40" s="19" t="s">
        <v>65</v>
      </c>
      <c r="U40" s="640">
        <f>VLOOKUP(U$39,$I$36:$K$43,2)+VLOOKUP(U$39,$I$36:$K$43,3)*(U$39-VLOOKUP(U$39,$I$36:$K$43,1))</f>
        <v>14768</v>
      </c>
      <c r="V40" s="29">
        <f>VLOOKUP(V39,$I$36:$K$43,2)+VLOOKUP(V39,$I$36:$K$43,3)*(V39-VLOOKUP(V39,$I$36:$K$43,1))</f>
        <v>3040.5</v>
      </c>
      <c r="W40" s="29">
        <f>VLOOKUP(W39,$I$36:$K$43,2)+VLOOKUP(W39,$I$36:$K$43,3)*(W39-VLOOKUP(W39,$I$36:$K$43,1))</f>
        <v>0</v>
      </c>
      <c r="X40" s="29"/>
      <c r="Y40" s="29"/>
      <c r="Z40" s="22">
        <f>U40+V40+W40</f>
        <v>17808.5</v>
      </c>
      <c r="AA40" s="13"/>
      <c r="AJ40" s="15"/>
      <c r="AK40" s="16"/>
      <c r="AL40" s="16"/>
      <c r="AM40" s="15"/>
      <c r="AO40" s="15"/>
      <c r="AP40" s="16"/>
      <c r="AQ40" s="15"/>
      <c r="AR40" s="16"/>
      <c r="AS40" s="15"/>
      <c r="BC40"/>
      <c r="BD40"/>
      <c r="BE40"/>
    </row>
    <row r="41" spans="1:57" ht="15.5">
      <c r="A41" s="57">
        <v>5</v>
      </c>
      <c r="B41" s="848">
        <f t="shared" si="8"/>
        <v>183000</v>
      </c>
      <c r="C41" s="848">
        <f t="shared" si="12"/>
        <v>366000</v>
      </c>
      <c r="D41" s="848">
        <f t="shared" si="13"/>
        <v>189450</v>
      </c>
      <c r="E41" s="852">
        <f t="shared" si="9"/>
        <v>0.32</v>
      </c>
      <c r="F41" s="853">
        <f t="shared" si="10"/>
        <v>0.32</v>
      </c>
      <c r="H41" s="231">
        <v>5</v>
      </c>
      <c r="I41" s="229">
        <f t="shared" si="14"/>
        <v>183000</v>
      </c>
      <c r="J41" s="230">
        <f t="shared" si="11"/>
        <v>34647.5</v>
      </c>
      <c r="K41" s="234">
        <f t="shared" si="15"/>
        <v>0.32</v>
      </c>
      <c r="O41" s="919">
        <f>$P43*P37-S43-AB125</f>
        <v>25</v>
      </c>
      <c r="P41" s="482" t="s">
        <v>405</v>
      </c>
      <c r="Q41" s="115"/>
      <c r="R41" s="481">
        <f>AG74</f>
        <v>20</v>
      </c>
      <c r="S41" s="159"/>
      <c r="T41" s="19" t="s">
        <v>137</v>
      </c>
      <c r="U41" s="654">
        <f>U40*11/12</f>
        <v>13537.333333333334</v>
      </c>
      <c r="V41" s="12"/>
      <c r="W41" s="12"/>
      <c r="X41" s="175">
        <f>(W51-$AA16)/W48*W56</f>
        <v>0</v>
      </c>
      <c r="Y41" s="12"/>
      <c r="Z41" s="22">
        <f>IF(U17=0,IF(Z40&gt;0,Z40,0),IF(Z40-U17&gt;=0,Z40-U17,99999))</f>
        <v>99999</v>
      </c>
      <c r="AA41" s="48">
        <f>Z41/$V$28/$H$2</f>
        <v>105.70718816067654</v>
      </c>
      <c r="AD41" s="35"/>
      <c r="AG41" s="15"/>
      <c r="AH41" s="16"/>
      <c r="AI41" s="16"/>
      <c r="AJ41" s="15"/>
      <c r="AK41" s="16"/>
      <c r="AL41" s="16"/>
      <c r="AM41" s="15"/>
      <c r="AO41" s="15"/>
      <c r="AP41" s="16"/>
      <c r="AQ41" s="15"/>
      <c r="AR41" s="16"/>
      <c r="AS41" s="15"/>
      <c r="BC41"/>
      <c r="BD41"/>
      <c r="BE41"/>
    </row>
    <row r="42" spans="1:57" ht="16" thickBot="1">
      <c r="A42" s="57">
        <v>6</v>
      </c>
      <c r="B42" s="848">
        <f t="shared" si="8"/>
        <v>228900</v>
      </c>
      <c r="C42" s="848">
        <f t="shared" si="12"/>
        <v>457800</v>
      </c>
      <c r="D42" s="848">
        <f t="shared" si="13"/>
        <v>235350</v>
      </c>
      <c r="E42" s="852">
        <f t="shared" si="9"/>
        <v>0.35</v>
      </c>
      <c r="F42" s="853">
        <f t="shared" si="10"/>
        <v>0.35</v>
      </c>
      <c r="H42" s="231">
        <v>6</v>
      </c>
      <c r="I42" s="229">
        <f t="shared" si="14"/>
        <v>228900</v>
      </c>
      <c r="J42" s="230">
        <f t="shared" si="11"/>
        <v>49335.5</v>
      </c>
      <c r="K42" s="234">
        <f t="shared" si="15"/>
        <v>0.35</v>
      </c>
      <c r="O42"/>
      <c r="P42" s="160" t="s">
        <v>122</v>
      </c>
      <c r="Q42" s="161" t="s">
        <v>71</v>
      </c>
      <c r="R42" s="330" t="s">
        <v>219</v>
      </c>
      <c r="S42" s="330" t="s">
        <v>292</v>
      </c>
      <c r="T42" s="19" t="s">
        <v>172</v>
      </c>
      <c r="U42" s="22">
        <f>$Z$42</f>
        <v>4974.993395999998</v>
      </c>
      <c r="V42" s="22">
        <v>0</v>
      </c>
      <c r="W42" s="22">
        <v>0</v>
      </c>
      <c r="X42" s="22">
        <f>(Z49)/W48*W56</f>
        <v>0</v>
      </c>
      <c r="Y42" s="22"/>
      <c r="Z42" s="412">
        <f>IF($Z$40&lt;$U$17,$U$17-$Z$40,99999)</f>
        <v>4974.993395999998</v>
      </c>
      <c r="AA42" s="48">
        <f>Z42/$V$28/$H$2</f>
        <v>5.2589782198731481</v>
      </c>
      <c r="AC42" s="133"/>
      <c r="AF42" s="15"/>
      <c r="AG42" s="15"/>
      <c r="AH42" s="16"/>
      <c r="AI42" s="16"/>
      <c r="AJ42" s="15"/>
      <c r="AK42" s="16"/>
      <c r="AL42" s="16"/>
      <c r="AM42" s="15"/>
      <c r="AO42" s="15"/>
      <c r="AP42" s="16"/>
      <c r="AQ42" s="15"/>
      <c r="AR42" s="16"/>
      <c r="AS42" s="15"/>
      <c r="BC42"/>
      <c r="BD42"/>
      <c r="BE42"/>
    </row>
    <row r="43" spans="1:57" ht="16" thickBot="1">
      <c r="A43" s="57">
        <v>7</v>
      </c>
      <c r="B43" s="848">
        <f t="shared" si="8"/>
        <v>552850</v>
      </c>
      <c r="C43" s="848">
        <f t="shared" si="12"/>
        <v>673750</v>
      </c>
      <c r="D43" s="848">
        <f t="shared" si="13"/>
        <v>559300</v>
      </c>
      <c r="E43" s="852">
        <f t="shared" si="9"/>
        <v>0.37</v>
      </c>
      <c r="F43" s="853">
        <f t="shared" si="10"/>
        <v>0.37</v>
      </c>
      <c r="H43" s="231">
        <v>7</v>
      </c>
      <c r="I43" s="232">
        <f t="shared" si="14"/>
        <v>552850</v>
      </c>
      <c r="J43" s="233">
        <f t="shared" si="11"/>
        <v>162718</v>
      </c>
      <c r="K43" s="342">
        <f t="shared" si="15"/>
        <v>0.37</v>
      </c>
      <c r="N43" s="334"/>
      <c r="O43" s="16">
        <v>1</v>
      </c>
      <c r="P43" s="162">
        <f>(R37-Q37+1)/365</f>
        <v>1</v>
      </c>
      <c r="Q43" s="163">
        <v>1</v>
      </c>
      <c r="R43" s="329">
        <f>AM87</f>
        <v>2</v>
      </c>
      <c r="S43" s="159">
        <f>AC135</f>
        <v>1</v>
      </c>
      <c r="T43" s="130" t="s">
        <v>298</v>
      </c>
      <c r="U43" s="12"/>
      <c r="V43" s="12"/>
      <c r="W43" s="12"/>
      <c r="X43" s="879">
        <f>Z51-AA16</f>
        <v>2170837.0475914776</v>
      </c>
      <c r="Y43" s="12"/>
      <c r="Z43" s="12"/>
      <c r="AA43" s="725" t="s">
        <v>572</v>
      </c>
      <c r="AB43" s="5" t="s">
        <v>574</v>
      </c>
      <c r="AF43" s="15"/>
      <c r="AG43"/>
      <c r="AH43"/>
      <c r="AI43"/>
      <c r="AJ43" s="15"/>
      <c r="AK43" s="16"/>
      <c r="AL43" s="16"/>
      <c r="AM43" s="15"/>
      <c r="AO43" s="15"/>
      <c r="AP43" s="16"/>
      <c r="AQ43" s="15"/>
      <c r="AR43" s="16"/>
      <c r="AS43" s="15"/>
      <c r="BC43"/>
      <c r="BD43"/>
      <c r="BE43"/>
    </row>
    <row r="44" spans="1:57" ht="16" thickBot="1">
      <c r="A44" s="58">
        <v>8</v>
      </c>
      <c r="B44" s="849"/>
      <c r="C44" s="849"/>
      <c r="D44" s="849"/>
      <c r="E44" s="854"/>
      <c r="F44" s="855"/>
      <c r="G44" s="690"/>
      <c r="H44" s="231"/>
      <c r="I44" s="206"/>
      <c r="J44" s="230"/>
      <c r="K44" s="289"/>
      <c r="N44" s="334"/>
      <c r="O44" s="16">
        <v>2</v>
      </c>
      <c r="P44" s="162">
        <f>(R38-Q38+1)/365</f>
        <v>1</v>
      </c>
      <c r="Q44" s="163">
        <v>1</v>
      </c>
      <c r="R44" s="329">
        <f>AM88</f>
        <v>4</v>
      </c>
      <c r="S44" s="159">
        <f>AC136</f>
        <v>1</v>
      </c>
      <c r="T44" s="19" t="s">
        <v>821</v>
      </c>
      <c r="U44" s="29">
        <f>P21+Q21*(S43)+R21</f>
        <v>10600</v>
      </c>
      <c r="V44" s="29">
        <f>P22+Q22*(S44)+R22</f>
        <v>4400</v>
      </c>
      <c r="W44" s="29">
        <f>P23+Q23*(S45)+R23</f>
        <v>0</v>
      </c>
      <c r="X44" s="29">
        <f>P24+Q24*(S46)+R24</f>
        <v>0</v>
      </c>
      <c r="Y44" s="29">
        <f>'S.S. Benefits Approx'!C31+'S.S. Benefits Approx'!C39</f>
        <v>0</v>
      </c>
      <c r="Z44" s="633">
        <f>SUM(U44:Y44)+IF('Input &amp; Results'!H13&gt;0,'Input &amp; Results'!E46,0)+IF('Input &amp; Results'!H23&gt;0,'Input &amp; Results'!N46,0)+IF('Input &amp; Results'!H19&gt;0,'Input &amp; Results'!F19,0)+IF('Input &amp; Results'!H29&gt;0,'Input &amp; Results'!F29,0)+'Input &amp; Results'!C50+'Input &amp; Results'!M50</f>
        <v>15600</v>
      </c>
      <c r="AA44" s="726">
        <f>U16</f>
        <v>0</v>
      </c>
      <c r="AB44" s="155">
        <f>U17</f>
        <v>22783.493395999998</v>
      </c>
      <c r="AC44"/>
      <c r="AD44"/>
      <c r="AE44"/>
      <c r="AF44"/>
      <c r="AG44"/>
      <c r="AH44"/>
      <c r="AI44"/>
      <c r="AJ44"/>
      <c r="AK44"/>
      <c r="AL44"/>
      <c r="AM44"/>
      <c r="AN44"/>
      <c r="AO44"/>
      <c r="AP44"/>
      <c r="AQ44"/>
      <c r="AR44" s="16"/>
      <c r="AS44" s="15"/>
      <c r="BC44"/>
      <c r="BD44"/>
      <c r="BE44"/>
    </row>
    <row r="45" spans="1:57" ht="13">
      <c r="O45" s="16">
        <v>3</v>
      </c>
      <c r="P45" s="162">
        <f>(R39-Q39+1)/365</f>
        <v>2.7397260273972603E-3</v>
      </c>
      <c r="Q45" s="163">
        <v>1</v>
      </c>
      <c r="R45" s="329">
        <f>AM89</f>
        <v>1</v>
      </c>
      <c r="S45" s="159">
        <f>AC137</f>
        <v>2</v>
      </c>
      <c r="T45" s="130" t="s">
        <v>843</v>
      </c>
      <c r="U45" s="175">
        <f>$Z49*U56/U48</f>
        <v>14719.286474946321</v>
      </c>
      <c r="V45" s="12"/>
      <c r="W45" s="175">
        <f>$Z49*W56/W48</f>
        <v>0</v>
      </c>
      <c r="X45" s="12"/>
      <c r="Y45" s="12"/>
      <c r="Z45" s="950">
        <f>SUM(U44:Y44)+IF('Input &amp; Results'!H13&gt;0,'Input &amp; Results'!E46,0)+IF('Input &amp; Results'!H23&gt;0,'Input &amp; Results'!N46,0)+IF('Input &amp; Results'!H19&gt;0,'Input &amp; Results'!F19,0)+IF('Input &amp; Results'!H19&gt;0,'Input &amp; Results'!G19,0)+IF('Input &amp; Results'!H29&gt;0,'Input &amp; Results'!F29,0)+IF('Input &amp; Results'!H29&gt;0,'Input &amp; Results'!G29,0)+'Input &amp; Results'!C50+'Input &amp; Results'!M50</f>
        <v>15600</v>
      </c>
      <c r="AA45" s="951" t="s">
        <v>822</v>
      </c>
      <c r="AC45"/>
      <c r="AD45"/>
      <c r="AE45"/>
      <c r="AF45"/>
      <c r="AG45"/>
      <c r="AH45"/>
      <c r="AI45"/>
      <c r="AJ45"/>
      <c r="AK45"/>
      <c r="AL45"/>
      <c r="AM45"/>
      <c r="AN45"/>
      <c r="AO45"/>
      <c r="AP45"/>
      <c r="AQ45"/>
      <c r="AR45" s="16"/>
      <c r="AS45" s="15"/>
      <c r="BC45"/>
      <c r="BD45"/>
      <c r="BE45"/>
    </row>
    <row r="46" spans="1:57" ht="13" thickBot="1">
      <c r="B46" s="14" t="s">
        <v>148</v>
      </c>
      <c r="E46" s="17"/>
      <c r="F46" s="17"/>
      <c r="G46" s="17"/>
      <c r="O46" s="16">
        <v>4</v>
      </c>
      <c r="P46" s="162">
        <f>(R40-Q40+1)/365</f>
        <v>2.7397260273972603E-3</v>
      </c>
      <c r="Q46" s="163">
        <v>1</v>
      </c>
      <c r="R46" s="329">
        <f>AM90</f>
        <v>1</v>
      </c>
      <c r="S46" s="159">
        <f>AC138</f>
        <v>2</v>
      </c>
      <c r="T46" s="19" t="s">
        <v>153</v>
      </c>
      <c r="U46" s="730">
        <f>P37</f>
        <v>26</v>
      </c>
      <c r="V46" s="36">
        <f>P38</f>
        <v>12</v>
      </c>
      <c r="W46" s="36">
        <f>P39</f>
        <v>52</v>
      </c>
      <c r="X46" s="36">
        <f>P40</f>
        <v>52</v>
      </c>
      <c r="Y46" s="36"/>
      <c r="Z46" s="12"/>
      <c r="AA46" s="13"/>
      <c r="AB46" s="336"/>
      <c r="AC46"/>
      <c r="AD46"/>
      <c r="AE46"/>
      <c r="AF46"/>
      <c r="AG46"/>
      <c r="AH46"/>
      <c r="AI46"/>
      <c r="AJ46"/>
      <c r="AK46"/>
      <c r="AL46"/>
      <c r="AM46"/>
      <c r="AN46"/>
      <c r="AO46"/>
      <c r="AP46"/>
      <c r="AQ46"/>
      <c r="AR46" s="16"/>
      <c r="AS46" s="15"/>
      <c r="BC46"/>
      <c r="BD46"/>
      <c r="BE46"/>
    </row>
    <row r="47" spans="1:57">
      <c r="B47" s="14" t="s">
        <v>182</v>
      </c>
      <c r="E47" s="17"/>
      <c r="F47" s="17"/>
      <c r="G47" s="17"/>
      <c r="H47"/>
      <c r="I47" s="245" t="s">
        <v>31</v>
      </c>
      <c r="J47" s="246" t="s">
        <v>159</v>
      </c>
      <c r="O47"/>
      <c r="P47" s="116"/>
      <c r="Q47" s="115"/>
      <c r="R47" s="121"/>
      <c r="S47" s="159"/>
      <c r="T47" s="23" t="s">
        <v>144</v>
      </c>
      <c r="U47" s="914">
        <f>S37</f>
        <v>3181</v>
      </c>
      <c r="V47" s="411">
        <f>S38</f>
        <v>1464</v>
      </c>
      <c r="W47" s="411">
        <f>S39</f>
        <v>-2</v>
      </c>
      <c r="X47" s="411">
        <f>S40</f>
        <v>-2</v>
      </c>
      <c r="Y47" s="411"/>
      <c r="Z47" s="654">
        <f>U22-($U17-$Z44)*U46/U47*U56</f>
        <v>14719.286474946319</v>
      </c>
      <c r="AA47" s="90">
        <f>U44+U51-AA16</f>
        <v>1810496.0475914776</v>
      </c>
      <c r="AB47"/>
      <c r="AC47"/>
      <c r="AD47"/>
      <c r="AE47"/>
      <c r="AF47"/>
      <c r="AG47"/>
      <c r="AH47"/>
      <c r="AI47"/>
      <c r="AJ47"/>
      <c r="AK47"/>
      <c r="AL47"/>
      <c r="AM47"/>
      <c r="AN47"/>
      <c r="AO47"/>
      <c r="AP47"/>
      <c r="AQ47"/>
      <c r="AR47" s="16"/>
      <c r="AS47" s="15"/>
      <c r="BC47"/>
      <c r="BD47"/>
      <c r="BE47"/>
    </row>
    <row r="48" spans="1:57" ht="13" thickBot="1">
      <c r="E48" s="17"/>
      <c r="F48" s="17"/>
      <c r="G48" s="17"/>
      <c r="I48" s="247">
        <v>2004</v>
      </c>
      <c r="J48" s="248">
        <v>1000</v>
      </c>
      <c r="P48" s="158"/>
      <c r="Q48" s="115"/>
      <c r="R48" s="172" t="s">
        <v>72</v>
      </c>
      <c r="S48" s="159"/>
      <c r="T48" s="23" t="s">
        <v>93</v>
      </c>
      <c r="U48" s="331">
        <f>U47/U46</f>
        <v>122.34615384615384</v>
      </c>
      <c r="V48" s="331">
        <f>V47/V46</f>
        <v>122</v>
      </c>
      <c r="W48" s="331">
        <f>W47/W46</f>
        <v>-3.8461538461538464E-2</v>
      </c>
      <c r="X48" s="331">
        <f>X47/X46</f>
        <v>-3.8461538461538464E-2</v>
      </c>
      <c r="Y48" s="331"/>
      <c r="Z48" s="331"/>
      <c r="AA48" s="13"/>
      <c r="AB48"/>
      <c r="AC48"/>
      <c r="AD48"/>
      <c r="AE48"/>
      <c r="AF48"/>
      <c r="AG48"/>
      <c r="AH48"/>
      <c r="AI48"/>
      <c r="AJ48"/>
      <c r="AK48"/>
      <c r="AL48"/>
      <c r="AM48"/>
      <c r="AN48"/>
      <c r="AO48"/>
      <c r="AP48"/>
      <c r="AQ48"/>
      <c r="AR48" s="16"/>
      <c r="AS48" s="15"/>
      <c r="BC48"/>
      <c r="BD48"/>
      <c r="BE48"/>
    </row>
    <row r="49" spans="1:57" ht="13.5" thickBot="1">
      <c r="B49" s="14" t="s">
        <v>27</v>
      </c>
      <c r="D49" s="14" t="s">
        <v>91</v>
      </c>
      <c r="E49" s="17"/>
      <c r="F49" s="17"/>
      <c r="G49" s="17"/>
      <c r="I49" s="247">
        <v>2005</v>
      </c>
      <c r="J49" s="248">
        <v>1000</v>
      </c>
      <c r="P49" s="158">
        <v>1</v>
      </c>
      <c r="Q49" s="121" t="s">
        <v>100</v>
      </c>
      <c r="R49" s="121">
        <v>7</v>
      </c>
      <c r="S49" s="159"/>
      <c r="T49" s="23" t="s">
        <v>487</v>
      </c>
      <c r="U49" s="654">
        <f>U44+U51</f>
        <v>1817408</v>
      </c>
      <c r="V49" s="654">
        <f>V44+V51</f>
        <v>375341</v>
      </c>
      <c r="W49" s="654">
        <f>W44+W51</f>
        <v>0</v>
      </c>
      <c r="X49" s="654">
        <f>X44+X51</f>
        <v>0</v>
      </c>
      <c r="Y49" s="654">
        <f>Y44+Y51</f>
        <v>0</v>
      </c>
      <c r="Z49" s="633">
        <f>SUM(U49:Y49)+IF('Input &amp; Results'!H13&gt;0,'Input &amp; Results'!E46,0)+IF('Input &amp; Results'!H23&gt;0,'Input &amp; Results'!N46,0)+IF('Input &amp; Results'!H19&gt;0,'Input &amp; Results'!F19,0)+IF('Input &amp; Results'!H29&gt;0,'Input &amp; Results'!F29,0)+'Input &amp; Results'!C50+'Input &amp; Results'!M50+IF('Input &amp; Results'!H19&gt;0,'Input &amp; Results'!G19,0)+IF('Input &amp; Results'!H29&gt;0,'Input &amp; Results'!G29,0)-U17</f>
        <v>2170565.506604</v>
      </c>
      <c r="AA49" s="635">
        <f>Z44+Z49-U17</f>
        <v>2163382.013208</v>
      </c>
      <c r="AB49"/>
      <c r="AC49"/>
      <c r="AD49"/>
      <c r="AE49"/>
      <c r="AF49"/>
      <c r="AG49"/>
      <c r="AH49"/>
      <c r="AI49"/>
      <c r="AJ49"/>
      <c r="AK49"/>
      <c r="AL49"/>
      <c r="AM49"/>
      <c r="AN49"/>
      <c r="AO49"/>
      <c r="AP49"/>
      <c r="AQ49"/>
      <c r="AR49" s="16"/>
      <c r="AS49" s="15"/>
      <c r="BC49"/>
      <c r="BD49"/>
      <c r="BE49"/>
    </row>
    <row r="50" spans="1:57" ht="15.5">
      <c r="A50" s="16">
        <v>1</v>
      </c>
      <c r="B50" s="14" t="s">
        <v>197</v>
      </c>
      <c r="C50" s="14">
        <v>2</v>
      </c>
      <c r="D50" s="14" t="s">
        <v>92</v>
      </c>
      <c r="E50" s="17"/>
      <c r="F50" s="17"/>
      <c r="G50" s="17"/>
      <c r="I50" s="247">
        <v>2006</v>
      </c>
      <c r="J50" s="248">
        <v>1000</v>
      </c>
      <c r="P50" s="158">
        <v>2</v>
      </c>
      <c r="Q50" s="121" t="s">
        <v>101</v>
      </c>
      <c r="R50" s="121">
        <v>15</v>
      </c>
      <c r="S50" s="159"/>
      <c r="T50" s="653" t="s">
        <v>488</v>
      </c>
      <c r="U50" s="655">
        <f>IF($Z49&lt;=0,0,IF($Z50=1,U58,MIN($Z49/U48*U56,U58)))</f>
        <v>14719.286474946319</v>
      </c>
      <c r="V50" s="655">
        <f t="shared" ref="V50:X50" si="16">IF($Z49&lt;=0,0,IF($Z50=1,V58,MIN($Z49/V48*V56,V58)))</f>
        <v>3030.4706478246399</v>
      </c>
      <c r="W50" s="655">
        <f t="shared" si="16"/>
        <v>0</v>
      </c>
      <c r="X50" s="655">
        <f t="shared" si="16"/>
        <v>0</v>
      </c>
      <c r="Y50" s="832" t="s">
        <v>742</v>
      </c>
      <c r="Z50" s="833" t="b">
        <f>IF(Z44&gt;=U17,TRUE,FALSE)</f>
        <v>0</v>
      </c>
      <c r="AA50" s="727">
        <f>AB44-Z44</f>
        <v>7183.493395999998</v>
      </c>
      <c r="AB50" s="5" t="s">
        <v>573</v>
      </c>
      <c r="AC50"/>
      <c r="AD50"/>
      <c r="AE50"/>
      <c r="AF50"/>
      <c r="AG50"/>
      <c r="AH50"/>
      <c r="AI50"/>
      <c r="AJ50"/>
      <c r="AK50"/>
      <c r="AL50"/>
      <c r="AM50"/>
      <c r="AN50"/>
      <c r="AO50"/>
      <c r="AP50"/>
      <c r="AQ50"/>
      <c r="AR50" s="16"/>
      <c r="AS50" s="15"/>
      <c r="BC50"/>
      <c r="BD50"/>
      <c r="BE50"/>
    </row>
    <row r="51" spans="1:57">
      <c r="A51" s="16">
        <v>2</v>
      </c>
      <c r="B51" s="14" t="s">
        <v>4</v>
      </c>
      <c r="C51" s="14">
        <v>4</v>
      </c>
      <c r="D51" s="14" t="s">
        <v>133</v>
      </c>
      <c r="I51" s="247">
        <v>2007</v>
      </c>
      <c r="J51" s="248">
        <v>1000</v>
      </c>
      <c r="P51" s="158">
        <v>3</v>
      </c>
      <c r="Q51" s="121" t="s">
        <v>102</v>
      </c>
      <c r="R51" s="121">
        <v>23</v>
      </c>
      <c r="S51" s="159"/>
      <c r="T51" s="23" t="s">
        <v>489</v>
      </c>
      <c r="U51" s="640">
        <f>U22*U48</f>
        <v>1806808</v>
      </c>
      <c r="V51" s="640">
        <f>V22*V48</f>
        <v>370941</v>
      </c>
      <c r="W51" s="640">
        <f>W22*W48</f>
        <v>0</v>
      </c>
      <c r="X51" s="640">
        <f>X22*X48</f>
        <v>0</v>
      </c>
      <c r="Y51" s="520">
        <f>'S.S. Benefits Approx'!C32+'S.S. Benefits Approx'!C40</f>
        <v>0</v>
      </c>
      <c r="Z51" s="640">
        <f>SUM(U51:Y51)</f>
        <v>2177749</v>
      </c>
      <c r="AA51" s="727">
        <f>AA50/U47</f>
        <v>2.2582500458975159</v>
      </c>
      <c r="AB51" s="5" t="s">
        <v>576</v>
      </c>
      <c r="AC51"/>
      <c r="AD51"/>
      <c r="AE51"/>
      <c r="AF51"/>
      <c r="AG51"/>
      <c r="AH51"/>
      <c r="AI51"/>
      <c r="AJ51"/>
      <c r="AK51"/>
      <c r="AL51"/>
      <c r="AM51"/>
      <c r="AN51"/>
      <c r="AO51"/>
      <c r="AP51"/>
      <c r="AQ51"/>
      <c r="BC51"/>
      <c r="BD51"/>
      <c r="BE51"/>
    </row>
    <row r="52" spans="1:57">
      <c r="A52" s="16">
        <v>3</v>
      </c>
      <c r="B52" s="14" t="s">
        <v>5</v>
      </c>
      <c r="C52" s="14">
        <v>6</v>
      </c>
      <c r="D52" s="14" t="s">
        <v>134</v>
      </c>
      <c r="I52" s="247">
        <v>2008</v>
      </c>
      <c r="J52" s="248">
        <v>1000</v>
      </c>
      <c r="P52" s="158">
        <v>4</v>
      </c>
      <c r="Q52" s="121" t="s">
        <v>14</v>
      </c>
      <c r="R52" s="115">
        <v>30</v>
      </c>
      <c r="S52" s="117"/>
      <c r="T52" s="23" t="s">
        <v>740</v>
      </c>
      <c r="U52" s="22">
        <f>IF($S14=0,U51+U55*U47-U50*U48,VLOOKUP(U57,$T$61:$X$161,2)+U55*U47)</f>
        <v>5959.9124306063168</v>
      </c>
      <c r="V52" s="22">
        <f>IF($S14=0,V51+V55*V47-V50*V48,VLOOKUP(V57,$T$61:$X$161,3)+V55*V47)</f>
        <v>1223.5809653939214</v>
      </c>
      <c r="W52" s="22">
        <f>IF($S14=0,W51+W55*W47-W50*W48,VLOOKUP(W57,$T$61:$X$161,4)+W55*W47)</f>
        <v>0</v>
      </c>
      <c r="X52" s="22">
        <f>IF($S14=0,X51+X55*X47-X50*X48,VLOOKUP(X57,$T$61:$X$161,5)+X55*X47)</f>
        <v>0</v>
      </c>
      <c r="Y52" s="520"/>
      <c r="Z52" s="29"/>
      <c r="AA52" s="293">
        <f>AA51*U46</f>
        <v>58.714501193335416</v>
      </c>
      <c r="AB52" s="133" t="s">
        <v>577</v>
      </c>
      <c r="AC52"/>
      <c r="AD52"/>
      <c r="AE52"/>
      <c r="AF52"/>
      <c r="AG52"/>
      <c r="AH52"/>
      <c r="AI52"/>
      <c r="AJ52"/>
      <c r="AK52"/>
      <c r="AL52"/>
      <c r="AM52"/>
      <c r="AN52"/>
      <c r="AO52"/>
      <c r="AP52"/>
      <c r="AQ52"/>
      <c r="BC52"/>
      <c r="BD52"/>
      <c r="BE52"/>
    </row>
    <row r="53" spans="1:57">
      <c r="A53" s="16">
        <v>4</v>
      </c>
      <c r="B53" s="14" t="s">
        <v>90</v>
      </c>
      <c r="C53" s="14">
        <v>8</v>
      </c>
      <c r="I53" s="247">
        <v>2009</v>
      </c>
      <c r="J53" s="248">
        <v>1000</v>
      </c>
      <c r="P53" s="116"/>
      <c r="Q53" s="115"/>
      <c r="R53" s="115"/>
      <c r="S53" s="117"/>
      <c r="T53" s="23" t="s">
        <v>741</v>
      </c>
      <c r="U53" s="22">
        <f>U44+U52</f>
        <v>16559.912430606317</v>
      </c>
      <c r="V53" s="22">
        <f>V44+V52</f>
        <v>5623.5809653939214</v>
      </c>
      <c r="W53" s="22">
        <f>W44+W52</f>
        <v>0</v>
      </c>
      <c r="X53" s="22">
        <f>X44+X52</f>
        <v>0</v>
      </c>
      <c r="Y53" s="29">
        <f>Y44+Y51</f>
        <v>0</v>
      </c>
      <c r="Z53" s="22">
        <f>Z45+Z51</f>
        <v>2193349</v>
      </c>
      <c r="AA53" s="682">
        <f>SUM(U53:Y53)</f>
        <v>22183.493396000238</v>
      </c>
      <c r="AB53" s="155">
        <f>U22-AA52</f>
        <v>14709.285498806665</v>
      </c>
      <c r="AC53"/>
      <c r="AD53"/>
      <c r="AE53"/>
      <c r="AF53"/>
      <c r="AG53"/>
      <c r="AH53"/>
      <c r="AI53"/>
      <c r="AJ53"/>
      <c r="AK53"/>
      <c r="AL53"/>
      <c r="AM53"/>
      <c r="AN53"/>
      <c r="AO53"/>
      <c r="AP53"/>
      <c r="AQ53"/>
      <c r="BC53"/>
      <c r="BD53"/>
      <c r="BE53"/>
    </row>
    <row r="54" spans="1:57" ht="16" thickBot="1">
      <c r="E54" s="17"/>
      <c r="F54" s="17"/>
      <c r="G54" s="17"/>
      <c r="H54" s="17"/>
      <c r="I54" s="249">
        <v>2010</v>
      </c>
      <c r="J54" s="250">
        <v>1000</v>
      </c>
      <c r="K54" s="133"/>
      <c r="P54" s="170" t="s">
        <v>43</v>
      </c>
      <c r="Q54" s="115"/>
      <c r="R54" s="115"/>
      <c r="S54" s="117"/>
      <c r="T54" s="62" t="s">
        <v>142</v>
      </c>
      <c r="U54" s="43">
        <f>U22/P37*(S37+S43)</f>
        <v>1807376</v>
      </c>
      <c r="V54" s="511">
        <f>U$55*U$47</f>
        <v>0</v>
      </c>
      <c r="W54" s="31"/>
      <c r="X54" s="31"/>
      <c r="Y54" s="511">
        <f>U55*U47+V55*V47</f>
        <v>0</v>
      </c>
      <c r="Z54" s="157">
        <f>Z53-U17</f>
        <v>2170565.506604</v>
      </c>
      <c r="AA54" s="91"/>
      <c r="AB54" s="133"/>
      <c r="AC54"/>
      <c r="AD54"/>
      <c r="AE54"/>
      <c r="AF54"/>
      <c r="AG54"/>
      <c r="AH54"/>
      <c r="AI54"/>
      <c r="AJ54"/>
      <c r="AK54"/>
      <c r="AL54"/>
      <c r="AM54"/>
      <c r="AN54"/>
      <c r="AO54"/>
      <c r="AP54"/>
      <c r="AQ54"/>
      <c r="BC54"/>
      <c r="BD54"/>
      <c r="BE54"/>
    </row>
    <row r="55" spans="1:57" ht="15.5">
      <c r="B55" s="1099" t="s">
        <v>559</v>
      </c>
      <c r="C55" s="1100"/>
      <c r="D55" s="1101"/>
      <c r="E55" s="17"/>
      <c r="F55" s="17"/>
      <c r="G55" s="17"/>
      <c r="H55" s="17"/>
      <c r="O55" s="5">
        <v>1</v>
      </c>
      <c r="P55" s="169"/>
      <c r="Q55" s="386" t="s">
        <v>231</v>
      </c>
      <c r="R55" s="121">
        <v>0</v>
      </c>
      <c r="S55" s="159"/>
      <c r="T55" s="151" t="s">
        <v>158</v>
      </c>
      <c r="U55" s="880">
        <f>IF(U47=0,0,IF($Z54&lt;0,(-$Z54)*U56/U47,0))</f>
        <v>0</v>
      </c>
      <c r="V55" s="880">
        <f>IF(V47=0,0,IF($Z54&lt;0,(-$Z54)*V56/V47,0))</f>
        <v>0</v>
      </c>
      <c r="W55" s="880">
        <f>IF(W47=0,0,IF($Z54&lt;0,(-$Z54)*W56/W47,0))</f>
        <v>0</v>
      </c>
      <c r="X55" s="880">
        <f>IF(X47=0,0,IF($Z54&lt;0,(-$Z54)*X56/X47,0))</f>
        <v>0</v>
      </c>
      <c r="Y55" s="133" t="s">
        <v>768</v>
      </c>
      <c r="Z55" s="133"/>
      <c r="AC55"/>
      <c r="AD55"/>
      <c r="AE55"/>
      <c r="AF55"/>
      <c r="AG55"/>
      <c r="AH55"/>
      <c r="AI55"/>
      <c r="AJ55"/>
      <c r="AK55"/>
      <c r="AL55"/>
      <c r="AM55"/>
      <c r="AN55"/>
      <c r="AO55"/>
      <c r="AP55"/>
      <c r="AQ55"/>
      <c r="BC55"/>
      <c r="BD55"/>
      <c r="BE55"/>
    </row>
    <row r="56" spans="1:57" ht="13">
      <c r="B56" s="927" t="s">
        <v>197</v>
      </c>
      <c r="C56" s="928" t="s">
        <v>149</v>
      </c>
      <c r="D56" s="929" t="s">
        <v>558</v>
      </c>
      <c r="O56" s="5">
        <v>2</v>
      </c>
      <c r="P56" s="169">
        <v>31</v>
      </c>
      <c r="Q56" s="387" t="s">
        <v>233</v>
      </c>
      <c r="R56" s="121">
        <f>R55+15</f>
        <v>15</v>
      </c>
      <c r="S56" s="159"/>
      <c r="T56" s="222" t="s">
        <v>282</v>
      </c>
      <c r="U56" s="148">
        <f>IF(SUM($U51:$X51)&gt;0,U51/SUM($U51:$X51),IF($Z39&gt;0,U39/$Z39,0))</f>
        <v>0.82966769815988894</v>
      </c>
      <c r="V56" s="148">
        <f>IF(SUM($U51:$X51)&gt;0,V51/SUM($U51:$X51),IF($Z39&gt;0,V39/$Z39,0))</f>
        <v>0.17033230184011106</v>
      </c>
      <c r="W56" s="148">
        <f>IF(SUM($U51:$X51)&gt;0,W51/SUM($U51:$X51),IF($Z39&gt;0,W39/$Z39,0))</f>
        <v>0</v>
      </c>
      <c r="X56" s="148">
        <f>IF(SUM($U51:$X51)&gt;0,X51/SUM($U51:$X51),IF($Z39&gt;0,X39/$Z39,0))</f>
        <v>0</v>
      </c>
      <c r="Y56"/>
      <c r="Z56"/>
      <c r="AA56"/>
      <c r="AB56"/>
      <c r="AC56"/>
      <c r="AD56"/>
      <c r="AE56"/>
      <c r="AF56"/>
      <c r="AG56"/>
      <c r="AH56"/>
      <c r="AI56"/>
      <c r="AJ56"/>
      <c r="AK56"/>
      <c r="AL56"/>
      <c r="AM56"/>
      <c r="AN56"/>
      <c r="AO56"/>
      <c r="AP56"/>
      <c r="AQ56"/>
      <c r="BC56"/>
      <c r="BD56"/>
      <c r="BE56"/>
    </row>
    <row r="57" spans="1:57" ht="13">
      <c r="A57" s="231">
        <v>1</v>
      </c>
      <c r="B57" s="689">
        <f t="shared" ref="B57:B63" si="17">B37-2*$H$2</f>
        <v>4350</v>
      </c>
      <c r="C57" s="924">
        <f t="shared" ref="C57:C63" si="18">C37-3*$H$2</f>
        <v>13000</v>
      </c>
      <c r="D57" s="925">
        <f>D37-2*$H$2</f>
        <v>10800</v>
      </c>
      <c r="E57" s="25"/>
      <c r="F57" s="15"/>
      <c r="G57" s="15"/>
      <c r="H57" s="35"/>
      <c r="O57" s="5">
        <v>3</v>
      </c>
      <c r="P57" s="169"/>
      <c r="Q57" s="387" t="s">
        <v>234</v>
      </c>
      <c r="R57" s="121">
        <f>R55+P56</f>
        <v>31</v>
      </c>
      <c r="S57" s="159"/>
      <c r="T57" s="37" t="s">
        <v>561</v>
      </c>
      <c r="U57" s="290">
        <f>VLOOKUP(1,AB143:AC243,2)</f>
        <v>22</v>
      </c>
      <c r="V57" s="290" t="e" vm="3">
        <f>IF(Z50=1,V59,IF(AF141=3,HLOOKUP(1,AG139:BF142,4),0))</f>
        <v>#VALUE!</v>
      </c>
      <c r="W57" s="290">
        <f>IF(Z50=1,W59,IF(AF141=4,HLOOKUP(1,AG139:BF142,4),0))</f>
        <v>0</v>
      </c>
      <c r="X57" s="290">
        <f>IF(Z50=1,X59,0)</f>
        <v>0</v>
      </c>
      <c r="Y57"/>
      <c r="Z57"/>
      <c r="AA57"/>
      <c r="AB57"/>
      <c r="AC57"/>
      <c r="AD57"/>
      <c r="AE57"/>
      <c r="AF57"/>
      <c r="AG57"/>
      <c r="AH57"/>
      <c r="AI57"/>
      <c r="AJ57"/>
      <c r="AK57"/>
      <c r="AL57"/>
      <c r="AM57"/>
      <c r="AN57"/>
      <c r="AO57"/>
      <c r="AP57"/>
      <c r="AQ57"/>
      <c r="BC57"/>
      <c r="BD57"/>
      <c r="BE57"/>
    </row>
    <row r="58" spans="1:57">
      <c r="A58" s="231">
        <v>2</v>
      </c>
      <c r="B58" s="689">
        <f t="shared" si="17"/>
        <v>14625</v>
      </c>
      <c r="C58" s="690">
        <f t="shared" si="18"/>
        <v>33550</v>
      </c>
      <c r="D58" s="691">
        <f t="shared" ref="D58:D63" si="19">D38-2*$H$2</f>
        <v>25450</v>
      </c>
      <c r="E58" s="25"/>
      <c r="F58" s="15"/>
      <c r="G58" s="15"/>
      <c r="H58" s="35"/>
      <c r="O58" s="5">
        <v>4</v>
      </c>
      <c r="P58" s="169">
        <v>28</v>
      </c>
      <c r="Q58" s="387" t="s">
        <v>235</v>
      </c>
      <c r="R58" s="121">
        <f>R57+15</f>
        <v>46</v>
      </c>
      <c r="S58" s="159"/>
      <c r="T58" s="37" t="s">
        <v>546</v>
      </c>
      <c r="U58" s="29">
        <f>U22</f>
        <v>14768</v>
      </c>
      <c r="V58" s="29">
        <f>V22</f>
        <v>3040.5</v>
      </c>
      <c r="W58" s="29">
        <f>W22</f>
        <v>0</v>
      </c>
      <c r="X58" s="29">
        <f>X22</f>
        <v>0</v>
      </c>
      <c r="Y58"/>
      <c r="Z58"/>
      <c r="AA58"/>
      <c r="AB58"/>
      <c r="AC58"/>
      <c r="AD58"/>
      <c r="AE58"/>
      <c r="AF58"/>
      <c r="AG58"/>
      <c r="AH58"/>
      <c r="AI58"/>
      <c r="AJ58"/>
      <c r="AK58"/>
      <c r="AL58"/>
      <c r="AM58"/>
      <c r="AN58"/>
      <c r="AO58"/>
      <c r="AP58"/>
      <c r="AQ58"/>
      <c r="BC58"/>
      <c r="BD58"/>
      <c r="BE58"/>
    </row>
    <row r="59" spans="1:57" ht="13">
      <c r="A59" s="231">
        <v>3</v>
      </c>
      <c r="B59" s="689">
        <f t="shared" si="17"/>
        <v>46125</v>
      </c>
      <c r="C59" s="690">
        <f t="shared" si="18"/>
        <v>96550</v>
      </c>
      <c r="D59" s="691">
        <f t="shared" si="19"/>
        <v>66700</v>
      </c>
      <c r="E59" s="25"/>
      <c r="F59" s="15"/>
      <c r="G59" s="15"/>
      <c r="H59" s="35"/>
      <c r="O59" s="5">
        <v>5</v>
      </c>
      <c r="P59" s="169"/>
      <c r="Q59" s="387" t="s">
        <v>236</v>
      </c>
      <c r="R59" s="121">
        <f>R57+P58</f>
        <v>59</v>
      </c>
      <c r="S59" s="159"/>
      <c r="T59" s="37" t="s">
        <v>563</v>
      </c>
      <c r="U59" s="290">
        <f>MATCH(0,U61:U161,0)-1</f>
        <v>23</v>
      </c>
      <c r="V59" s="290">
        <f>MATCH(0,V61:V161,0)-1</f>
        <v>9</v>
      </c>
      <c r="W59" s="290">
        <f>MATCH(0,W61:W161,0)-1</f>
        <v>0</v>
      </c>
      <c r="X59" s="290">
        <f>MATCH(0,X61:X161,0)-1</f>
        <v>0</v>
      </c>
      <c r="Y59"/>
      <c r="Z59"/>
      <c r="AA59"/>
      <c r="AB59"/>
      <c r="AC59"/>
      <c r="AD59"/>
      <c r="AE59"/>
      <c r="AF59"/>
      <c r="AG59"/>
      <c r="AH59"/>
      <c r="AI59"/>
      <c r="AJ59"/>
      <c r="AK59"/>
      <c r="AL59"/>
      <c r="AM59"/>
      <c r="AN59"/>
      <c r="AO59"/>
      <c r="AP59"/>
      <c r="AQ59"/>
      <c r="BC59"/>
      <c r="BD59"/>
      <c r="BE59"/>
    </row>
    <row r="60" spans="1:57">
      <c r="A60" s="231">
        <v>4</v>
      </c>
      <c r="B60" s="689">
        <f t="shared" si="17"/>
        <v>93425</v>
      </c>
      <c r="C60" s="690">
        <f t="shared" si="18"/>
        <v>191150</v>
      </c>
      <c r="D60" s="691">
        <f t="shared" si="19"/>
        <v>99850</v>
      </c>
      <c r="E60" s="25"/>
      <c r="F60" s="15"/>
      <c r="G60" s="15"/>
      <c r="H60" s="35"/>
      <c r="O60" s="5">
        <v>6</v>
      </c>
      <c r="P60" s="169">
        <v>31</v>
      </c>
      <c r="Q60" s="387" t="s">
        <v>237</v>
      </c>
      <c r="R60" s="121">
        <f>R59+15</f>
        <v>74</v>
      </c>
      <c r="S60" s="159"/>
      <c r="T60" s="127" t="s">
        <v>174</v>
      </c>
      <c r="U60" s="1111" t="s">
        <v>562</v>
      </c>
      <c r="V60" s="1112"/>
      <c r="W60" s="1112"/>
      <c r="X60" s="478"/>
      <c r="Y60"/>
      <c r="Z60"/>
      <c r="AA60"/>
      <c r="AB60"/>
      <c r="AC60"/>
      <c r="AD60"/>
      <c r="AE60"/>
      <c r="AF60"/>
      <c r="AG60"/>
      <c r="AH60"/>
      <c r="AI60"/>
      <c r="AJ60"/>
      <c r="AK60"/>
      <c r="AL60"/>
      <c r="AM60"/>
      <c r="AN60"/>
      <c r="AO60"/>
      <c r="AP60"/>
      <c r="AQ60"/>
      <c r="BC60"/>
      <c r="BD60"/>
      <c r="BE60"/>
    </row>
    <row r="61" spans="1:57">
      <c r="A61" s="231">
        <v>5</v>
      </c>
      <c r="B61" s="689">
        <f t="shared" si="17"/>
        <v>174400</v>
      </c>
      <c r="C61" s="690">
        <f t="shared" si="18"/>
        <v>353100</v>
      </c>
      <c r="D61" s="691">
        <f t="shared" si="19"/>
        <v>180850</v>
      </c>
      <c r="E61" s="25"/>
      <c r="F61" s="15"/>
      <c r="G61" s="15"/>
      <c r="H61" s="35"/>
      <c r="O61" s="5">
        <v>7</v>
      </c>
      <c r="P61" s="170"/>
      <c r="Q61" s="387" t="s">
        <v>238</v>
      </c>
      <c r="R61" s="121">
        <f>R59+P60</f>
        <v>90</v>
      </c>
      <c r="S61" s="159"/>
      <c r="T61" s="126">
        <v>0</v>
      </c>
      <c r="U61" s="29">
        <f t="shared" ref="U61:X80" si="20">(VLOOKUP(MAX(U$21-$T61*$H$2,0),$B$69:$D$76,2)+VLOOKUP(MAX(U$21-$T61*$H$2,0),$B$69:$D$76,3)*(MAX(U$21-$T61*$H$2,0)-VLOOKUP(MAX(U$21-$T61*$H$2,0),$B$69:$D$76,1)))*U$48</f>
        <v>2054375.4423076923</v>
      </c>
      <c r="V61" s="29">
        <f t="shared" si="20"/>
        <v>496845</v>
      </c>
      <c r="W61" s="29">
        <f t="shared" si="20"/>
        <v>0</v>
      </c>
      <c r="X61" s="29">
        <f t="shared" si="20"/>
        <v>0</v>
      </c>
      <c r="Y61"/>
      <c r="Z61"/>
      <c r="AA61"/>
      <c r="AB61"/>
      <c r="AC61"/>
      <c r="AD61"/>
      <c r="AE61"/>
      <c r="AF61"/>
      <c r="AG61"/>
      <c r="AH61"/>
      <c r="AI61"/>
      <c r="AJ61"/>
      <c r="AK61"/>
      <c r="AL61"/>
      <c r="AM61"/>
      <c r="AN61"/>
      <c r="AO61"/>
      <c r="AP61"/>
      <c r="AQ61"/>
      <c r="BC61"/>
      <c r="BD61"/>
      <c r="BE61"/>
    </row>
    <row r="62" spans="1:57">
      <c r="A62" s="231">
        <v>6</v>
      </c>
      <c r="B62" s="689">
        <f t="shared" si="17"/>
        <v>220300</v>
      </c>
      <c r="C62" s="690">
        <f t="shared" si="18"/>
        <v>444900</v>
      </c>
      <c r="D62" s="691">
        <f t="shared" si="19"/>
        <v>226750</v>
      </c>
      <c r="N62" s="16"/>
      <c r="O62" s="5">
        <v>8</v>
      </c>
      <c r="P62" s="170">
        <v>30</v>
      </c>
      <c r="Q62" s="387" t="s">
        <v>183</v>
      </c>
      <c r="R62" s="121">
        <f>R61+15</f>
        <v>105</v>
      </c>
      <c r="S62" s="159"/>
      <c r="T62" s="126">
        <v>1</v>
      </c>
      <c r="U62" s="29">
        <f t="shared" si="20"/>
        <v>1928114.2115384615</v>
      </c>
      <c r="V62" s="29">
        <f t="shared" si="20"/>
        <v>433893</v>
      </c>
      <c r="W62" s="29">
        <f t="shared" si="20"/>
        <v>0</v>
      </c>
      <c r="X62" s="29">
        <f t="shared" si="20"/>
        <v>0</v>
      </c>
      <c r="Y62" s="29"/>
      <c r="Z62" s="332"/>
      <c r="AA62"/>
      <c r="AB62"/>
      <c r="AC62"/>
      <c r="AD62"/>
      <c r="AE62"/>
      <c r="AF62"/>
      <c r="AG62"/>
      <c r="AH62"/>
      <c r="AI62"/>
      <c r="AJ62"/>
      <c r="AK62"/>
      <c r="AL62"/>
      <c r="AM62"/>
      <c r="AN62"/>
      <c r="AO62"/>
      <c r="AP62"/>
      <c r="AQ62"/>
      <c r="BC62"/>
      <c r="BD62"/>
      <c r="BE62"/>
    </row>
    <row r="63" spans="1:57" ht="13" thickBot="1">
      <c r="A63" s="231">
        <v>7</v>
      </c>
      <c r="B63" s="692">
        <f t="shared" si="17"/>
        <v>544250</v>
      </c>
      <c r="C63" s="926">
        <f t="shared" si="18"/>
        <v>660850</v>
      </c>
      <c r="D63" s="693">
        <f t="shared" si="19"/>
        <v>550700</v>
      </c>
      <c r="N63" s="16"/>
      <c r="O63" s="5">
        <v>9</v>
      </c>
      <c r="P63" s="170"/>
      <c r="Q63" s="387" t="s">
        <v>184</v>
      </c>
      <c r="R63" s="121">
        <f>R61+P62</f>
        <v>120</v>
      </c>
      <c r="S63" s="159"/>
      <c r="T63" s="126">
        <v>2</v>
      </c>
      <c r="U63" s="29">
        <f t="shared" si="20"/>
        <v>1806808</v>
      </c>
      <c r="V63" s="29">
        <f t="shared" si="20"/>
        <v>370941</v>
      </c>
      <c r="W63" s="29">
        <f t="shared" si="20"/>
        <v>0</v>
      </c>
      <c r="X63" s="29">
        <f t="shared" si="20"/>
        <v>0</v>
      </c>
      <c r="Y63" s="29"/>
      <c r="Z63" s="332"/>
      <c r="AA63"/>
      <c r="AB63"/>
      <c r="BC63"/>
      <c r="BD63"/>
      <c r="BE63"/>
    </row>
    <row r="64" spans="1:57" ht="16" thickBot="1">
      <c r="D64"/>
      <c r="E64"/>
      <c r="G64" s="1102" t="s">
        <v>220</v>
      </c>
      <c r="H64" s="1103"/>
      <c r="I64" s="1103"/>
      <c r="J64" s="1104"/>
      <c r="N64" s="16"/>
      <c r="O64" s="5">
        <v>10</v>
      </c>
      <c r="P64" s="170">
        <v>31</v>
      </c>
      <c r="Q64" s="387" t="s">
        <v>185</v>
      </c>
      <c r="R64" s="121">
        <f>R63+15</f>
        <v>135</v>
      </c>
      <c r="S64" s="159"/>
      <c r="T64" s="126">
        <v>3</v>
      </c>
      <c r="U64" s="29">
        <f t="shared" si="20"/>
        <v>1691068.5384615383</v>
      </c>
      <c r="V64" s="29">
        <f t="shared" si="20"/>
        <v>307989</v>
      </c>
      <c r="W64" s="29">
        <f t="shared" si="20"/>
        <v>0</v>
      </c>
      <c r="X64" s="29">
        <f t="shared" si="20"/>
        <v>0</v>
      </c>
      <c r="Y64" s="29"/>
      <c r="Z64" s="349"/>
      <c r="AB64" s="133"/>
      <c r="AF64"/>
      <c r="AG64"/>
      <c r="AH64"/>
      <c r="AI64"/>
      <c r="AJ64"/>
      <c r="BC64"/>
      <c r="BD64"/>
      <c r="BE64"/>
    </row>
    <row r="65" spans="1:58" ht="16" thickBot="1">
      <c r="B65" s="282" t="s">
        <v>557</v>
      </c>
      <c r="C65" s="283"/>
      <c r="D65" s="284"/>
      <c r="E65"/>
      <c r="G65" s="178"/>
      <c r="H65" s="179"/>
      <c r="I65" s="179"/>
      <c r="J65" s="180"/>
      <c r="O65" s="5">
        <v>11</v>
      </c>
      <c r="P65" s="170"/>
      <c r="Q65" s="387" t="s">
        <v>186</v>
      </c>
      <c r="R65" s="121">
        <f>R63+P64</f>
        <v>151</v>
      </c>
      <c r="S65" s="159"/>
      <c r="T65" s="126">
        <v>4</v>
      </c>
      <c r="U65" s="29">
        <f t="shared" si="20"/>
        <v>1575329.0769230768</v>
      </c>
      <c r="V65" s="29">
        <f t="shared" si="20"/>
        <v>245037</v>
      </c>
      <c r="W65" s="29">
        <f t="shared" si="20"/>
        <v>0</v>
      </c>
      <c r="X65" s="29">
        <f t="shared" si="20"/>
        <v>0</v>
      </c>
      <c r="Y65" s="29"/>
      <c r="Z65" s="133"/>
      <c r="AA65" s="120"/>
      <c r="AB65" s="133"/>
      <c r="AF65"/>
      <c r="AG65"/>
      <c r="AH65"/>
      <c r="AI65"/>
      <c r="AJ65"/>
      <c r="BC65"/>
      <c r="BD65"/>
      <c r="BE65"/>
    </row>
    <row r="66" spans="1:58" ht="15.5">
      <c r="B66" s="219" t="s">
        <v>10</v>
      </c>
      <c r="C66" s="220"/>
      <c r="D66" s="221" t="str">
        <f>K33</f>
        <v>Single</v>
      </c>
      <c r="E66"/>
      <c r="G66" s="181" t="s">
        <v>195</v>
      </c>
      <c r="H66" s="182" t="s">
        <v>196</v>
      </c>
      <c r="I66" s="183"/>
      <c r="J66" s="184"/>
      <c r="O66" s="5">
        <v>12</v>
      </c>
      <c r="P66" s="170">
        <v>30</v>
      </c>
      <c r="Q66" s="387" t="s">
        <v>69</v>
      </c>
      <c r="R66" s="121">
        <f>R65+15</f>
        <v>166</v>
      </c>
      <c r="S66" s="159"/>
      <c r="T66" s="126">
        <v>5</v>
      </c>
      <c r="U66" s="29">
        <f t="shared" si="20"/>
        <v>1459589.6153846153</v>
      </c>
      <c r="V66" s="29">
        <f t="shared" si="20"/>
        <v>182085</v>
      </c>
      <c r="W66" s="29">
        <f t="shared" si="20"/>
        <v>0</v>
      </c>
      <c r="X66" s="29">
        <f t="shared" si="20"/>
        <v>0</v>
      </c>
      <c r="Y66" s="29"/>
      <c r="Z66" s="318"/>
      <c r="AA66" s="167"/>
      <c r="AB66" s="319" t="s">
        <v>305</v>
      </c>
      <c r="AC66" s="320"/>
      <c r="AD66" s="321"/>
      <c r="AE66" s="322"/>
      <c r="AF66"/>
      <c r="AG66"/>
      <c r="AH66"/>
      <c r="AI66"/>
      <c r="AJ66"/>
      <c r="AL66" s="10"/>
      <c r="BC66"/>
      <c r="BD66"/>
      <c r="BE66"/>
    </row>
    <row r="67" spans="1:58" ht="13">
      <c r="B67" s="213"/>
      <c r="C67" s="222" t="s">
        <v>76</v>
      </c>
      <c r="D67" s="214" t="s">
        <v>226</v>
      </c>
      <c r="E67"/>
      <c r="G67" s="185"/>
      <c r="H67" s="186"/>
      <c r="I67" s="187" t="s">
        <v>188</v>
      </c>
      <c r="J67" s="186"/>
      <c r="M67"/>
      <c r="N67"/>
      <c r="O67" s="5">
        <v>13</v>
      </c>
      <c r="P67" s="170"/>
      <c r="Q67" s="388" t="s">
        <v>70</v>
      </c>
      <c r="R67" s="121">
        <f>R65+P66</f>
        <v>181</v>
      </c>
      <c r="S67" s="159"/>
      <c r="T67" s="126">
        <v>6</v>
      </c>
      <c r="U67" s="29">
        <f t="shared" si="20"/>
        <v>1343850.1538461538</v>
      </c>
      <c r="V67" s="29">
        <f t="shared" si="20"/>
        <v>120170</v>
      </c>
      <c r="W67" s="29">
        <f t="shared" si="20"/>
        <v>0</v>
      </c>
      <c r="X67" s="29">
        <f t="shared" si="20"/>
        <v>0</v>
      </c>
      <c r="Y67" s="29"/>
      <c r="Z67" s="323" t="s">
        <v>218</v>
      </c>
      <c r="AA67" s="324"/>
      <c r="AB67" s="325" t="s">
        <v>161</v>
      </c>
      <c r="AC67" s="325" t="s">
        <v>162</v>
      </c>
      <c r="AD67" s="172" t="s">
        <v>87</v>
      </c>
      <c r="AE67" s="326" t="s">
        <v>88</v>
      </c>
      <c r="AF67"/>
      <c r="AG67"/>
      <c r="AH67"/>
      <c r="AI67"/>
      <c r="AJ67"/>
      <c r="AK67" s="17"/>
      <c r="AL67" s="17"/>
      <c r="AM67" s="17"/>
      <c r="AQ67" s="17"/>
      <c r="BC67"/>
      <c r="BD67"/>
      <c r="BE67"/>
    </row>
    <row r="68" spans="1:58" ht="15.5">
      <c r="A68"/>
      <c r="B68" s="226" t="s">
        <v>138</v>
      </c>
      <c r="C68" s="224" t="s">
        <v>77</v>
      </c>
      <c r="D68" s="225" t="s">
        <v>95</v>
      </c>
      <c r="E68"/>
      <c r="G68" s="235">
        <v>0</v>
      </c>
      <c r="H68" s="236">
        <f>Parameters!BX2</f>
        <v>0.35</v>
      </c>
      <c r="I68" s="119" t="s">
        <v>94</v>
      </c>
      <c r="J68" s="227"/>
      <c r="M68"/>
      <c r="N68"/>
      <c r="O68" s="5">
        <v>14</v>
      </c>
      <c r="P68" s="170">
        <v>31</v>
      </c>
      <c r="Q68" s="388" t="s">
        <v>84</v>
      </c>
      <c r="R68" s="121">
        <f>R67+15</f>
        <v>196</v>
      </c>
      <c r="S68" s="159"/>
      <c r="T68" s="126">
        <v>7</v>
      </c>
      <c r="U68" s="29">
        <f t="shared" si="20"/>
        <v>1228110.6923076923</v>
      </c>
      <c r="V68" s="29">
        <f t="shared" si="20"/>
        <v>67710</v>
      </c>
      <c r="W68" s="29">
        <f t="shared" si="20"/>
        <v>0</v>
      </c>
      <c r="X68" s="29">
        <f t="shared" si="20"/>
        <v>0</v>
      </c>
      <c r="Y68" s="29"/>
      <c r="Z68" s="327">
        <f>DATE(YEAR($AI$77),1,1)</f>
        <v>44197</v>
      </c>
      <c r="AA68" s="121">
        <v>1</v>
      </c>
      <c r="AB68" s="121">
        <f t="shared" ref="AB68:AB92" si="21">MAX(0,IF($AG$74&lt;=$AA68,0,INT(($AH$74-$Z68)/7-1)))</f>
        <v>40</v>
      </c>
      <c r="AC68" s="121">
        <f>INT(AB68/2)</f>
        <v>20</v>
      </c>
      <c r="AD68" s="121">
        <f t="shared" ref="AD68:AD92" si="22">MAX(0,IF($AG$74&lt;=$AA68,0,$AG$74-$AA68-IF(OR(AND(DAY($AH$74)&gt;7,DAY($AH$74)&lt;15),DAY($AH$74)&gt;22),0,1)))</f>
        <v>18</v>
      </c>
      <c r="AE68" s="159">
        <f>INT(AD68/2)</f>
        <v>9</v>
      </c>
      <c r="AF68"/>
      <c r="AG68"/>
      <c r="AH68"/>
      <c r="AI68"/>
      <c r="AJ68"/>
      <c r="AK68" s="17"/>
      <c r="AL68" s="17"/>
      <c r="AM68" s="17"/>
      <c r="AO68" s="17"/>
      <c r="AP68" s="17"/>
      <c r="AQ68" s="17"/>
      <c r="BC68"/>
      <c r="BD68"/>
      <c r="BE68"/>
    </row>
    <row r="69" spans="1:58" ht="15.5">
      <c r="A69"/>
      <c r="B69" s="229">
        <v>0</v>
      </c>
      <c r="C69" s="230">
        <v>0</v>
      </c>
      <c r="D69" s="234">
        <v>0</v>
      </c>
      <c r="E69"/>
      <c r="G69" s="237">
        <f>Parameters!BW3</f>
        <v>15000</v>
      </c>
      <c r="H69" s="236">
        <f>Parameters!BX3</f>
        <v>0.34</v>
      </c>
      <c r="I69" s="120"/>
      <c r="J69" s="227"/>
      <c r="M69"/>
      <c r="N69"/>
      <c r="O69" s="5">
        <v>15</v>
      </c>
      <c r="P69" s="170"/>
      <c r="Q69" s="388" t="s">
        <v>85</v>
      </c>
      <c r="R69" s="121">
        <f>R67+P68</f>
        <v>212</v>
      </c>
      <c r="S69" s="159"/>
      <c r="T69" s="126">
        <v>8</v>
      </c>
      <c r="U69" s="29">
        <f t="shared" si="20"/>
        <v>1112371.2307692308</v>
      </c>
      <c r="V69" s="29">
        <f t="shared" si="20"/>
        <v>15250</v>
      </c>
      <c r="W69" s="29">
        <f t="shared" si="20"/>
        <v>0</v>
      </c>
      <c r="X69" s="29">
        <f t="shared" si="20"/>
        <v>0</v>
      </c>
      <c r="Y69" s="29"/>
      <c r="Z69" s="327">
        <f>DATE(YEAR($AI$77),1,15)</f>
        <v>44211</v>
      </c>
      <c r="AA69" s="121">
        <v>2</v>
      </c>
      <c r="AB69" s="121">
        <f t="shared" si="21"/>
        <v>38</v>
      </c>
      <c r="AC69" s="121">
        <f t="shared" ref="AC69:AC92" si="23">INT(AB69/2)</f>
        <v>19</v>
      </c>
      <c r="AD69" s="121">
        <f t="shared" si="22"/>
        <v>17</v>
      </c>
      <c r="AE69" s="159">
        <f t="shared" ref="AE69:AE92" si="24">INT(AD69/2)</f>
        <v>8</v>
      </c>
      <c r="AF69"/>
      <c r="AG69"/>
      <c r="AH69"/>
      <c r="AI69"/>
      <c r="AJ69"/>
      <c r="AK69" s="16"/>
      <c r="AL69" s="16"/>
      <c r="AM69" s="15"/>
      <c r="AO69" s="15"/>
      <c r="AP69" s="16"/>
      <c r="AQ69" s="15"/>
      <c r="BC69"/>
      <c r="BD69"/>
      <c r="BE69"/>
    </row>
    <row r="70" spans="1:58" ht="15.5">
      <c r="A70" s="231">
        <v>1</v>
      </c>
      <c r="B70" s="229">
        <f>VLOOKUP(A70,$A$57:$D$63,$H$33+1)</f>
        <v>4350</v>
      </c>
      <c r="C70" s="230">
        <f>C69+$D69*(B70-B69)</f>
        <v>0</v>
      </c>
      <c r="D70" s="234">
        <f>K37</f>
        <v>0.1</v>
      </c>
      <c r="E70"/>
      <c r="G70" s="237">
        <f>Parameters!BW4</f>
        <v>17000</v>
      </c>
      <c r="H70" s="236">
        <f>Parameters!BX4</f>
        <v>0.33</v>
      </c>
      <c r="I70" s="1043">
        <f>'Input &amp; Results'!E39</f>
        <v>0</v>
      </c>
      <c r="J70" s="227" t="s">
        <v>167</v>
      </c>
      <c r="M70"/>
      <c r="N70"/>
      <c r="O70" s="5">
        <v>16</v>
      </c>
      <c r="P70" s="170">
        <v>31</v>
      </c>
      <c r="Q70" s="388" t="s">
        <v>86</v>
      </c>
      <c r="R70" s="121">
        <f>R69+15</f>
        <v>227</v>
      </c>
      <c r="S70" s="159"/>
      <c r="T70" s="126">
        <v>9</v>
      </c>
      <c r="U70" s="29">
        <f t="shared" si="20"/>
        <v>996631.76923076913</v>
      </c>
      <c r="V70" s="29">
        <f t="shared" si="20"/>
        <v>0</v>
      </c>
      <c r="W70" s="29">
        <f t="shared" si="20"/>
        <v>0</v>
      </c>
      <c r="X70" s="29">
        <f t="shared" si="20"/>
        <v>0</v>
      </c>
      <c r="Y70" s="29"/>
      <c r="Z70" s="327">
        <f>DATE(YEAR($AI$77),2,1)</f>
        <v>44228</v>
      </c>
      <c r="AA70" s="121">
        <v>3</v>
      </c>
      <c r="AB70" s="121">
        <f t="shared" si="21"/>
        <v>35</v>
      </c>
      <c r="AC70" s="121">
        <f t="shared" si="23"/>
        <v>17</v>
      </c>
      <c r="AD70" s="121">
        <f t="shared" si="22"/>
        <v>16</v>
      </c>
      <c r="AE70" s="159">
        <f t="shared" si="24"/>
        <v>8</v>
      </c>
      <c r="AF70"/>
      <c r="AG70"/>
      <c r="AH70"/>
      <c r="AI70"/>
      <c r="AJ70"/>
      <c r="AK70" s="16"/>
      <c r="AL70" s="16"/>
      <c r="AM70" s="15"/>
      <c r="AO70" s="15"/>
      <c r="AP70" s="16"/>
      <c r="AQ70" s="15"/>
      <c r="BC70"/>
      <c r="BD70"/>
      <c r="BE70"/>
    </row>
    <row r="71" spans="1:58" ht="15.5">
      <c r="A71" s="231">
        <v>2</v>
      </c>
      <c r="B71" s="229">
        <f t="shared" ref="B71:B76" si="25">VLOOKUP(A71,$A$57:$D$63,$H$33+1)</f>
        <v>14625</v>
      </c>
      <c r="C71" s="230">
        <f t="shared" ref="C71:C76" si="26">C70+$D70*(B71-B70)</f>
        <v>1027.5</v>
      </c>
      <c r="D71" s="234">
        <f t="shared" ref="D71:D76" si="27">K38</f>
        <v>0.12</v>
      </c>
      <c r="G71" s="237">
        <f>Parameters!BW5</f>
        <v>19000</v>
      </c>
      <c r="H71" s="236">
        <f>Parameters!BX5</f>
        <v>0.32</v>
      </c>
      <c r="I71" s="120"/>
      <c r="J71" s="227"/>
      <c r="M71"/>
      <c r="N71"/>
      <c r="O71" s="5">
        <v>17</v>
      </c>
      <c r="P71" s="170"/>
      <c r="Q71" s="388" t="s">
        <v>51</v>
      </c>
      <c r="R71" s="121">
        <f>R69+P70</f>
        <v>243</v>
      </c>
      <c r="S71" s="159"/>
      <c r="T71" s="126">
        <v>10</v>
      </c>
      <c r="U71" s="29">
        <f t="shared" si="20"/>
        <v>880892.30769230763</v>
      </c>
      <c r="V71" s="29">
        <f t="shared" si="20"/>
        <v>0</v>
      </c>
      <c r="W71" s="29">
        <f t="shared" si="20"/>
        <v>0</v>
      </c>
      <c r="X71" s="29">
        <f t="shared" si="20"/>
        <v>0</v>
      </c>
      <c r="Y71" s="29"/>
      <c r="Z71" s="327">
        <f>DATE(YEAR($AI$77),2,15)</f>
        <v>44242</v>
      </c>
      <c r="AA71" s="121">
        <v>4</v>
      </c>
      <c r="AB71" s="121">
        <f t="shared" si="21"/>
        <v>33</v>
      </c>
      <c r="AC71" s="121">
        <f t="shared" si="23"/>
        <v>16</v>
      </c>
      <c r="AD71" s="121">
        <f t="shared" si="22"/>
        <v>15</v>
      </c>
      <c r="AE71" s="159">
        <f t="shared" si="24"/>
        <v>7</v>
      </c>
      <c r="AF71"/>
      <c r="AG71"/>
      <c r="AH71"/>
      <c r="AI71"/>
      <c r="AJ71"/>
      <c r="AK71" s="16"/>
      <c r="AL71" s="16"/>
      <c r="AM71" s="15"/>
      <c r="AO71" s="15"/>
      <c r="AP71" s="16"/>
      <c r="AQ71" s="15"/>
      <c r="BC71"/>
      <c r="BD71"/>
      <c r="BE71"/>
    </row>
    <row r="72" spans="1:58" ht="15.5">
      <c r="A72" s="231">
        <v>3</v>
      </c>
      <c r="B72" s="229">
        <f t="shared" si="25"/>
        <v>46125</v>
      </c>
      <c r="C72" s="230">
        <f t="shared" si="26"/>
        <v>4807.5</v>
      </c>
      <c r="D72" s="234">
        <f t="shared" si="27"/>
        <v>0.22</v>
      </c>
      <c r="G72" s="237">
        <f>Parameters!BW6</f>
        <v>21000</v>
      </c>
      <c r="H72" s="236">
        <f>Parameters!BX6</f>
        <v>0.31</v>
      </c>
      <c r="I72" s="120"/>
      <c r="J72" s="227"/>
      <c r="M72"/>
      <c r="N72"/>
      <c r="O72" s="5">
        <v>18</v>
      </c>
      <c r="P72" s="170">
        <v>30</v>
      </c>
      <c r="Q72" s="388" t="s">
        <v>62</v>
      </c>
      <c r="R72" s="121">
        <f>R71+15</f>
        <v>258</v>
      </c>
      <c r="S72" s="159"/>
      <c r="T72" s="126">
        <v>11</v>
      </c>
      <c r="U72" s="29">
        <f t="shared" si="20"/>
        <v>765152.84615384613</v>
      </c>
      <c r="V72" s="29">
        <f t="shared" si="20"/>
        <v>0</v>
      </c>
      <c r="W72" s="29">
        <f t="shared" si="20"/>
        <v>0</v>
      </c>
      <c r="X72" s="29">
        <f t="shared" si="20"/>
        <v>0</v>
      </c>
      <c r="Y72" s="29"/>
      <c r="Z72" s="327">
        <f>DATE(YEAR($AI$77),3,1)</f>
        <v>44256</v>
      </c>
      <c r="AA72" s="121">
        <v>5</v>
      </c>
      <c r="AB72" s="121">
        <f t="shared" si="21"/>
        <v>31</v>
      </c>
      <c r="AC72" s="121">
        <f t="shared" si="23"/>
        <v>15</v>
      </c>
      <c r="AD72" s="121">
        <f t="shared" si="22"/>
        <v>14</v>
      </c>
      <c r="AE72" s="159">
        <f t="shared" si="24"/>
        <v>7</v>
      </c>
      <c r="AF72"/>
      <c r="AG72"/>
      <c r="AH72"/>
      <c r="AI72"/>
      <c r="AJ72"/>
      <c r="AK72" s="16"/>
      <c r="AL72" s="16"/>
      <c r="AM72" s="15"/>
      <c r="AO72" s="15"/>
      <c r="AP72" s="16"/>
      <c r="AQ72" s="15"/>
      <c r="BC72"/>
      <c r="BD72"/>
      <c r="BE72"/>
    </row>
    <row r="73" spans="1:58" ht="15.5">
      <c r="A73" s="231">
        <v>4</v>
      </c>
      <c r="B73" s="229">
        <f t="shared" si="25"/>
        <v>93425</v>
      </c>
      <c r="C73" s="230">
        <f t="shared" si="26"/>
        <v>15213.5</v>
      </c>
      <c r="D73" s="234">
        <f t="shared" si="27"/>
        <v>0.24</v>
      </c>
      <c r="E73"/>
      <c r="G73" s="237">
        <f>Parameters!BW7</f>
        <v>23000</v>
      </c>
      <c r="H73" s="236">
        <f>Parameters!BX7</f>
        <v>0.3</v>
      </c>
      <c r="I73" s="120"/>
      <c r="J73" s="227"/>
      <c r="M73"/>
      <c r="N73"/>
      <c r="O73" s="5">
        <v>19</v>
      </c>
      <c r="P73" s="170"/>
      <c r="Q73" s="388" t="s">
        <v>63</v>
      </c>
      <c r="R73" s="121">
        <f>R71+P72</f>
        <v>273</v>
      </c>
      <c r="S73" s="159"/>
      <c r="T73" s="126">
        <v>12</v>
      </c>
      <c r="U73" s="29">
        <f t="shared" si="20"/>
        <v>649413.38461538462</v>
      </c>
      <c r="V73" s="29">
        <f t="shared" si="20"/>
        <v>0</v>
      </c>
      <c r="W73" s="29">
        <f t="shared" si="20"/>
        <v>0</v>
      </c>
      <c r="X73" s="29">
        <f t="shared" si="20"/>
        <v>0</v>
      </c>
      <c r="Y73" s="29"/>
      <c r="Z73" s="327">
        <f>DATE(YEAR($AI$77),3,15)</f>
        <v>44270</v>
      </c>
      <c r="AA73" s="121">
        <v>6</v>
      </c>
      <c r="AB73" s="121">
        <f t="shared" si="21"/>
        <v>29</v>
      </c>
      <c r="AC73" s="121">
        <f t="shared" si="23"/>
        <v>14</v>
      </c>
      <c r="AD73" s="121">
        <f t="shared" si="22"/>
        <v>13</v>
      </c>
      <c r="AE73" s="159">
        <f t="shared" si="24"/>
        <v>6</v>
      </c>
      <c r="AF73"/>
      <c r="AG73"/>
      <c r="AH73" s="16"/>
      <c r="AI73" s="16"/>
      <c r="AJ73" s="15"/>
      <c r="AK73" s="16"/>
      <c r="AL73" s="16"/>
      <c r="AM73" s="15"/>
      <c r="AO73" s="15"/>
      <c r="AP73" s="16"/>
      <c r="AQ73" s="15"/>
      <c r="BC73"/>
      <c r="BD73"/>
      <c r="BE73"/>
    </row>
    <row r="74" spans="1:58" ht="15.5">
      <c r="A74" s="231">
        <v>5</v>
      </c>
      <c r="B74" s="229">
        <f t="shared" si="25"/>
        <v>174400</v>
      </c>
      <c r="C74" s="230">
        <f t="shared" si="26"/>
        <v>34647.5</v>
      </c>
      <c r="D74" s="234">
        <f t="shared" si="27"/>
        <v>0.32</v>
      </c>
      <c r="E74"/>
      <c r="G74" s="237">
        <f>Parameters!BW8</f>
        <v>25000</v>
      </c>
      <c r="H74" s="236">
        <f>Parameters!BX8</f>
        <v>0.28999999999999998</v>
      </c>
      <c r="I74" s="120"/>
      <c r="J74" s="227"/>
      <c r="M74"/>
      <c r="N74"/>
      <c r="O74" s="5">
        <v>20</v>
      </c>
      <c r="P74" s="170">
        <v>31</v>
      </c>
      <c r="Q74" s="388" t="s">
        <v>64</v>
      </c>
      <c r="R74" s="121">
        <f>R73+15</f>
        <v>288</v>
      </c>
      <c r="S74" s="159"/>
      <c r="T74" s="126">
        <v>13</v>
      </c>
      <c r="U74" s="29">
        <f t="shared" si="20"/>
        <v>558449.01923076925</v>
      </c>
      <c r="V74" s="29">
        <f t="shared" si="20"/>
        <v>0</v>
      </c>
      <c r="W74" s="29">
        <f t="shared" si="20"/>
        <v>0</v>
      </c>
      <c r="X74" s="29">
        <f t="shared" si="20"/>
        <v>0</v>
      </c>
      <c r="Y74" s="29"/>
      <c r="Z74" s="327">
        <f>DATE(YEAR($AI$77),4,1)</f>
        <v>44287</v>
      </c>
      <c r="AA74" s="121">
        <v>7</v>
      </c>
      <c r="AB74" s="121">
        <f t="shared" si="21"/>
        <v>27</v>
      </c>
      <c r="AC74" s="121">
        <f t="shared" si="23"/>
        <v>13</v>
      </c>
      <c r="AD74" s="121">
        <f t="shared" si="22"/>
        <v>12</v>
      </c>
      <c r="AE74" s="159">
        <f t="shared" si="24"/>
        <v>6</v>
      </c>
      <c r="AF74" s="300"/>
      <c r="AG74" s="300">
        <f>VLOOKUP(AH74,AF93:AG117,2)</f>
        <v>20</v>
      </c>
      <c r="AH74" s="257">
        <f>'Input &amp; Results'!R22</f>
        <v>44484</v>
      </c>
      <c r="AI74" s="300">
        <f ca="1">AH74-TODAY()</f>
        <v>-46</v>
      </c>
      <c r="AJ74" s="276" t="s">
        <v>170</v>
      </c>
      <c r="AK74" s="16"/>
      <c r="AL74" s="257">
        <f ca="1">TODAY()+AM74</f>
        <v>44530</v>
      </c>
      <c r="AM74" s="15"/>
      <c r="AO74" s="15"/>
      <c r="AP74" s="16"/>
      <c r="AQ74" s="15"/>
      <c r="BC74"/>
      <c r="BD74"/>
      <c r="BE74"/>
    </row>
    <row r="75" spans="1:58" ht="16" thickBot="1">
      <c r="A75" s="231">
        <v>6</v>
      </c>
      <c r="B75" s="229">
        <f t="shared" si="25"/>
        <v>220300</v>
      </c>
      <c r="C75" s="230">
        <f t="shared" si="26"/>
        <v>49335.5</v>
      </c>
      <c r="D75" s="234">
        <f t="shared" si="27"/>
        <v>0.35</v>
      </c>
      <c r="E75"/>
      <c r="G75" s="237">
        <f>Parameters!BW9</f>
        <v>27000</v>
      </c>
      <c r="H75" s="236">
        <f>Parameters!BX9</f>
        <v>0.28000000000000003</v>
      </c>
      <c r="I75" s="238"/>
      <c r="J75" s="239"/>
      <c r="M75"/>
      <c r="N75"/>
      <c r="O75" s="5">
        <v>21</v>
      </c>
      <c r="P75" s="170"/>
      <c r="Q75" s="388" t="s">
        <v>0</v>
      </c>
      <c r="R75" s="121">
        <f>R73+P74</f>
        <v>304</v>
      </c>
      <c r="S75" s="159"/>
      <c r="T75" s="126">
        <v>14</v>
      </c>
      <c r="U75" s="29">
        <f t="shared" si="20"/>
        <v>495318.40384615381</v>
      </c>
      <c r="V75" s="29">
        <f t="shared" si="20"/>
        <v>0</v>
      </c>
      <c r="W75" s="29">
        <f t="shared" si="20"/>
        <v>0</v>
      </c>
      <c r="X75" s="29">
        <f t="shared" si="20"/>
        <v>0</v>
      </c>
      <c r="Y75" s="29"/>
      <c r="Z75" s="327">
        <f>DATE(YEAR($AI$77),4,15)</f>
        <v>44301</v>
      </c>
      <c r="AA75" s="121">
        <v>8</v>
      </c>
      <c r="AB75" s="121">
        <f t="shared" si="21"/>
        <v>25</v>
      </c>
      <c r="AC75" s="121">
        <f t="shared" si="23"/>
        <v>12</v>
      </c>
      <c r="AD75" s="121">
        <f t="shared" si="22"/>
        <v>11</v>
      </c>
      <c r="AE75" s="159">
        <f t="shared" si="24"/>
        <v>5</v>
      </c>
      <c r="AF75" s="341"/>
      <c r="AH75" s="16"/>
      <c r="AI75" s="16"/>
      <c r="AJ75" s="16"/>
      <c r="AK75" s="12"/>
      <c r="AL75" s="12"/>
      <c r="AM75" s="12"/>
      <c r="AN75" s="12"/>
      <c r="BC75"/>
      <c r="BD75"/>
      <c r="BE75"/>
    </row>
    <row r="76" spans="1:58" ht="16" thickBot="1">
      <c r="A76" s="231">
        <v>7</v>
      </c>
      <c r="B76" s="232">
        <f t="shared" si="25"/>
        <v>544250</v>
      </c>
      <c r="C76" s="233">
        <f t="shared" si="26"/>
        <v>162718</v>
      </c>
      <c r="D76" s="342">
        <f t="shared" si="27"/>
        <v>0.37</v>
      </c>
      <c r="E76"/>
      <c r="G76" s="237">
        <f>Parameters!BW10</f>
        <v>29000</v>
      </c>
      <c r="H76" s="236">
        <f>Parameters!BX10</f>
        <v>0.27</v>
      </c>
      <c r="I76" s="240" t="s">
        <v>61</v>
      </c>
      <c r="J76" s="241" t="s">
        <v>60</v>
      </c>
      <c r="M76"/>
      <c r="N76"/>
      <c r="O76" s="5">
        <v>22</v>
      </c>
      <c r="P76" s="170">
        <v>30</v>
      </c>
      <c r="Q76" s="388" t="s">
        <v>1</v>
      </c>
      <c r="R76" s="121">
        <f>R75+15</f>
        <v>319</v>
      </c>
      <c r="S76" s="159"/>
      <c r="T76" s="126">
        <v>15</v>
      </c>
      <c r="U76" s="29">
        <f t="shared" si="20"/>
        <v>432187.78846153844</v>
      </c>
      <c r="V76" s="29">
        <f t="shared" si="20"/>
        <v>0</v>
      </c>
      <c r="W76" s="29">
        <f t="shared" si="20"/>
        <v>0</v>
      </c>
      <c r="X76" s="29">
        <f t="shared" si="20"/>
        <v>0</v>
      </c>
      <c r="Y76" s="29"/>
      <c r="Z76" s="327">
        <f>DATE(YEAR($AI$77),5,1)</f>
        <v>44317</v>
      </c>
      <c r="AA76" s="121">
        <v>9</v>
      </c>
      <c r="AB76" s="121">
        <f t="shared" si="21"/>
        <v>22</v>
      </c>
      <c r="AC76" s="121">
        <f t="shared" si="23"/>
        <v>11</v>
      </c>
      <c r="AD76" s="121">
        <f t="shared" si="22"/>
        <v>10</v>
      </c>
      <c r="AE76" s="159">
        <f t="shared" si="24"/>
        <v>5</v>
      </c>
      <c r="AF76" s="252"/>
      <c r="AG76" s="253"/>
      <c r="AH76" s="253"/>
      <c r="AI76" s="254"/>
      <c r="AJ76" s="253"/>
      <c r="AK76" s="252"/>
      <c r="AL76" s="613" t="s">
        <v>296</v>
      </c>
      <c r="AM76" s="614"/>
      <c r="AN76" s="614"/>
      <c r="AO76" s="615"/>
      <c r="AP76" s="474" t="s">
        <v>398</v>
      </c>
      <c r="AQ76" s="474" t="s">
        <v>556</v>
      </c>
      <c r="BD76"/>
      <c r="BE76"/>
      <c r="BF76"/>
    </row>
    <row r="77" spans="1:58" ht="15.5">
      <c r="A77"/>
      <c r="B77"/>
      <c r="C77"/>
      <c r="D77"/>
      <c r="E77"/>
      <c r="G77" s="237">
        <f>Parameters!BW11</f>
        <v>31000</v>
      </c>
      <c r="H77" s="236">
        <f>Parameters!BX11</f>
        <v>0.26</v>
      </c>
      <c r="I77" s="207">
        <v>1</v>
      </c>
      <c r="J77" s="242">
        <f>Parameters!BV2</f>
        <v>3000</v>
      </c>
      <c r="M77"/>
      <c r="N77"/>
      <c r="O77" s="5">
        <v>23</v>
      </c>
      <c r="P77" s="170"/>
      <c r="Q77" s="388" t="s">
        <v>33</v>
      </c>
      <c r="R77" s="121">
        <f>R75+P76</f>
        <v>334</v>
      </c>
      <c r="S77" s="159"/>
      <c r="T77" s="126">
        <v>16</v>
      </c>
      <c r="U77" s="29">
        <f t="shared" si="20"/>
        <v>369057.17307692306</v>
      </c>
      <c r="V77" s="29">
        <f t="shared" si="20"/>
        <v>0</v>
      </c>
      <c r="W77" s="29">
        <f t="shared" si="20"/>
        <v>0</v>
      </c>
      <c r="X77" s="29">
        <f t="shared" si="20"/>
        <v>0</v>
      </c>
      <c r="Y77" s="29"/>
      <c r="Z77" s="327">
        <f>DATE(YEAR($AI$77),5,15)</f>
        <v>44331</v>
      </c>
      <c r="AA77" s="121">
        <v>10</v>
      </c>
      <c r="AB77" s="121">
        <f t="shared" si="21"/>
        <v>20</v>
      </c>
      <c r="AC77" s="121">
        <f t="shared" si="23"/>
        <v>10</v>
      </c>
      <c r="AD77" s="121">
        <f t="shared" si="22"/>
        <v>9</v>
      </c>
      <c r="AE77" s="159">
        <f t="shared" si="24"/>
        <v>4</v>
      </c>
      <c r="AF77" s="255" t="s">
        <v>59</v>
      </c>
      <c r="AG77" s="351"/>
      <c r="AH77" s="256"/>
      <c r="AI77" s="257">
        <f>AH74</f>
        <v>44484</v>
      </c>
      <c r="AJ77" s="256" t="s">
        <v>207</v>
      </c>
      <c r="AK77" s="260"/>
      <c r="AL77" s="263" t="s">
        <v>456</v>
      </c>
      <c r="AM77" s="263" t="s">
        <v>459</v>
      </c>
      <c r="AN77" s="263" t="s">
        <v>460</v>
      </c>
      <c r="AO77" s="265" t="s">
        <v>461</v>
      </c>
      <c r="AP77" s="475" t="s">
        <v>395</v>
      </c>
      <c r="AQ77" s="475" t="s">
        <v>289</v>
      </c>
      <c r="AR77" s="631" t="s">
        <v>115</v>
      </c>
      <c r="BD77"/>
      <c r="BE77"/>
      <c r="BF77"/>
    </row>
    <row r="78" spans="1:58" ht="16" thickBot="1">
      <c r="A78" s="231"/>
      <c r="B78"/>
      <c r="C78"/>
      <c r="D78"/>
      <c r="E78"/>
      <c r="G78" s="237">
        <f>Parameters!BW12</f>
        <v>33000</v>
      </c>
      <c r="H78" s="236">
        <f>Parameters!BX12</f>
        <v>0.25</v>
      </c>
      <c r="I78" s="210">
        <v>2</v>
      </c>
      <c r="J78" s="243">
        <f>J77*I78</f>
        <v>6000</v>
      </c>
      <c r="M78"/>
      <c r="N78"/>
      <c r="O78" s="5">
        <v>24</v>
      </c>
      <c r="P78" s="170">
        <v>31</v>
      </c>
      <c r="Q78" s="388" t="s">
        <v>34</v>
      </c>
      <c r="R78" s="121">
        <f>R77+15</f>
        <v>349</v>
      </c>
      <c r="S78" s="159"/>
      <c r="T78" s="126">
        <v>17</v>
      </c>
      <c r="U78" s="29">
        <f t="shared" si="20"/>
        <v>305926.55769230769</v>
      </c>
      <c r="V78" s="29">
        <f t="shared" si="20"/>
        <v>0</v>
      </c>
      <c r="W78" s="29">
        <f t="shared" si="20"/>
        <v>0</v>
      </c>
      <c r="X78" s="29">
        <f t="shared" si="20"/>
        <v>0</v>
      </c>
      <c r="Y78" s="29"/>
      <c r="Z78" s="327">
        <f>DATE(YEAR($AI$77),6,1)</f>
        <v>44348</v>
      </c>
      <c r="AA78" s="121">
        <v>11</v>
      </c>
      <c r="AB78" s="121">
        <f t="shared" si="21"/>
        <v>18</v>
      </c>
      <c r="AC78" s="121">
        <f t="shared" si="23"/>
        <v>9</v>
      </c>
      <c r="AD78" s="121">
        <f t="shared" si="22"/>
        <v>8</v>
      </c>
      <c r="AE78" s="159">
        <f t="shared" si="24"/>
        <v>4</v>
      </c>
      <c r="AF78" s="260"/>
      <c r="AG78" s="256"/>
      <c r="AH78" s="256"/>
      <c r="AI78" s="257">
        <f>DATE(YEAR(AI77),12,31)</f>
        <v>44561</v>
      </c>
      <c r="AJ78" s="256" t="s">
        <v>168</v>
      </c>
      <c r="AK78" s="616" t="s">
        <v>295</v>
      </c>
      <c r="AL78" s="258"/>
      <c r="AM78" s="256"/>
      <c r="AN78" s="256"/>
      <c r="AO78" s="259"/>
      <c r="AP78" s="476"/>
      <c r="AQ78" s="476"/>
      <c r="AR78" s="510">
        <f>IF('Input &amp; Results'!H19&gt;0,'Input &amp; Results'!F19,0)+IF('Input &amp; Results'!H29&gt;0,'Input &amp; Results'!F29,0)+'Input &amp; Results'!C50+'Input &amp; Results'!M50</f>
        <v>600</v>
      </c>
      <c r="AS78" s="820" t="s">
        <v>733</v>
      </c>
      <c r="BD78"/>
      <c r="BE78"/>
      <c r="BF78"/>
    </row>
    <row r="79" spans="1:58" ht="16" thickBot="1">
      <c r="B79"/>
      <c r="C79"/>
      <c r="D79"/>
      <c r="E79"/>
      <c r="G79" s="237">
        <f>Parameters!BW13</f>
        <v>35000</v>
      </c>
      <c r="H79" s="236">
        <f>Parameters!BX13</f>
        <v>0.24</v>
      </c>
      <c r="I79"/>
      <c r="J79"/>
      <c r="M79"/>
      <c r="N79"/>
      <c r="O79" s="5">
        <v>25</v>
      </c>
      <c r="P79" s="171"/>
      <c r="Q79" s="389" t="s">
        <v>35</v>
      </c>
      <c r="R79" s="123">
        <f>R77+P78</f>
        <v>365</v>
      </c>
      <c r="S79" s="124"/>
      <c r="T79" s="126">
        <v>18</v>
      </c>
      <c r="U79" s="29">
        <f t="shared" si="20"/>
        <v>242795.94230769228</v>
      </c>
      <c r="V79" s="29">
        <f t="shared" si="20"/>
        <v>0</v>
      </c>
      <c r="W79" s="29">
        <f t="shared" si="20"/>
        <v>0</v>
      </c>
      <c r="X79" s="29">
        <f t="shared" si="20"/>
        <v>0</v>
      </c>
      <c r="Y79" s="29"/>
      <c r="Z79" s="327">
        <f>DATE(YEAR($AI$77),6,15)</f>
        <v>44362</v>
      </c>
      <c r="AA79" s="121">
        <v>12</v>
      </c>
      <c r="AB79" s="121">
        <f t="shared" si="21"/>
        <v>16</v>
      </c>
      <c r="AC79" s="121">
        <f t="shared" si="23"/>
        <v>8</v>
      </c>
      <c r="AD79" s="121">
        <f t="shared" si="22"/>
        <v>7</v>
      </c>
      <c r="AE79" s="159">
        <f t="shared" si="24"/>
        <v>3</v>
      </c>
      <c r="AF79" s="260"/>
      <c r="AG79" s="256"/>
      <c r="AH79" s="256"/>
      <c r="AI79" s="261">
        <f>AI78-AI77</f>
        <v>77</v>
      </c>
      <c r="AJ79" s="256" t="s">
        <v>41</v>
      </c>
      <c r="AK79" s="617" t="s">
        <v>294</v>
      </c>
      <c r="AL79" s="414">
        <f>IF('Input &amp; Results'!$H16&gt;0,'Input &amp; Results'!F46,0)</f>
        <v>10000</v>
      </c>
      <c r="AM79" s="414">
        <f>IF('Input &amp; Results'!$H17&gt;0,'Input &amp; Results'!G46,0)</f>
        <v>4000</v>
      </c>
      <c r="AN79" s="414">
        <f>IF('Input &amp; Results'!$H26&gt;0,'Input &amp; Results'!O46,0)</f>
        <v>0</v>
      </c>
      <c r="AO79" s="415">
        <f>IF('Input &amp; Results'!$H27&gt;0,'Input &amp; Results'!P46,0)</f>
        <v>0</v>
      </c>
      <c r="AP79" s="477">
        <f>'S.S. Benefits Approx'!C31+'S.S. Benefits Approx'!C39</f>
        <v>0</v>
      </c>
      <c r="AQ79" s="477"/>
      <c r="AR79" s="156">
        <f>SUM(AL79:AP79)+IF('Input &amp; Results'!H13&gt;0,'Input &amp; Results'!E46,0)+IF('Input &amp; Results'!H23&gt;0,'Input &amp; Results'!N46,0)</f>
        <v>14000</v>
      </c>
      <c r="BD79"/>
      <c r="BE79"/>
      <c r="BF79"/>
    </row>
    <row r="80" spans="1:58" ht="16" thickBot="1">
      <c r="B80"/>
      <c r="C80"/>
      <c r="D80"/>
      <c r="E80"/>
      <c r="G80" s="237">
        <f>Parameters!BW14</f>
        <v>37000</v>
      </c>
      <c r="H80" s="236">
        <f>Parameters!BX14</f>
        <v>0.23</v>
      </c>
      <c r="I80"/>
      <c r="J80"/>
      <c r="M80"/>
      <c r="N80"/>
      <c r="O80"/>
      <c r="P80"/>
      <c r="Q80"/>
      <c r="R80"/>
      <c r="T80" s="126">
        <v>19</v>
      </c>
      <c r="U80" s="29">
        <f t="shared" si="20"/>
        <v>179665.32692307691</v>
      </c>
      <c r="V80" s="29">
        <f t="shared" si="20"/>
        <v>0</v>
      </c>
      <c r="W80" s="29">
        <f t="shared" si="20"/>
        <v>0</v>
      </c>
      <c r="X80" s="29">
        <f t="shared" si="20"/>
        <v>0</v>
      </c>
      <c r="Y80" s="29"/>
      <c r="Z80" s="327">
        <f>DATE(YEAR($AI$77),7,1)</f>
        <v>44378</v>
      </c>
      <c r="AA80" s="121">
        <v>13</v>
      </c>
      <c r="AB80" s="121">
        <f t="shared" si="21"/>
        <v>14</v>
      </c>
      <c r="AC80" s="121">
        <f t="shared" si="23"/>
        <v>7</v>
      </c>
      <c r="AD80" s="121">
        <f t="shared" si="22"/>
        <v>6</v>
      </c>
      <c r="AE80" s="159">
        <f t="shared" si="24"/>
        <v>3</v>
      </c>
      <c r="AF80" s="260"/>
      <c r="AG80" s="256"/>
      <c r="AH80" s="256"/>
      <c r="AI80" s="261">
        <f>INT(AI79/7)-1</f>
        <v>10</v>
      </c>
      <c r="AJ80" s="256" t="s">
        <v>22</v>
      </c>
      <c r="AK80" s="618" t="s">
        <v>297</v>
      </c>
      <c r="AL80" s="899">
        <f>IF(P14&gt;0,IF(Q21=0,U23*S37,Q21*(S37+S43)),0)</f>
        <v>1909200</v>
      </c>
      <c r="AM80" s="414">
        <f>IF(P15&gt;0,IF(Q22=0,V23*S38,Q22*(S38+S44)),0)</f>
        <v>586000</v>
      </c>
      <c r="AN80" s="414">
        <f>IF($P16&gt;0,IF(Q23=0,W23*S39,$Q23*($S39+$S45)),0)</f>
        <v>0</v>
      </c>
      <c r="AO80" s="415">
        <f>IF($P17&gt;0,IF(Q24=0,X23*S40,$Q24*($S40+$S46)),0)</f>
        <v>0</v>
      </c>
      <c r="AP80" s="477">
        <f>AP81-AP79</f>
        <v>0</v>
      </c>
      <c r="AQ80" s="477">
        <f>SUM(R21:R24)</f>
        <v>0</v>
      </c>
      <c r="AR80" s="156">
        <f>SUM(AL80:AQ80)</f>
        <v>2495200</v>
      </c>
      <c r="BD80"/>
      <c r="BE80"/>
      <c r="BF80"/>
    </row>
    <row r="81" spans="2:58" ht="16" thickBot="1">
      <c r="B81"/>
      <c r="C81"/>
      <c r="D81"/>
      <c r="E81"/>
      <c r="G81" s="237">
        <f>Parameters!BW15</f>
        <v>39000</v>
      </c>
      <c r="H81" s="236">
        <f>Parameters!BX15</f>
        <v>0.22</v>
      </c>
      <c r="I81"/>
      <c r="J81"/>
      <c r="M81"/>
      <c r="N81"/>
      <c r="O81"/>
      <c r="P81"/>
      <c r="Q81"/>
      <c r="R81"/>
      <c r="T81" s="126">
        <v>20</v>
      </c>
      <c r="U81" s="29">
        <f t="shared" ref="U81:X100" si="28">(VLOOKUP(MAX(U$21-$T81*$H$2,0),$B$69:$D$76,2)+VLOOKUP(MAX(U$21-$T81*$H$2,0),$B$69:$D$76,3)*(MAX(U$21-$T81*$H$2,0)-VLOOKUP(MAX(U$21-$T81*$H$2,0),$B$69:$D$76,1)))*U$48</f>
        <v>118064.03846153845</v>
      </c>
      <c r="V81" s="29">
        <f t="shared" si="28"/>
        <v>0</v>
      </c>
      <c r="W81" s="29">
        <f t="shared" si="28"/>
        <v>0</v>
      </c>
      <c r="X81" s="29">
        <f t="shared" si="28"/>
        <v>0</v>
      </c>
      <c r="Y81" s="29"/>
      <c r="Z81" s="327">
        <f>DATE(YEAR($AI$77),7,15)</f>
        <v>44392</v>
      </c>
      <c r="AA81" s="121">
        <v>14</v>
      </c>
      <c r="AB81" s="121">
        <f t="shared" si="21"/>
        <v>12</v>
      </c>
      <c r="AC81" s="121">
        <f t="shared" si="23"/>
        <v>6</v>
      </c>
      <c r="AD81" s="121">
        <f t="shared" si="22"/>
        <v>5</v>
      </c>
      <c r="AE81" s="159">
        <f t="shared" si="24"/>
        <v>2</v>
      </c>
      <c r="AF81" s="260"/>
      <c r="AG81" s="256"/>
      <c r="AH81" s="256"/>
      <c r="AI81" s="261">
        <f>INT(AI79/30)</f>
        <v>2</v>
      </c>
      <c r="AJ81" s="256" t="s">
        <v>23</v>
      </c>
      <c r="AK81" s="618" t="s">
        <v>308</v>
      </c>
      <c r="AL81" s="414">
        <f>AL79+AL80</f>
        <v>1919200</v>
      </c>
      <c r="AM81" s="414">
        <f>AM79+AM80</f>
        <v>590000</v>
      </c>
      <c r="AN81" s="414">
        <f>AN79+AN80</f>
        <v>0</v>
      </c>
      <c r="AO81" s="415">
        <f>AO79+AO80</f>
        <v>0</v>
      </c>
      <c r="AP81" s="477">
        <f>'S.S. Benefits Approx'!C30+'S.S. Benefits Approx'!C38</f>
        <v>0</v>
      </c>
      <c r="AQ81" s="477"/>
      <c r="AR81" s="632">
        <f>AR78+AR79+AR80</f>
        <v>2509800</v>
      </c>
      <c r="BD81"/>
      <c r="BE81"/>
      <c r="BF81"/>
    </row>
    <row r="82" spans="2:58" ht="16" thickBot="1">
      <c r="B82"/>
      <c r="C82"/>
      <c r="D82"/>
      <c r="E82"/>
      <c r="G82" s="237">
        <f>Parameters!BW16</f>
        <v>41000</v>
      </c>
      <c r="H82" s="236">
        <f>Parameters!BX16</f>
        <v>0.21</v>
      </c>
      <c r="I82"/>
      <c r="J82"/>
      <c r="M82"/>
      <c r="N82"/>
      <c r="O82"/>
      <c r="P82"/>
      <c r="Q82"/>
      <c r="R82"/>
      <c r="T82" s="126">
        <v>21</v>
      </c>
      <c r="U82" s="29">
        <f t="shared" si="28"/>
        <v>65455.192307692305</v>
      </c>
      <c r="V82" s="29">
        <f t="shared" si="28"/>
        <v>0</v>
      </c>
      <c r="W82" s="29">
        <f t="shared" si="28"/>
        <v>0</v>
      </c>
      <c r="X82" s="29">
        <f t="shared" si="28"/>
        <v>0</v>
      </c>
      <c r="Y82" s="29"/>
      <c r="Z82" s="327">
        <f>DATE(YEAR($AI$77),8,1)</f>
        <v>44409</v>
      </c>
      <c r="AA82" s="121">
        <v>15</v>
      </c>
      <c r="AB82" s="121">
        <f t="shared" si="21"/>
        <v>9</v>
      </c>
      <c r="AC82" s="121">
        <f t="shared" si="23"/>
        <v>4</v>
      </c>
      <c r="AD82" s="121">
        <f t="shared" si="22"/>
        <v>4</v>
      </c>
      <c r="AE82" s="159">
        <f t="shared" si="24"/>
        <v>2</v>
      </c>
      <c r="AF82" s="260"/>
      <c r="AG82" s="256"/>
      <c r="AH82" s="256"/>
      <c r="AI82" s="256"/>
      <c r="AJ82" s="256"/>
      <c r="AK82" s="619"/>
      <c r="AL82" s="620"/>
      <c r="AM82" s="620"/>
      <c r="AN82" s="620"/>
      <c r="AO82" s="621"/>
      <c r="AP82" s="122"/>
      <c r="BC82"/>
      <c r="BD82"/>
      <c r="BE82"/>
    </row>
    <row r="83" spans="2:58" ht="16" thickBot="1">
      <c r="B83"/>
      <c r="C83"/>
      <c r="D83"/>
      <c r="E83"/>
      <c r="G83" s="237">
        <f>Parameters!BW17</f>
        <v>43000</v>
      </c>
      <c r="H83" s="236">
        <f>Parameters!BX17</f>
        <v>0.2</v>
      </c>
      <c r="I83"/>
      <c r="J83"/>
      <c r="M83"/>
      <c r="N83"/>
      <c r="O83"/>
      <c r="P83"/>
      <c r="Q83"/>
      <c r="R83"/>
      <c r="T83" s="126">
        <v>22</v>
      </c>
      <c r="U83" s="29">
        <f t="shared" si="28"/>
        <v>12846.346153846152</v>
      </c>
      <c r="V83" s="29">
        <f t="shared" si="28"/>
        <v>0</v>
      </c>
      <c r="W83" s="29">
        <f t="shared" si="28"/>
        <v>0</v>
      </c>
      <c r="X83" s="29">
        <f t="shared" si="28"/>
        <v>0</v>
      </c>
      <c r="Y83" s="29"/>
      <c r="Z83" s="327">
        <f>DATE(YEAR($AI$77),8,15)</f>
        <v>44423</v>
      </c>
      <c r="AA83" s="121">
        <v>16</v>
      </c>
      <c r="AB83" s="121">
        <f t="shared" si="21"/>
        <v>7</v>
      </c>
      <c r="AC83" s="121">
        <f t="shared" si="23"/>
        <v>3</v>
      </c>
      <c r="AD83" s="121">
        <f t="shared" si="22"/>
        <v>3</v>
      </c>
      <c r="AE83" s="159">
        <f t="shared" si="24"/>
        <v>1</v>
      </c>
      <c r="AF83" s="260"/>
      <c r="AG83" s="256"/>
      <c r="AH83" s="256"/>
      <c r="AI83" s="256"/>
      <c r="AJ83" s="266" t="s">
        <v>307</v>
      </c>
      <c r="AK83" s="264" t="s">
        <v>306</v>
      </c>
      <c r="AL83" s="269">
        <v>1</v>
      </c>
      <c r="AM83" s="270">
        <v>52</v>
      </c>
      <c r="AN83" s="271" t="s">
        <v>161</v>
      </c>
      <c r="BC83"/>
      <c r="BD83"/>
      <c r="BE83"/>
    </row>
    <row r="84" spans="2:58" ht="15.5">
      <c r="B84"/>
      <c r="C84"/>
      <c r="D84"/>
      <c r="E84"/>
      <c r="G84" s="189" t="s">
        <v>166</v>
      </c>
      <c r="H84" s="190"/>
      <c r="I84" s="190"/>
      <c r="J84" s="184"/>
      <c r="M84"/>
      <c r="N84"/>
      <c r="O84"/>
      <c r="P84"/>
      <c r="Q84"/>
      <c r="R84"/>
      <c r="T84" s="126">
        <v>23</v>
      </c>
      <c r="U84" s="29">
        <f t="shared" si="28"/>
        <v>0</v>
      </c>
      <c r="V84" s="29">
        <f t="shared" si="28"/>
        <v>0</v>
      </c>
      <c r="W84" s="29">
        <f t="shared" si="28"/>
        <v>0</v>
      </c>
      <c r="X84" s="29">
        <f t="shared" si="28"/>
        <v>0</v>
      </c>
      <c r="Y84" s="29"/>
      <c r="Z84" s="327">
        <f>DATE(YEAR($AI$77),9,1)</f>
        <v>44440</v>
      </c>
      <c r="AA84" s="121">
        <v>17</v>
      </c>
      <c r="AB84" s="121">
        <f t="shared" si="21"/>
        <v>5</v>
      </c>
      <c r="AC84" s="121">
        <f t="shared" si="23"/>
        <v>2</v>
      </c>
      <c r="AD84" s="121">
        <f t="shared" si="22"/>
        <v>2</v>
      </c>
      <c r="AE84" s="159">
        <f t="shared" si="24"/>
        <v>1</v>
      </c>
      <c r="AF84" s="260">
        <f>AI84/52</f>
        <v>0.19230769230769232</v>
      </c>
      <c r="AG84" s="256"/>
      <c r="AH84" s="256">
        <v>1</v>
      </c>
      <c r="AI84" s="261">
        <f>AI80</f>
        <v>10</v>
      </c>
      <c r="AJ84" s="256" t="s">
        <v>161</v>
      </c>
      <c r="AK84" s="256">
        <v>7</v>
      </c>
      <c r="AL84" s="269">
        <v>2</v>
      </c>
      <c r="AM84" s="270">
        <v>26</v>
      </c>
      <c r="AN84" s="271" t="s">
        <v>16</v>
      </c>
      <c r="BC84"/>
      <c r="BD84"/>
      <c r="BE84"/>
    </row>
    <row r="85" spans="2:58">
      <c r="B85"/>
      <c r="C85"/>
      <c r="D85"/>
      <c r="E85"/>
      <c r="G85" s="191" t="s">
        <v>216</v>
      </c>
      <c r="H85" s="188"/>
      <c r="I85" s="188"/>
      <c r="J85" s="192">
        <f>IF(P5=2,J98,SUM('Input &amp; Results'!H13:H35))</f>
        <v>145500</v>
      </c>
      <c r="M85"/>
      <c r="N85"/>
      <c r="O85"/>
      <c r="P85"/>
      <c r="Q85"/>
      <c r="R85"/>
      <c r="T85" s="126">
        <v>24</v>
      </c>
      <c r="U85" s="29">
        <f t="shared" si="28"/>
        <v>0</v>
      </c>
      <c r="V85" s="29">
        <f t="shared" si="28"/>
        <v>0</v>
      </c>
      <c r="W85" s="29">
        <f t="shared" si="28"/>
        <v>0</v>
      </c>
      <c r="X85" s="29">
        <f t="shared" si="28"/>
        <v>0</v>
      </c>
      <c r="Y85" s="29"/>
      <c r="Z85" s="327">
        <f>DATE(YEAR($AI$77),9,15)</f>
        <v>44454</v>
      </c>
      <c r="AA85" s="121">
        <v>18</v>
      </c>
      <c r="AB85" s="121">
        <f t="shared" si="21"/>
        <v>3</v>
      </c>
      <c r="AC85" s="121">
        <f t="shared" si="23"/>
        <v>1</v>
      </c>
      <c r="AD85" s="121">
        <f t="shared" si="22"/>
        <v>1</v>
      </c>
      <c r="AE85" s="159">
        <f t="shared" si="24"/>
        <v>0</v>
      </c>
      <c r="AF85" s="260">
        <f>AI85/26</f>
        <v>0.19230769230769232</v>
      </c>
      <c r="AG85" s="256"/>
      <c r="AH85" s="256">
        <v>2</v>
      </c>
      <c r="AI85" s="256">
        <f>INT(AI84/2)</f>
        <v>5</v>
      </c>
      <c r="AJ85" s="256" t="s">
        <v>162</v>
      </c>
      <c r="AK85" s="256">
        <v>14</v>
      </c>
      <c r="AL85" s="269">
        <v>3</v>
      </c>
      <c r="AM85" s="270">
        <v>24</v>
      </c>
      <c r="AN85" s="271" t="s">
        <v>147</v>
      </c>
      <c r="AP85" s="15"/>
      <c r="AQ85" s="15"/>
      <c r="AR85" s="15"/>
    </row>
    <row r="86" spans="2:58">
      <c r="B86"/>
      <c r="C86"/>
      <c r="D86"/>
      <c r="E86"/>
      <c r="G86" s="191" t="s">
        <v>29</v>
      </c>
      <c r="H86" s="188"/>
      <c r="I86" s="188"/>
      <c r="J86" s="192">
        <f>MIN(IF('Input &amp; Results'!H10&gt;0,VLOOKUP(I70,I77:J78,2),0),IF(ISBLANK('Input &amp; Results'!H39),0,'Input &amp; Results'!H39))</f>
        <v>0</v>
      </c>
      <c r="M86"/>
      <c r="N86"/>
      <c r="O86"/>
      <c r="P86"/>
      <c r="Q86"/>
      <c r="R86"/>
      <c r="T86" s="126">
        <v>25</v>
      </c>
      <c r="U86" s="29">
        <f t="shared" si="28"/>
        <v>0</v>
      </c>
      <c r="V86" s="29">
        <f t="shared" si="28"/>
        <v>0</v>
      </c>
      <c r="W86" s="29">
        <f t="shared" si="28"/>
        <v>0</v>
      </c>
      <c r="X86" s="29">
        <f t="shared" si="28"/>
        <v>0</v>
      </c>
      <c r="Y86" s="29"/>
      <c r="Z86" s="327">
        <f>DATE(YEAR($AI$77),10,1)</f>
        <v>44470</v>
      </c>
      <c r="AA86" s="121">
        <v>19</v>
      </c>
      <c r="AB86" s="121">
        <f t="shared" si="21"/>
        <v>1</v>
      </c>
      <c r="AC86" s="121">
        <f t="shared" si="23"/>
        <v>0</v>
      </c>
      <c r="AD86" s="121">
        <f t="shared" si="22"/>
        <v>0</v>
      </c>
      <c r="AE86" s="159">
        <f t="shared" si="24"/>
        <v>0</v>
      </c>
      <c r="AF86" s="260">
        <f>AI86/24</f>
        <v>0.16666666666666666</v>
      </c>
      <c r="AG86" s="256"/>
      <c r="AH86" s="256">
        <v>3</v>
      </c>
      <c r="AI86" s="256">
        <f>VLOOKUP(AI77,AF93:AI116,3)-1</f>
        <v>4</v>
      </c>
      <c r="AJ86" s="256" t="s">
        <v>87</v>
      </c>
      <c r="AK86" s="256">
        <f>365/24</f>
        <v>15.208333333333334</v>
      </c>
      <c r="AL86" s="269">
        <v>4</v>
      </c>
      <c r="AM86" s="270">
        <v>12</v>
      </c>
      <c r="AN86" s="271" t="s">
        <v>88</v>
      </c>
      <c r="AO86" s="119"/>
      <c r="AP86" s="15"/>
      <c r="AQ86" s="15"/>
      <c r="AR86" s="15"/>
    </row>
    <row r="87" spans="2:58">
      <c r="B87"/>
      <c r="C87"/>
      <c r="D87"/>
      <c r="E87"/>
      <c r="G87" s="191" t="s">
        <v>126</v>
      </c>
      <c r="H87" s="188"/>
      <c r="I87" s="188"/>
      <c r="J87" s="192">
        <f>MIN(J85,J86)</f>
        <v>0</v>
      </c>
      <c r="K87" s="155"/>
      <c r="M87"/>
      <c r="N87"/>
      <c r="O87"/>
      <c r="P87"/>
      <c r="Q87"/>
      <c r="R87"/>
      <c r="T87" s="126">
        <v>26</v>
      </c>
      <c r="U87" s="29">
        <f t="shared" si="28"/>
        <v>0</v>
      </c>
      <c r="V87" s="29">
        <f t="shared" si="28"/>
        <v>0</v>
      </c>
      <c r="W87" s="29">
        <f t="shared" si="28"/>
        <v>0</v>
      </c>
      <c r="X87" s="29">
        <f t="shared" si="28"/>
        <v>0</v>
      </c>
      <c r="Y87" s="29"/>
      <c r="Z87" s="327">
        <f>DATE(YEAR($AI$77),10,15)</f>
        <v>44484</v>
      </c>
      <c r="AA87" s="121">
        <v>20</v>
      </c>
      <c r="AB87" s="121">
        <f t="shared" si="21"/>
        <v>0</v>
      </c>
      <c r="AC87" s="121">
        <f t="shared" si="23"/>
        <v>0</v>
      </c>
      <c r="AD87" s="121">
        <f t="shared" si="22"/>
        <v>0</v>
      </c>
      <c r="AE87" s="159">
        <f t="shared" si="24"/>
        <v>0</v>
      </c>
      <c r="AF87" s="260">
        <f>AI87/12</f>
        <v>0.16666666666666666</v>
      </c>
      <c r="AG87" s="256"/>
      <c r="AH87" s="256">
        <v>4</v>
      </c>
      <c r="AI87" s="256">
        <f>VLOOKUP(AI77,AF93:AI116,4)</f>
        <v>2</v>
      </c>
      <c r="AJ87" s="256" t="s">
        <v>88</v>
      </c>
      <c r="AK87" s="256">
        <f>365/12</f>
        <v>30.416666666666668</v>
      </c>
      <c r="AL87" s="256">
        <v>1</v>
      </c>
      <c r="AM87" s="607">
        <f>'Inputs-Outputs'!B24</f>
        <v>2</v>
      </c>
      <c r="AN87" s="608" t="s">
        <v>456</v>
      </c>
      <c r="AO87" s="119"/>
      <c r="AP87" s="15"/>
      <c r="AQ87" s="15"/>
      <c r="AR87" s="15"/>
    </row>
    <row r="88" spans="2:58" ht="13" thickBot="1">
      <c r="B88"/>
      <c r="C88"/>
      <c r="D88"/>
      <c r="E88"/>
      <c r="G88" s="193" t="s">
        <v>127</v>
      </c>
      <c r="H88" s="179"/>
      <c r="I88" s="179"/>
      <c r="J88" s="194">
        <f>J87*VLOOKUP(U4,G68:H83,2)</f>
        <v>0</v>
      </c>
      <c r="M88"/>
      <c r="N88"/>
      <c r="O88"/>
      <c r="P88"/>
      <c r="Q88"/>
      <c r="R88"/>
      <c r="T88" s="126">
        <v>27</v>
      </c>
      <c r="U88" s="29">
        <f t="shared" si="28"/>
        <v>0</v>
      </c>
      <c r="V88" s="29">
        <f t="shared" si="28"/>
        <v>0</v>
      </c>
      <c r="W88" s="29">
        <f t="shared" si="28"/>
        <v>0</v>
      </c>
      <c r="X88" s="29">
        <f t="shared" si="28"/>
        <v>0</v>
      </c>
      <c r="Y88" s="29"/>
      <c r="Z88" s="327">
        <f>DATE(YEAR($AI$77),11,1)</f>
        <v>44501</v>
      </c>
      <c r="AA88" s="121">
        <v>21</v>
      </c>
      <c r="AB88" s="121">
        <f t="shared" si="21"/>
        <v>0</v>
      </c>
      <c r="AC88" s="121">
        <f t="shared" si="23"/>
        <v>0</v>
      </c>
      <c r="AD88" s="121">
        <f t="shared" si="22"/>
        <v>0</v>
      </c>
      <c r="AE88" s="159">
        <f t="shared" si="24"/>
        <v>0</v>
      </c>
      <c r="AF88" s="260"/>
      <c r="AG88" s="256"/>
      <c r="AH88" s="256"/>
      <c r="AI88" s="256">
        <f>VLOOKUP(AI77,AF93:AI116,2)</f>
        <v>20</v>
      </c>
      <c r="AJ88" s="256"/>
      <c r="AK88" s="256"/>
      <c r="AL88" s="256">
        <v>2</v>
      </c>
      <c r="AM88" s="609">
        <f>IF('Inputs-Outputs'!B55&gt;0,'Inputs-Outputs'!B55,1)</f>
        <v>4</v>
      </c>
      <c r="AN88" s="610" t="s">
        <v>459</v>
      </c>
      <c r="AO88" s="119"/>
    </row>
    <row r="89" spans="2:58" ht="15.5">
      <c r="B89"/>
      <c r="C89"/>
      <c r="D89"/>
      <c r="E89"/>
      <c r="G89" s="203" t="s">
        <v>165</v>
      </c>
      <c r="H89" s="190"/>
      <c r="I89" s="190"/>
      <c r="J89" s="184"/>
      <c r="M89"/>
      <c r="N89"/>
      <c r="O89"/>
      <c r="P89"/>
      <c r="Q89"/>
      <c r="R89"/>
      <c r="T89" s="126">
        <v>28</v>
      </c>
      <c r="U89" s="29">
        <f t="shared" si="28"/>
        <v>0</v>
      </c>
      <c r="V89" s="29">
        <f t="shared" si="28"/>
        <v>0</v>
      </c>
      <c r="W89" s="29">
        <f t="shared" si="28"/>
        <v>0</v>
      </c>
      <c r="X89" s="29">
        <f t="shared" si="28"/>
        <v>0</v>
      </c>
      <c r="Y89" s="29"/>
      <c r="Z89" s="327">
        <f>DATE(YEAR($AI$77),11,15)</f>
        <v>44515</v>
      </c>
      <c r="AA89" s="121">
        <v>22</v>
      </c>
      <c r="AB89" s="121">
        <f t="shared" si="21"/>
        <v>0</v>
      </c>
      <c r="AC89" s="121">
        <f t="shared" si="23"/>
        <v>0</v>
      </c>
      <c r="AD89" s="121">
        <f t="shared" si="22"/>
        <v>0</v>
      </c>
      <c r="AE89" s="159">
        <f t="shared" si="24"/>
        <v>0</v>
      </c>
      <c r="AF89" s="260"/>
      <c r="AG89" s="256"/>
      <c r="AH89" s="256"/>
      <c r="AI89" s="256"/>
      <c r="AJ89" s="256"/>
      <c r="AK89" s="256"/>
      <c r="AL89" s="256">
        <v>3</v>
      </c>
      <c r="AM89" s="609">
        <f>IF('Inputs-Outputs'!B86&gt;0,'Inputs-Outputs'!B86,1)</f>
        <v>1</v>
      </c>
      <c r="AN89" s="610" t="s">
        <v>460</v>
      </c>
      <c r="AO89" s="119"/>
      <c r="AP89" s="15"/>
      <c r="AQ89" s="16"/>
      <c r="AR89" s="15"/>
    </row>
    <row r="90" spans="2:58">
      <c r="B90"/>
      <c r="C90"/>
      <c r="D90"/>
      <c r="E90"/>
      <c r="G90" s="185" t="s">
        <v>570</v>
      </c>
      <c r="H90" s="188"/>
      <c r="I90" s="195">
        <f>IF('Input &amp; Results'!H13&gt;0,1,0)</f>
        <v>0</v>
      </c>
      <c r="J90" s="196">
        <f>IF('Input &amp; Results'!H13&gt;0,'Input &amp; Results'!H13,9999999999)</f>
        <v>9999999999</v>
      </c>
      <c r="M90"/>
      <c r="N90"/>
      <c r="O90"/>
      <c r="P90"/>
      <c r="Q90"/>
      <c r="R90"/>
      <c r="T90" s="126">
        <v>29</v>
      </c>
      <c r="U90" s="29">
        <f t="shared" si="28"/>
        <v>0</v>
      </c>
      <c r="V90" s="29">
        <f t="shared" si="28"/>
        <v>0</v>
      </c>
      <c r="W90" s="29">
        <f t="shared" si="28"/>
        <v>0</v>
      </c>
      <c r="X90" s="29">
        <f t="shared" si="28"/>
        <v>0</v>
      </c>
      <c r="Y90" s="29"/>
      <c r="Z90" s="327">
        <f>DATE(YEAR($AI$77),12,1)</f>
        <v>44531</v>
      </c>
      <c r="AA90" s="121">
        <v>23</v>
      </c>
      <c r="AB90" s="121">
        <f t="shared" si="21"/>
        <v>0</v>
      </c>
      <c r="AC90" s="121">
        <f t="shared" si="23"/>
        <v>0</v>
      </c>
      <c r="AD90" s="121">
        <f t="shared" si="22"/>
        <v>0</v>
      </c>
      <c r="AE90" s="159">
        <f t="shared" si="24"/>
        <v>0</v>
      </c>
      <c r="AF90" s="260"/>
      <c r="AG90" s="256"/>
      <c r="AH90" s="256"/>
      <c r="AI90" s="256"/>
      <c r="AJ90" s="256"/>
      <c r="AK90" s="256"/>
      <c r="AL90" s="258">
        <v>4</v>
      </c>
      <c r="AM90" s="611">
        <f>IF('Inputs-Outputs'!B117&gt;0,'Inputs-Outputs'!B117,1)</f>
        <v>1</v>
      </c>
      <c r="AN90" s="612" t="s">
        <v>461</v>
      </c>
      <c r="AO90" s="119"/>
      <c r="AP90" s="15"/>
      <c r="AQ90" s="16"/>
      <c r="AR90" s="15"/>
    </row>
    <row r="91" spans="2:58">
      <c r="B91"/>
      <c r="C91"/>
      <c r="D91"/>
      <c r="E91"/>
      <c r="G91" s="185" t="s">
        <v>456</v>
      </c>
      <c r="H91" s="188"/>
      <c r="I91" s="197">
        <f>IF('Input &amp; Results'!H16&gt;0,1,0)</f>
        <v>1</v>
      </c>
      <c r="J91" s="196">
        <f>IF('Input &amp; Results'!H16&gt;0,'Input &amp; Results'!H16,9999999999)</f>
        <v>100000</v>
      </c>
      <c r="M91"/>
      <c r="N91"/>
      <c r="O91"/>
      <c r="P91"/>
      <c r="Q91"/>
      <c r="R91"/>
      <c r="T91" s="126">
        <v>30</v>
      </c>
      <c r="U91" s="29">
        <f t="shared" si="28"/>
        <v>0</v>
      </c>
      <c r="V91" s="29">
        <f t="shared" si="28"/>
        <v>0</v>
      </c>
      <c r="W91" s="29">
        <f t="shared" si="28"/>
        <v>0</v>
      </c>
      <c r="X91" s="29">
        <f t="shared" si="28"/>
        <v>0</v>
      </c>
      <c r="Y91" s="29"/>
      <c r="Z91" s="327">
        <f>DATE(YEAR($AI$77),12,15)</f>
        <v>44545</v>
      </c>
      <c r="AA91" s="121">
        <v>24</v>
      </c>
      <c r="AB91" s="121">
        <f t="shared" si="21"/>
        <v>0</v>
      </c>
      <c r="AC91" s="121">
        <f t="shared" si="23"/>
        <v>0</v>
      </c>
      <c r="AD91" s="121">
        <f t="shared" si="22"/>
        <v>0</v>
      </c>
      <c r="AE91" s="159">
        <f t="shared" si="24"/>
        <v>0</v>
      </c>
      <c r="AF91" s="260"/>
      <c r="AG91" s="256"/>
      <c r="AH91" s="1113" t="s">
        <v>243</v>
      </c>
      <c r="AI91" s="1114"/>
      <c r="AJ91" s="262" t="s">
        <v>302</v>
      </c>
      <c r="AK91" s="262"/>
      <c r="AL91" s="262"/>
      <c r="AM91" s="262"/>
      <c r="AN91" s="259"/>
      <c r="AO91" s="119"/>
    </row>
    <row r="92" spans="2:58" ht="13" thickBot="1">
      <c r="G92" s="185" t="s">
        <v>459</v>
      </c>
      <c r="H92" s="188"/>
      <c r="I92" s="197">
        <f>IF('Input &amp; Results'!H17&gt;0,1,0)</f>
        <v>1</v>
      </c>
      <c r="J92" s="196">
        <f>IF('Input &amp; Results'!H17&gt;0,'Input &amp; Results'!H17,9999999999)</f>
        <v>40000</v>
      </c>
      <c r="M92"/>
      <c r="N92"/>
      <c r="O92"/>
      <c r="P92"/>
      <c r="Q92"/>
      <c r="R92"/>
      <c r="T92" s="126">
        <v>31</v>
      </c>
      <c r="U92" s="29">
        <f t="shared" si="28"/>
        <v>0</v>
      </c>
      <c r="V92" s="29">
        <f t="shared" si="28"/>
        <v>0</v>
      </c>
      <c r="W92" s="29">
        <f t="shared" si="28"/>
        <v>0</v>
      </c>
      <c r="X92" s="29">
        <f t="shared" si="28"/>
        <v>0</v>
      </c>
      <c r="Y92" s="29"/>
      <c r="Z92" s="328">
        <f>DATE(YEAR($AI$77),12,31)</f>
        <v>44561</v>
      </c>
      <c r="AA92" s="123">
        <v>25</v>
      </c>
      <c r="AB92" s="123">
        <f t="shared" si="21"/>
        <v>0</v>
      </c>
      <c r="AC92" s="123">
        <f t="shared" si="23"/>
        <v>0</v>
      </c>
      <c r="AD92" s="123">
        <f t="shared" si="22"/>
        <v>0</v>
      </c>
      <c r="AE92" s="159">
        <f t="shared" si="24"/>
        <v>0</v>
      </c>
      <c r="AF92" s="354" t="s">
        <v>44</v>
      </c>
      <c r="AG92" s="352" t="s">
        <v>245</v>
      </c>
      <c r="AH92" s="353" t="s">
        <v>87</v>
      </c>
      <c r="AI92" s="408" t="s">
        <v>88</v>
      </c>
      <c r="AJ92" s="353" t="s">
        <v>161</v>
      </c>
      <c r="AK92" s="353" t="s">
        <v>162</v>
      </c>
      <c r="AL92" s="353" t="s">
        <v>87</v>
      </c>
      <c r="AM92" s="353" t="s">
        <v>88</v>
      </c>
      <c r="AN92" s="259"/>
      <c r="AO92" s="119"/>
    </row>
    <row r="93" spans="2:58" ht="13">
      <c r="B93"/>
      <c r="C93"/>
      <c r="D93"/>
      <c r="E93"/>
      <c r="F93"/>
      <c r="G93" s="185" t="s">
        <v>571</v>
      </c>
      <c r="H93" s="188"/>
      <c r="I93" s="197">
        <f>IF('Input &amp; Results'!H23&gt;0,1,0)</f>
        <v>0</v>
      </c>
      <c r="J93" s="196">
        <f>IF('Input &amp; Results'!H23&gt;0,'Input &amp; Results'!H23,9999999999)</f>
        <v>9999999999</v>
      </c>
      <c r="M93"/>
      <c r="N93"/>
      <c r="O93"/>
      <c r="P93"/>
      <c r="Q93"/>
      <c r="R93"/>
      <c r="T93" s="126">
        <v>32</v>
      </c>
      <c r="U93" s="29">
        <f t="shared" si="28"/>
        <v>0</v>
      </c>
      <c r="V93" s="29">
        <f t="shared" si="28"/>
        <v>0</v>
      </c>
      <c r="W93" s="29">
        <f t="shared" si="28"/>
        <v>0</v>
      </c>
      <c r="X93" s="29">
        <f t="shared" si="28"/>
        <v>0</v>
      </c>
      <c r="Y93" s="29"/>
      <c r="Z93" s="301"/>
      <c r="AA93" s="302"/>
      <c r="AB93" s="315" t="s">
        <v>300</v>
      </c>
      <c r="AC93" s="317"/>
      <c r="AD93" s="316"/>
      <c r="AE93" s="303"/>
      <c r="AF93" s="298">
        <f>DATE(YEAR($AI$77),1,1)</f>
        <v>44197</v>
      </c>
      <c r="AG93" s="256">
        <v>1</v>
      </c>
      <c r="AH93" s="256">
        <v>24</v>
      </c>
      <c r="AI93" s="409">
        <v>12</v>
      </c>
      <c r="AJ93" s="256">
        <v>2</v>
      </c>
      <c r="AK93" s="256">
        <v>1</v>
      </c>
      <c r="AL93" s="256">
        <v>1</v>
      </c>
      <c r="AM93" s="256">
        <v>0</v>
      </c>
      <c r="AN93" s="259"/>
      <c r="AO93" s="119"/>
    </row>
    <row r="94" spans="2:58" ht="13">
      <c r="B94"/>
      <c r="C94"/>
      <c r="D94"/>
      <c r="E94"/>
      <c r="F94"/>
      <c r="G94" s="185" t="s">
        <v>460</v>
      </c>
      <c r="H94" s="188"/>
      <c r="I94" s="197">
        <f>IF('Input &amp; Results'!H26&gt;0,1,0)</f>
        <v>0</v>
      </c>
      <c r="J94" s="196">
        <f>IF('Input &amp; Results'!H26&gt;0,'Input &amp; Results'!H26,9999999999)</f>
        <v>9999999999</v>
      </c>
      <c r="M94"/>
      <c r="N94"/>
      <c r="O94"/>
      <c r="P94"/>
      <c r="Q94"/>
      <c r="R94"/>
      <c r="T94" s="126">
        <v>33</v>
      </c>
      <c r="U94" s="29">
        <f t="shared" si="28"/>
        <v>0</v>
      </c>
      <c r="V94" s="29">
        <f t="shared" si="28"/>
        <v>0</v>
      </c>
      <c r="W94" s="29">
        <f t="shared" si="28"/>
        <v>0</v>
      </c>
      <c r="X94" s="29">
        <f t="shared" si="28"/>
        <v>0</v>
      </c>
      <c r="Y94" s="29"/>
      <c r="Z94" s="310" t="s">
        <v>123</v>
      </c>
      <c r="AA94" s="311" t="s">
        <v>244</v>
      </c>
      <c r="AB94" s="311" t="s">
        <v>161</v>
      </c>
      <c r="AC94" s="311" t="s">
        <v>162</v>
      </c>
      <c r="AD94" s="312" t="s">
        <v>87</v>
      </c>
      <c r="AE94" s="313" t="s">
        <v>88</v>
      </c>
      <c r="AF94" s="298">
        <f>DATE(YEAR($AI$77),1,15)</f>
        <v>44211</v>
      </c>
      <c r="AG94" s="256">
        <v>2</v>
      </c>
      <c r="AH94" s="256">
        <v>23</v>
      </c>
      <c r="AI94" s="409">
        <v>11</v>
      </c>
      <c r="AJ94" s="256">
        <v>2</v>
      </c>
      <c r="AK94" s="256">
        <v>1</v>
      </c>
      <c r="AL94" s="256">
        <v>1</v>
      </c>
      <c r="AM94" s="256">
        <v>1</v>
      </c>
      <c r="AN94" s="259"/>
      <c r="AO94" s="119"/>
    </row>
    <row r="95" spans="2:58">
      <c r="B95"/>
      <c r="C95"/>
      <c r="D95"/>
      <c r="E95"/>
      <c r="F95"/>
      <c r="G95" s="185" t="s">
        <v>461</v>
      </c>
      <c r="H95" s="188"/>
      <c r="I95" s="197">
        <f>IF('Input &amp; Results'!H27&gt;0,1,0)</f>
        <v>0</v>
      </c>
      <c r="J95" s="196">
        <f>IF('Input &amp; Results'!H27&gt;0,'Input &amp; Results'!H27,9999999999)</f>
        <v>9999999999</v>
      </c>
      <c r="M95"/>
      <c r="N95"/>
      <c r="O95"/>
      <c r="P95"/>
      <c r="Q95"/>
      <c r="R95"/>
      <c r="T95" s="126">
        <v>34</v>
      </c>
      <c r="U95" s="29">
        <f t="shared" si="28"/>
        <v>0</v>
      </c>
      <c r="V95" s="29">
        <f t="shared" si="28"/>
        <v>0</v>
      </c>
      <c r="W95" s="29">
        <f t="shared" si="28"/>
        <v>0</v>
      </c>
      <c r="X95" s="29">
        <f t="shared" si="28"/>
        <v>0</v>
      </c>
      <c r="Y95" s="29"/>
      <c r="Z95" s="305">
        <f>DATE(YEAR($AI$77),1,1)</f>
        <v>44197</v>
      </c>
      <c r="AA95" s="350">
        <v>1</v>
      </c>
      <c r="AB95" s="304">
        <f t="shared" ref="AB95:AB119" si="29">IF($AG$74&gt;=$AA95,0,INT(($AA95-$AG$74)*15/7)-1)</f>
        <v>0</v>
      </c>
      <c r="AC95" s="304">
        <f t="shared" ref="AC95:AC118" si="30">INT(AB95/2)</f>
        <v>0</v>
      </c>
      <c r="AD95" s="304">
        <f t="shared" ref="AD95:AD119" si="31">IF($AG$74&gt;=$AA95,0,($AA95-$AG$74))</f>
        <v>0</v>
      </c>
      <c r="AE95" s="306">
        <f t="shared" ref="AE95:AE119" si="32">IF($AG$74&gt;=$AA95,0,INT(($AA95-$AG$74)/2))</f>
        <v>0</v>
      </c>
      <c r="AF95" s="298">
        <f>DATE(YEAR($AI$77),2,1)</f>
        <v>44228</v>
      </c>
      <c r="AG95" s="256">
        <v>3</v>
      </c>
      <c r="AH95" s="256">
        <v>22</v>
      </c>
      <c r="AI95" s="409">
        <v>11</v>
      </c>
      <c r="AJ95" s="256">
        <v>2</v>
      </c>
      <c r="AK95" s="256">
        <v>1</v>
      </c>
      <c r="AL95" s="256">
        <v>1</v>
      </c>
      <c r="AM95" s="256">
        <v>0</v>
      </c>
      <c r="AN95" s="259"/>
      <c r="AO95" s="119"/>
    </row>
    <row r="96" spans="2:58">
      <c r="B96"/>
      <c r="C96"/>
      <c r="D96"/>
      <c r="E96"/>
      <c r="F96"/>
      <c r="G96" s="198" t="s">
        <v>204</v>
      </c>
      <c r="H96" s="199"/>
      <c r="I96" s="200">
        <f>IF('Input &amp; Results'!H35&gt;0,1,0)</f>
        <v>0</v>
      </c>
      <c r="J96" s="201">
        <f>IF('Input &amp; Results'!H35&gt;0,'Input &amp; Results'!H35,9999999999)</f>
        <v>9999999999</v>
      </c>
      <c r="M96"/>
      <c r="N96"/>
      <c r="O96"/>
      <c r="P96"/>
      <c r="Q96"/>
      <c r="R96"/>
      <c r="T96" s="126">
        <v>35</v>
      </c>
      <c r="U96" s="29">
        <f t="shared" si="28"/>
        <v>0</v>
      </c>
      <c r="V96" s="29">
        <f t="shared" si="28"/>
        <v>0</v>
      </c>
      <c r="W96" s="29">
        <f t="shared" si="28"/>
        <v>0</v>
      </c>
      <c r="X96" s="29">
        <f t="shared" si="28"/>
        <v>0</v>
      </c>
      <c r="Y96" s="29"/>
      <c r="Z96" s="305">
        <f>DATE(YEAR($AI$77),1,15)</f>
        <v>44211</v>
      </c>
      <c r="AA96" s="304">
        <v>2</v>
      </c>
      <c r="AB96" s="304">
        <f t="shared" si="29"/>
        <v>0</v>
      </c>
      <c r="AC96" s="304">
        <f t="shared" si="30"/>
        <v>0</v>
      </c>
      <c r="AD96" s="304">
        <f t="shared" si="31"/>
        <v>0</v>
      </c>
      <c r="AE96" s="306">
        <f t="shared" si="32"/>
        <v>0</v>
      </c>
      <c r="AF96" s="298">
        <f>DATE(YEAR($AI$77),2,15)</f>
        <v>44242</v>
      </c>
      <c r="AG96" s="256">
        <v>4</v>
      </c>
      <c r="AH96" s="256">
        <v>21</v>
      </c>
      <c r="AI96" s="409">
        <v>10</v>
      </c>
      <c r="AJ96" s="256">
        <v>2</v>
      </c>
      <c r="AK96" s="256">
        <v>1</v>
      </c>
      <c r="AL96" s="256">
        <v>1</v>
      </c>
      <c r="AM96" s="256">
        <v>1</v>
      </c>
      <c r="AN96" s="259"/>
      <c r="AO96" s="119"/>
    </row>
    <row r="97" spans="2:42">
      <c r="B97"/>
      <c r="C97"/>
      <c r="D97"/>
      <c r="E97"/>
      <c r="F97"/>
      <c r="G97" s="185" t="s">
        <v>163</v>
      </c>
      <c r="H97" s="188"/>
      <c r="I97" s="188">
        <f>SUM(I90:I96)</f>
        <v>2</v>
      </c>
      <c r="J97" s="186"/>
      <c r="M97"/>
      <c r="N97"/>
      <c r="O97"/>
      <c r="P97"/>
      <c r="Q97"/>
      <c r="R97"/>
      <c r="T97" s="126">
        <v>36</v>
      </c>
      <c r="U97" s="29">
        <f t="shared" si="28"/>
        <v>0</v>
      </c>
      <c r="V97" s="29">
        <f t="shared" si="28"/>
        <v>0</v>
      </c>
      <c r="W97" s="29">
        <f t="shared" si="28"/>
        <v>0</v>
      </c>
      <c r="X97" s="29">
        <f t="shared" si="28"/>
        <v>0</v>
      </c>
      <c r="Y97" s="29"/>
      <c r="Z97" s="305">
        <f>DATE(YEAR($AI$77),2,1)</f>
        <v>44228</v>
      </c>
      <c r="AA97" s="304">
        <v>3</v>
      </c>
      <c r="AB97" s="304">
        <f t="shared" si="29"/>
        <v>0</v>
      </c>
      <c r="AC97" s="304">
        <f t="shared" si="30"/>
        <v>0</v>
      </c>
      <c r="AD97" s="304">
        <f t="shared" si="31"/>
        <v>0</v>
      </c>
      <c r="AE97" s="306">
        <f t="shared" si="32"/>
        <v>0</v>
      </c>
      <c r="AF97" s="298">
        <f>DATE(YEAR($AI$77),3,1)</f>
        <v>44256</v>
      </c>
      <c r="AG97" s="256">
        <v>5</v>
      </c>
      <c r="AH97" s="256">
        <v>20</v>
      </c>
      <c r="AI97" s="409">
        <v>10</v>
      </c>
      <c r="AJ97" s="256">
        <v>2</v>
      </c>
      <c r="AK97" s="256">
        <v>1</v>
      </c>
      <c r="AL97" s="256">
        <v>1</v>
      </c>
      <c r="AM97" s="256">
        <v>0</v>
      </c>
      <c r="AN97" s="259"/>
      <c r="AO97" s="119"/>
    </row>
    <row r="98" spans="2:42" ht="13" thickBot="1">
      <c r="B98"/>
      <c r="C98"/>
      <c r="D98"/>
      <c r="E98"/>
      <c r="F98"/>
      <c r="G98" s="178" t="s">
        <v>164</v>
      </c>
      <c r="H98" s="179"/>
      <c r="I98" s="179"/>
      <c r="J98" s="202">
        <f>IF(I97&gt;1,MIN(J90:J96),0)</f>
        <v>40000</v>
      </c>
      <c r="M98"/>
      <c r="N98"/>
      <c r="O98"/>
      <c r="P98"/>
      <c r="Q98"/>
      <c r="R98"/>
      <c r="T98" s="126">
        <v>37</v>
      </c>
      <c r="U98" s="29">
        <f t="shared" si="28"/>
        <v>0</v>
      </c>
      <c r="V98" s="29">
        <f t="shared" si="28"/>
        <v>0</v>
      </c>
      <c r="W98" s="29">
        <f t="shared" si="28"/>
        <v>0</v>
      </c>
      <c r="X98" s="29">
        <f t="shared" si="28"/>
        <v>0</v>
      </c>
      <c r="Y98" s="29"/>
      <c r="Z98" s="305">
        <f>DATE(YEAR($AI$77),2,15)</f>
        <v>44242</v>
      </c>
      <c r="AA98" s="304">
        <v>4</v>
      </c>
      <c r="AB98" s="304">
        <f t="shared" si="29"/>
        <v>0</v>
      </c>
      <c r="AC98" s="304">
        <f t="shared" si="30"/>
        <v>0</v>
      </c>
      <c r="AD98" s="304">
        <f t="shared" si="31"/>
        <v>0</v>
      </c>
      <c r="AE98" s="306">
        <f t="shared" si="32"/>
        <v>0</v>
      </c>
      <c r="AF98" s="298">
        <f>DATE(YEAR($AI$77),3,15)</f>
        <v>44270</v>
      </c>
      <c r="AG98" s="256">
        <v>6</v>
      </c>
      <c r="AH98" s="256">
        <v>19</v>
      </c>
      <c r="AI98" s="409">
        <v>9</v>
      </c>
      <c r="AJ98" s="256">
        <v>2</v>
      </c>
      <c r="AK98" s="256">
        <v>1</v>
      </c>
      <c r="AL98" s="256">
        <v>1</v>
      </c>
      <c r="AM98" s="256">
        <v>1</v>
      </c>
      <c r="AN98" s="259"/>
      <c r="AO98" s="119"/>
    </row>
    <row r="99" spans="2:42">
      <c r="B99"/>
      <c r="C99"/>
      <c r="D99"/>
      <c r="E99"/>
      <c r="F99"/>
      <c r="M99"/>
      <c r="N99"/>
      <c r="O99"/>
      <c r="P99"/>
      <c r="Q99"/>
      <c r="R99"/>
      <c r="T99" s="126">
        <v>38</v>
      </c>
      <c r="U99" s="29">
        <f t="shared" si="28"/>
        <v>0</v>
      </c>
      <c r="V99" s="29">
        <f t="shared" si="28"/>
        <v>0</v>
      </c>
      <c r="W99" s="29">
        <f t="shared" si="28"/>
        <v>0</v>
      </c>
      <c r="X99" s="29">
        <f t="shared" si="28"/>
        <v>0</v>
      </c>
      <c r="Y99" s="29"/>
      <c r="Z99" s="305">
        <f>DATE(YEAR($AI$77),3,1)</f>
        <v>44256</v>
      </c>
      <c r="AA99" s="304">
        <v>5</v>
      </c>
      <c r="AB99" s="304">
        <f t="shared" si="29"/>
        <v>0</v>
      </c>
      <c r="AC99" s="304">
        <f t="shared" si="30"/>
        <v>0</v>
      </c>
      <c r="AD99" s="304">
        <f t="shared" si="31"/>
        <v>0</v>
      </c>
      <c r="AE99" s="306">
        <f t="shared" si="32"/>
        <v>0</v>
      </c>
      <c r="AF99" s="298">
        <f>DATE(YEAR($AI$77),4,1)</f>
        <v>44287</v>
      </c>
      <c r="AG99" s="256">
        <v>7</v>
      </c>
      <c r="AH99" s="256">
        <v>18</v>
      </c>
      <c r="AI99" s="409">
        <v>9</v>
      </c>
      <c r="AJ99" s="256">
        <v>2</v>
      </c>
      <c r="AK99" s="256">
        <v>1</v>
      </c>
      <c r="AL99" s="256">
        <v>1</v>
      </c>
      <c r="AM99" s="256">
        <v>0</v>
      </c>
      <c r="AN99" s="259"/>
      <c r="AO99" s="119"/>
    </row>
    <row r="100" spans="2:42">
      <c r="B100"/>
      <c r="C100"/>
      <c r="D100"/>
      <c r="E100"/>
      <c r="F100"/>
      <c r="M100"/>
      <c r="N100"/>
      <c r="O100"/>
      <c r="P100"/>
      <c r="Q100"/>
      <c r="R100"/>
      <c r="T100" s="126">
        <v>39</v>
      </c>
      <c r="U100" s="29">
        <f t="shared" si="28"/>
        <v>0</v>
      </c>
      <c r="V100" s="29">
        <f t="shared" si="28"/>
        <v>0</v>
      </c>
      <c r="W100" s="29">
        <f t="shared" si="28"/>
        <v>0</v>
      </c>
      <c r="X100" s="29">
        <f t="shared" si="28"/>
        <v>0</v>
      </c>
      <c r="Y100" s="29"/>
      <c r="Z100" s="305">
        <f>DATE(YEAR($AI$77),3,15)</f>
        <v>44270</v>
      </c>
      <c r="AA100" s="304">
        <v>6</v>
      </c>
      <c r="AB100" s="304">
        <f t="shared" si="29"/>
        <v>0</v>
      </c>
      <c r="AC100" s="304">
        <f t="shared" si="30"/>
        <v>0</v>
      </c>
      <c r="AD100" s="304">
        <f t="shared" si="31"/>
        <v>0</v>
      </c>
      <c r="AE100" s="306">
        <f t="shared" si="32"/>
        <v>0</v>
      </c>
      <c r="AF100" s="298">
        <f>DATE(YEAR($AI$77),4,15)</f>
        <v>44301</v>
      </c>
      <c r="AG100" s="256">
        <v>8</v>
      </c>
      <c r="AH100" s="256">
        <v>17</v>
      </c>
      <c r="AI100" s="409">
        <v>8</v>
      </c>
      <c r="AJ100" s="256">
        <v>2</v>
      </c>
      <c r="AK100" s="256">
        <v>1</v>
      </c>
      <c r="AL100" s="256">
        <v>1</v>
      </c>
      <c r="AM100" s="256">
        <v>1</v>
      </c>
      <c r="AN100" s="259"/>
      <c r="AO100" s="119"/>
      <c r="AP100" s="119"/>
    </row>
    <row r="101" spans="2:42">
      <c r="B101"/>
      <c r="C101"/>
      <c r="D101"/>
      <c r="E101"/>
      <c r="F101"/>
      <c r="M101"/>
      <c r="N101"/>
      <c r="O101"/>
      <c r="P101"/>
      <c r="Q101"/>
      <c r="R101"/>
      <c r="T101" s="126">
        <v>40</v>
      </c>
      <c r="U101" s="29">
        <f t="shared" ref="U101:X120" si="33">(VLOOKUP(MAX(U$21-$T101*$H$2,0),$B$69:$D$76,2)+VLOOKUP(MAX(U$21-$T101*$H$2,0),$B$69:$D$76,3)*(MAX(U$21-$T101*$H$2,0)-VLOOKUP(MAX(U$21-$T101*$H$2,0),$B$69:$D$76,1)))*U$48</f>
        <v>0</v>
      </c>
      <c r="V101" s="29">
        <f t="shared" si="33"/>
        <v>0</v>
      </c>
      <c r="W101" s="29">
        <f t="shared" si="33"/>
        <v>0</v>
      </c>
      <c r="X101" s="29">
        <f t="shared" si="33"/>
        <v>0</v>
      </c>
      <c r="Y101" s="29"/>
      <c r="Z101" s="305">
        <f>DATE(YEAR($AI$77),4,1)</f>
        <v>44287</v>
      </c>
      <c r="AA101" s="304">
        <v>7</v>
      </c>
      <c r="AB101" s="304">
        <f t="shared" si="29"/>
        <v>0</v>
      </c>
      <c r="AC101" s="304">
        <f t="shared" si="30"/>
        <v>0</v>
      </c>
      <c r="AD101" s="304">
        <f t="shared" si="31"/>
        <v>0</v>
      </c>
      <c r="AE101" s="306">
        <f t="shared" si="32"/>
        <v>0</v>
      </c>
      <c r="AF101" s="298">
        <f>DATE(YEAR($AI$77),5,1)</f>
        <v>44317</v>
      </c>
      <c r="AG101" s="256">
        <v>9</v>
      </c>
      <c r="AH101" s="256">
        <v>16</v>
      </c>
      <c r="AI101" s="409">
        <v>8</v>
      </c>
      <c r="AJ101" s="256">
        <v>2</v>
      </c>
      <c r="AK101" s="256">
        <v>1</v>
      </c>
      <c r="AL101" s="256">
        <v>1</v>
      </c>
      <c r="AM101" s="256">
        <v>0</v>
      </c>
      <c r="AN101" s="259"/>
      <c r="AO101" s="119"/>
      <c r="AP101" s="119"/>
    </row>
    <row r="102" spans="2:42">
      <c r="B102"/>
      <c r="C102"/>
      <c r="D102"/>
      <c r="E102"/>
      <c r="F102"/>
      <c r="M102"/>
      <c r="N102"/>
      <c r="O102"/>
      <c r="P102"/>
      <c r="Q102"/>
      <c r="R102"/>
      <c r="T102" s="126">
        <v>41</v>
      </c>
      <c r="U102" s="29">
        <f t="shared" si="33"/>
        <v>0</v>
      </c>
      <c r="V102" s="29">
        <f t="shared" si="33"/>
        <v>0</v>
      </c>
      <c r="W102" s="29">
        <f t="shared" si="33"/>
        <v>0</v>
      </c>
      <c r="X102" s="29">
        <f t="shared" si="33"/>
        <v>0</v>
      </c>
      <c r="Y102" s="29"/>
      <c r="Z102" s="305">
        <f>DATE(YEAR($AI$77),4,15)</f>
        <v>44301</v>
      </c>
      <c r="AA102" s="304">
        <v>8</v>
      </c>
      <c r="AB102" s="304">
        <f t="shared" si="29"/>
        <v>0</v>
      </c>
      <c r="AC102" s="304">
        <f t="shared" si="30"/>
        <v>0</v>
      </c>
      <c r="AD102" s="304">
        <f t="shared" si="31"/>
        <v>0</v>
      </c>
      <c r="AE102" s="306">
        <f t="shared" si="32"/>
        <v>0</v>
      </c>
      <c r="AF102" s="298">
        <f>DATE(YEAR($AI$77),5,15)</f>
        <v>44331</v>
      </c>
      <c r="AG102" s="256">
        <v>10</v>
      </c>
      <c r="AH102" s="256">
        <v>15</v>
      </c>
      <c r="AI102" s="409">
        <v>7</v>
      </c>
      <c r="AJ102" s="256">
        <v>2</v>
      </c>
      <c r="AK102" s="256">
        <v>1</v>
      </c>
      <c r="AL102" s="256">
        <v>1</v>
      </c>
      <c r="AM102" s="256">
        <v>1</v>
      </c>
      <c r="AN102" s="259"/>
      <c r="AO102" s="119"/>
      <c r="AP102" s="119"/>
    </row>
    <row r="103" spans="2:42">
      <c r="B103"/>
      <c r="C103"/>
      <c r="D103"/>
      <c r="E103"/>
      <c r="F103"/>
      <c r="M103"/>
      <c r="N103"/>
      <c r="O103"/>
      <c r="P103"/>
      <c r="Q103"/>
      <c r="R103"/>
      <c r="T103" s="126">
        <v>42</v>
      </c>
      <c r="U103" s="29">
        <f t="shared" si="33"/>
        <v>0</v>
      </c>
      <c r="V103" s="29">
        <f t="shared" si="33"/>
        <v>0</v>
      </c>
      <c r="W103" s="29">
        <f t="shared" si="33"/>
        <v>0</v>
      </c>
      <c r="X103" s="29">
        <f t="shared" si="33"/>
        <v>0</v>
      </c>
      <c r="Y103" s="29"/>
      <c r="Z103" s="305">
        <f>DATE(YEAR($AI$77),5,1)</f>
        <v>44317</v>
      </c>
      <c r="AA103" s="304">
        <v>9</v>
      </c>
      <c r="AB103" s="304">
        <f t="shared" si="29"/>
        <v>0</v>
      </c>
      <c r="AC103" s="304">
        <f t="shared" si="30"/>
        <v>0</v>
      </c>
      <c r="AD103" s="304">
        <f t="shared" si="31"/>
        <v>0</v>
      </c>
      <c r="AE103" s="306">
        <f t="shared" si="32"/>
        <v>0</v>
      </c>
      <c r="AF103" s="298">
        <f>DATE(YEAR($AI$77),6,1)</f>
        <v>44348</v>
      </c>
      <c r="AG103" s="256">
        <v>11</v>
      </c>
      <c r="AH103" s="256">
        <v>14</v>
      </c>
      <c r="AI103" s="409">
        <v>7</v>
      </c>
      <c r="AJ103" s="256">
        <v>2</v>
      </c>
      <c r="AK103" s="256">
        <v>1</v>
      </c>
      <c r="AL103" s="256">
        <v>1</v>
      </c>
      <c r="AM103" s="256">
        <v>0</v>
      </c>
      <c r="AN103" s="259"/>
      <c r="AO103" s="119"/>
      <c r="AP103" s="119"/>
    </row>
    <row r="104" spans="2:42">
      <c r="B104"/>
      <c r="C104"/>
      <c r="D104"/>
      <c r="E104"/>
      <c r="F104"/>
      <c r="M104"/>
      <c r="N104"/>
      <c r="O104"/>
      <c r="P104"/>
      <c r="Q104"/>
      <c r="R104"/>
      <c r="T104" s="126">
        <v>43</v>
      </c>
      <c r="U104" s="29">
        <f t="shared" si="33"/>
        <v>0</v>
      </c>
      <c r="V104" s="29">
        <f t="shared" si="33"/>
        <v>0</v>
      </c>
      <c r="W104" s="29">
        <f t="shared" si="33"/>
        <v>0</v>
      </c>
      <c r="X104" s="29">
        <f t="shared" si="33"/>
        <v>0</v>
      </c>
      <c r="Y104" s="29"/>
      <c r="Z104" s="305">
        <f>DATE(YEAR($AI$77),5,15)</f>
        <v>44331</v>
      </c>
      <c r="AA104" s="304">
        <v>10</v>
      </c>
      <c r="AB104" s="304">
        <f t="shared" si="29"/>
        <v>0</v>
      </c>
      <c r="AC104" s="304">
        <f t="shared" si="30"/>
        <v>0</v>
      </c>
      <c r="AD104" s="304">
        <f t="shared" si="31"/>
        <v>0</v>
      </c>
      <c r="AE104" s="306">
        <f t="shared" si="32"/>
        <v>0</v>
      </c>
      <c r="AF104" s="298">
        <f>DATE(YEAR($AI$77),6,15)</f>
        <v>44362</v>
      </c>
      <c r="AG104" s="256">
        <v>12</v>
      </c>
      <c r="AH104" s="256">
        <v>13</v>
      </c>
      <c r="AI104" s="409">
        <v>6</v>
      </c>
      <c r="AJ104" s="256">
        <v>2</v>
      </c>
      <c r="AK104" s="256">
        <v>1</v>
      </c>
      <c r="AL104" s="256">
        <v>1</v>
      </c>
      <c r="AM104" s="256">
        <v>1</v>
      </c>
      <c r="AN104" s="259"/>
      <c r="AO104" s="119"/>
      <c r="AP104" s="119"/>
    </row>
    <row r="105" spans="2:42">
      <c r="B105"/>
      <c r="C105"/>
      <c r="D105"/>
      <c r="E105"/>
      <c r="F105"/>
      <c r="T105" s="126">
        <v>44</v>
      </c>
      <c r="U105" s="29">
        <f t="shared" si="33"/>
        <v>0</v>
      </c>
      <c r="V105" s="29">
        <f t="shared" si="33"/>
        <v>0</v>
      </c>
      <c r="W105" s="29">
        <f t="shared" si="33"/>
        <v>0</v>
      </c>
      <c r="X105" s="29">
        <f t="shared" si="33"/>
        <v>0</v>
      </c>
      <c r="Y105" s="29"/>
      <c r="Z105" s="305">
        <f>DATE(YEAR($AI$77),6,1)</f>
        <v>44348</v>
      </c>
      <c r="AA105" s="304">
        <v>11</v>
      </c>
      <c r="AB105" s="304">
        <f t="shared" si="29"/>
        <v>0</v>
      </c>
      <c r="AC105" s="304">
        <f t="shared" si="30"/>
        <v>0</v>
      </c>
      <c r="AD105" s="304">
        <f t="shared" si="31"/>
        <v>0</v>
      </c>
      <c r="AE105" s="306">
        <f t="shared" si="32"/>
        <v>0</v>
      </c>
      <c r="AF105" s="298">
        <f>DATE(YEAR($AI$77),7,1)</f>
        <v>44378</v>
      </c>
      <c r="AG105" s="256">
        <v>13</v>
      </c>
      <c r="AH105" s="256">
        <v>12</v>
      </c>
      <c r="AI105" s="409">
        <v>6</v>
      </c>
      <c r="AJ105" s="256">
        <v>2</v>
      </c>
      <c r="AK105" s="256">
        <v>1</v>
      </c>
      <c r="AL105" s="256">
        <v>1</v>
      </c>
      <c r="AM105" s="256">
        <v>0</v>
      </c>
      <c r="AN105" s="259"/>
      <c r="AO105" s="119"/>
      <c r="AP105" s="119"/>
    </row>
    <row r="106" spans="2:42">
      <c r="B106"/>
      <c r="C106"/>
      <c r="D106"/>
      <c r="E106"/>
      <c r="F106"/>
      <c r="T106" s="126">
        <v>45</v>
      </c>
      <c r="U106" s="29">
        <f t="shared" si="33"/>
        <v>0</v>
      </c>
      <c r="V106" s="29">
        <f t="shared" si="33"/>
        <v>0</v>
      </c>
      <c r="W106" s="29">
        <f t="shared" si="33"/>
        <v>0</v>
      </c>
      <c r="X106" s="29">
        <f t="shared" si="33"/>
        <v>0</v>
      </c>
      <c r="Y106" s="29"/>
      <c r="Z106" s="305">
        <f>DATE(YEAR($AI$77),6,15)</f>
        <v>44362</v>
      </c>
      <c r="AA106" s="304">
        <v>12</v>
      </c>
      <c r="AB106" s="304">
        <f t="shared" si="29"/>
        <v>0</v>
      </c>
      <c r="AC106" s="304">
        <f t="shared" si="30"/>
        <v>0</v>
      </c>
      <c r="AD106" s="304">
        <f t="shared" si="31"/>
        <v>0</v>
      </c>
      <c r="AE106" s="306">
        <f t="shared" si="32"/>
        <v>0</v>
      </c>
      <c r="AF106" s="298">
        <f>DATE(YEAR($AI$77),7,15)</f>
        <v>44392</v>
      </c>
      <c r="AG106" s="256">
        <v>14</v>
      </c>
      <c r="AH106" s="256">
        <v>11</v>
      </c>
      <c r="AI106" s="409">
        <v>5</v>
      </c>
      <c r="AJ106" s="256">
        <v>2</v>
      </c>
      <c r="AK106" s="256">
        <v>1</v>
      </c>
      <c r="AL106" s="256">
        <v>1</v>
      </c>
      <c r="AM106" s="256">
        <v>1</v>
      </c>
      <c r="AN106" s="259"/>
      <c r="AO106" s="119"/>
      <c r="AP106" s="119"/>
    </row>
    <row r="107" spans="2:42">
      <c r="B107"/>
      <c r="C107"/>
      <c r="D107"/>
      <c r="E107"/>
      <c r="F107"/>
      <c r="T107" s="126">
        <v>46</v>
      </c>
      <c r="U107" s="29">
        <f t="shared" si="33"/>
        <v>0</v>
      </c>
      <c r="V107" s="29">
        <f t="shared" si="33"/>
        <v>0</v>
      </c>
      <c r="W107" s="29">
        <f t="shared" si="33"/>
        <v>0</v>
      </c>
      <c r="X107" s="29">
        <f t="shared" si="33"/>
        <v>0</v>
      </c>
      <c r="Y107" s="29"/>
      <c r="Z107" s="305">
        <f>DATE(YEAR($AI$77),7,1)</f>
        <v>44378</v>
      </c>
      <c r="AA107" s="304">
        <v>13</v>
      </c>
      <c r="AB107" s="304">
        <f t="shared" si="29"/>
        <v>0</v>
      </c>
      <c r="AC107" s="304">
        <f t="shared" si="30"/>
        <v>0</v>
      </c>
      <c r="AD107" s="304">
        <f t="shared" si="31"/>
        <v>0</v>
      </c>
      <c r="AE107" s="306">
        <f t="shared" si="32"/>
        <v>0</v>
      </c>
      <c r="AF107" s="298">
        <f>DATE(YEAR($AI$77),8,1)</f>
        <v>44409</v>
      </c>
      <c r="AG107" s="256">
        <v>15</v>
      </c>
      <c r="AH107" s="256">
        <v>10</v>
      </c>
      <c r="AI107" s="409">
        <v>5</v>
      </c>
      <c r="AJ107" s="256">
        <v>2</v>
      </c>
      <c r="AK107" s="256">
        <v>1</v>
      </c>
      <c r="AL107" s="256">
        <v>1</v>
      </c>
      <c r="AM107" s="256">
        <v>0</v>
      </c>
      <c r="AN107" s="259"/>
      <c r="AO107" s="119"/>
      <c r="AP107" s="120"/>
    </row>
    <row r="108" spans="2:42">
      <c r="B108"/>
      <c r="C108"/>
      <c r="D108"/>
      <c r="E108"/>
      <c r="F108"/>
      <c r="T108" s="126">
        <v>47</v>
      </c>
      <c r="U108" s="29">
        <f t="shared" si="33"/>
        <v>0</v>
      </c>
      <c r="V108" s="29">
        <f t="shared" si="33"/>
        <v>0</v>
      </c>
      <c r="W108" s="29">
        <f t="shared" si="33"/>
        <v>0</v>
      </c>
      <c r="X108" s="29">
        <f t="shared" si="33"/>
        <v>0</v>
      </c>
      <c r="Y108" s="29"/>
      <c r="Z108" s="305">
        <f>DATE(YEAR($AI$77),7,15)</f>
        <v>44392</v>
      </c>
      <c r="AA108" s="304">
        <v>14</v>
      </c>
      <c r="AB108" s="304">
        <f t="shared" si="29"/>
        <v>0</v>
      </c>
      <c r="AC108" s="304">
        <f t="shared" si="30"/>
        <v>0</v>
      </c>
      <c r="AD108" s="304">
        <f t="shared" si="31"/>
        <v>0</v>
      </c>
      <c r="AE108" s="306">
        <f t="shared" si="32"/>
        <v>0</v>
      </c>
      <c r="AF108" s="298">
        <f>DATE(YEAR($AI$77),8,15)</f>
        <v>44423</v>
      </c>
      <c r="AG108" s="256">
        <v>16</v>
      </c>
      <c r="AH108" s="256">
        <v>9</v>
      </c>
      <c r="AI108" s="409">
        <v>4</v>
      </c>
      <c r="AJ108" s="256">
        <v>2</v>
      </c>
      <c r="AK108" s="256">
        <v>1</v>
      </c>
      <c r="AL108" s="256">
        <v>1</v>
      </c>
      <c r="AM108" s="256">
        <v>1</v>
      </c>
      <c r="AN108" s="259"/>
      <c r="AO108" s="119"/>
      <c r="AP108" s="119"/>
    </row>
    <row r="109" spans="2:42">
      <c r="B109"/>
      <c r="C109"/>
      <c r="D109"/>
      <c r="E109"/>
      <c r="F109"/>
      <c r="T109" s="126">
        <v>48</v>
      </c>
      <c r="U109" s="29">
        <f t="shared" si="33"/>
        <v>0</v>
      </c>
      <c r="V109" s="29">
        <f t="shared" si="33"/>
        <v>0</v>
      </c>
      <c r="W109" s="29">
        <f t="shared" si="33"/>
        <v>0</v>
      </c>
      <c r="X109" s="29">
        <f t="shared" si="33"/>
        <v>0</v>
      </c>
      <c r="Y109" s="29"/>
      <c r="Z109" s="305">
        <f>DATE(YEAR($AI$77),8,1)</f>
        <v>44409</v>
      </c>
      <c r="AA109" s="304">
        <v>15</v>
      </c>
      <c r="AB109" s="304">
        <f t="shared" si="29"/>
        <v>0</v>
      </c>
      <c r="AC109" s="304">
        <f t="shared" si="30"/>
        <v>0</v>
      </c>
      <c r="AD109" s="304">
        <f t="shared" si="31"/>
        <v>0</v>
      </c>
      <c r="AE109" s="306">
        <f t="shared" si="32"/>
        <v>0</v>
      </c>
      <c r="AF109" s="298">
        <f>DATE(YEAR($AI$77),9,1)</f>
        <v>44440</v>
      </c>
      <c r="AG109" s="256">
        <v>17</v>
      </c>
      <c r="AH109" s="256">
        <v>8</v>
      </c>
      <c r="AI109" s="409">
        <v>4</v>
      </c>
      <c r="AJ109" s="256">
        <v>2</v>
      </c>
      <c r="AK109" s="256">
        <v>1</v>
      </c>
      <c r="AL109" s="256">
        <v>1</v>
      </c>
      <c r="AM109" s="256">
        <v>0</v>
      </c>
      <c r="AN109" s="259"/>
      <c r="AO109" s="119"/>
      <c r="AP109" s="119"/>
    </row>
    <row r="110" spans="2:42">
      <c r="B110"/>
      <c r="C110"/>
      <c r="D110"/>
      <c r="E110"/>
      <c r="F110"/>
      <c r="T110" s="126">
        <v>49</v>
      </c>
      <c r="U110" s="29">
        <f t="shared" si="33"/>
        <v>0</v>
      </c>
      <c r="V110" s="29">
        <f t="shared" si="33"/>
        <v>0</v>
      </c>
      <c r="W110" s="29">
        <f t="shared" si="33"/>
        <v>0</v>
      </c>
      <c r="X110" s="29">
        <f t="shared" si="33"/>
        <v>0</v>
      </c>
      <c r="Y110" s="29">
        <f>(Z119-Z109)/7</f>
        <v>21.714285714285715</v>
      </c>
      <c r="Z110" s="305">
        <f>DATE(YEAR($AI$77),8,15)</f>
        <v>44423</v>
      </c>
      <c r="AA110" s="304">
        <v>16</v>
      </c>
      <c r="AB110" s="304">
        <f t="shared" si="29"/>
        <v>0</v>
      </c>
      <c r="AC110" s="304">
        <f t="shared" si="30"/>
        <v>0</v>
      </c>
      <c r="AD110" s="304">
        <f t="shared" si="31"/>
        <v>0</v>
      </c>
      <c r="AE110" s="306">
        <f t="shared" si="32"/>
        <v>0</v>
      </c>
      <c r="AF110" s="298">
        <f>DATE(YEAR($AI$77),9,15)</f>
        <v>44454</v>
      </c>
      <c r="AG110" s="256">
        <v>18</v>
      </c>
      <c r="AH110" s="256">
        <v>7</v>
      </c>
      <c r="AI110" s="409">
        <v>3</v>
      </c>
      <c r="AJ110" s="256">
        <v>2</v>
      </c>
      <c r="AK110" s="256">
        <v>1</v>
      </c>
      <c r="AL110" s="256">
        <v>1</v>
      </c>
      <c r="AM110" s="256">
        <v>1</v>
      </c>
      <c r="AN110" s="259"/>
      <c r="AO110" s="119"/>
      <c r="AP110" s="119"/>
    </row>
    <row r="111" spans="2:42">
      <c r="B111"/>
      <c r="C111"/>
      <c r="D111"/>
      <c r="E111"/>
      <c r="F111"/>
      <c r="T111" s="126">
        <v>50</v>
      </c>
      <c r="U111" s="29">
        <f t="shared" si="33"/>
        <v>0</v>
      </c>
      <c r="V111" s="29">
        <f t="shared" si="33"/>
        <v>0</v>
      </c>
      <c r="W111" s="29">
        <f t="shared" si="33"/>
        <v>0</v>
      </c>
      <c r="X111" s="29">
        <f t="shared" si="33"/>
        <v>0</v>
      </c>
      <c r="Y111" s="29"/>
      <c r="Z111" s="305">
        <f>DATE(YEAR($AI$77),9,1)</f>
        <v>44440</v>
      </c>
      <c r="AA111" s="304">
        <v>17</v>
      </c>
      <c r="AB111" s="304">
        <f t="shared" si="29"/>
        <v>0</v>
      </c>
      <c r="AC111" s="304">
        <f t="shared" si="30"/>
        <v>0</v>
      </c>
      <c r="AD111" s="304">
        <f t="shared" si="31"/>
        <v>0</v>
      </c>
      <c r="AE111" s="306">
        <f t="shared" si="32"/>
        <v>0</v>
      </c>
      <c r="AF111" s="298">
        <f>DATE(YEAR($AI$77),10,1)</f>
        <v>44470</v>
      </c>
      <c r="AG111" s="256">
        <v>19</v>
      </c>
      <c r="AH111" s="256">
        <v>6</v>
      </c>
      <c r="AI111" s="409">
        <v>3</v>
      </c>
      <c r="AJ111" s="256">
        <v>2</v>
      </c>
      <c r="AK111" s="256">
        <v>1</v>
      </c>
      <c r="AL111" s="256">
        <v>1</v>
      </c>
      <c r="AM111" s="256">
        <v>0</v>
      </c>
      <c r="AN111" s="259"/>
      <c r="AO111" s="119"/>
      <c r="AP111" s="119"/>
    </row>
    <row r="112" spans="2:42">
      <c r="B112"/>
      <c r="C112"/>
      <c r="D112"/>
      <c r="E112"/>
      <c r="F112"/>
      <c r="T112" s="126">
        <f>T111+1</f>
        <v>51</v>
      </c>
      <c r="U112" s="29">
        <f t="shared" si="33"/>
        <v>0</v>
      </c>
      <c r="V112" s="29">
        <f t="shared" si="33"/>
        <v>0</v>
      </c>
      <c r="W112" s="29">
        <f t="shared" si="33"/>
        <v>0</v>
      </c>
      <c r="X112" s="29">
        <f t="shared" si="33"/>
        <v>0</v>
      </c>
      <c r="Y112" s="29"/>
      <c r="Z112" s="305">
        <f>DATE(YEAR($AI$77),9,15)</f>
        <v>44454</v>
      </c>
      <c r="AA112" s="304">
        <v>18</v>
      </c>
      <c r="AB112" s="304">
        <f t="shared" si="29"/>
        <v>0</v>
      </c>
      <c r="AC112" s="304">
        <f t="shared" si="30"/>
        <v>0</v>
      </c>
      <c r="AD112" s="304">
        <f t="shared" si="31"/>
        <v>0</v>
      </c>
      <c r="AE112" s="306">
        <f t="shared" si="32"/>
        <v>0</v>
      </c>
      <c r="AF112" s="298">
        <f>DATE(YEAR($AI$77),10,15)</f>
        <v>44484</v>
      </c>
      <c r="AG112" s="256">
        <v>20</v>
      </c>
      <c r="AH112" s="256">
        <v>5</v>
      </c>
      <c r="AI112" s="409">
        <v>2</v>
      </c>
      <c r="AJ112" s="256">
        <v>2</v>
      </c>
      <c r="AK112" s="256">
        <v>1</v>
      </c>
      <c r="AL112" s="256">
        <v>1</v>
      </c>
      <c r="AM112" s="256">
        <v>1</v>
      </c>
      <c r="AN112" s="259"/>
      <c r="AO112" s="119"/>
      <c r="AP112" s="119"/>
    </row>
    <row r="113" spans="2:42">
      <c r="B113"/>
      <c r="C113"/>
      <c r="D113"/>
      <c r="E113"/>
      <c r="F113"/>
      <c r="T113" s="126">
        <f t="shared" ref="T113:T122" si="34">T112+1</f>
        <v>52</v>
      </c>
      <c r="U113" s="29">
        <f t="shared" si="33"/>
        <v>0</v>
      </c>
      <c r="V113" s="29">
        <f t="shared" si="33"/>
        <v>0</v>
      </c>
      <c r="W113" s="29">
        <f t="shared" si="33"/>
        <v>0</v>
      </c>
      <c r="X113" s="29">
        <f t="shared" si="33"/>
        <v>0</v>
      </c>
      <c r="Y113" s="29"/>
      <c r="Z113" s="305">
        <f>DATE(YEAR($AI$77),10,1)</f>
        <v>44470</v>
      </c>
      <c r="AA113" s="304">
        <v>19</v>
      </c>
      <c r="AB113" s="304">
        <f t="shared" si="29"/>
        <v>0</v>
      </c>
      <c r="AC113" s="304">
        <f t="shared" si="30"/>
        <v>0</v>
      </c>
      <c r="AD113" s="304">
        <f t="shared" si="31"/>
        <v>0</v>
      </c>
      <c r="AE113" s="306">
        <f t="shared" si="32"/>
        <v>0</v>
      </c>
      <c r="AF113" s="298">
        <f>DATE(YEAR($AI$77),11,1)</f>
        <v>44501</v>
      </c>
      <c r="AG113" s="256">
        <v>21</v>
      </c>
      <c r="AH113" s="256">
        <v>4</v>
      </c>
      <c r="AI113" s="409">
        <v>2</v>
      </c>
      <c r="AJ113" s="256">
        <v>2</v>
      </c>
      <c r="AK113" s="256">
        <v>1</v>
      </c>
      <c r="AL113" s="256">
        <v>1</v>
      </c>
      <c r="AM113" s="256">
        <v>0</v>
      </c>
      <c r="AN113" s="259"/>
      <c r="AO113" s="119"/>
      <c r="AP113" s="119"/>
    </row>
    <row r="114" spans="2:42">
      <c r="B114"/>
      <c r="C114"/>
      <c r="D114"/>
      <c r="E114"/>
      <c r="F114"/>
      <c r="T114" s="126">
        <f t="shared" si="34"/>
        <v>53</v>
      </c>
      <c r="U114" s="29">
        <f t="shared" si="33"/>
        <v>0</v>
      </c>
      <c r="V114" s="29">
        <f t="shared" si="33"/>
        <v>0</v>
      </c>
      <c r="W114" s="29">
        <f t="shared" si="33"/>
        <v>0</v>
      </c>
      <c r="X114" s="29">
        <f t="shared" si="33"/>
        <v>0</v>
      </c>
      <c r="Y114" s="29"/>
      <c r="Z114" s="305">
        <f>DATE(YEAR($AI$77),10,15)</f>
        <v>44484</v>
      </c>
      <c r="AA114" s="304">
        <v>20</v>
      </c>
      <c r="AB114" s="304">
        <f t="shared" si="29"/>
        <v>0</v>
      </c>
      <c r="AC114" s="304">
        <f t="shared" si="30"/>
        <v>0</v>
      </c>
      <c r="AD114" s="304">
        <f t="shared" si="31"/>
        <v>0</v>
      </c>
      <c r="AE114" s="306">
        <f t="shared" si="32"/>
        <v>0</v>
      </c>
      <c r="AF114" s="298">
        <f>DATE(YEAR($AI$77),11,15)</f>
        <v>44515</v>
      </c>
      <c r="AG114" s="256">
        <v>22</v>
      </c>
      <c r="AH114" s="256">
        <v>3</v>
      </c>
      <c r="AI114" s="409">
        <v>1</v>
      </c>
      <c r="AJ114" s="256">
        <v>2</v>
      </c>
      <c r="AK114" s="256">
        <v>1</v>
      </c>
      <c r="AL114" s="256">
        <v>1</v>
      </c>
      <c r="AM114" s="256">
        <v>1</v>
      </c>
      <c r="AN114" s="259"/>
      <c r="AO114" s="119"/>
      <c r="AP114" s="119"/>
    </row>
    <row r="115" spans="2:42">
      <c r="B115"/>
      <c r="C115"/>
      <c r="D115"/>
      <c r="E115"/>
      <c r="F115"/>
      <c r="T115" s="126">
        <f t="shared" si="34"/>
        <v>54</v>
      </c>
      <c r="U115" s="29">
        <f t="shared" si="33"/>
        <v>0</v>
      </c>
      <c r="V115" s="29">
        <f t="shared" si="33"/>
        <v>0</v>
      </c>
      <c r="W115" s="29">
        <f t="shared" si="33"/>
        <v>0</v>
      </c>
      <c r="X115" s="29">
        <f t="shared" si="33"/>
        <v>0</v>
      </c>
      <c r="Y115" s="29"/>
      <c r="Z115" s="305">
        <f>DATE(YEAR($AI$77),11,1)</f>
        <v>44501</v>
      </c>
      <c r="AA115" s="304">
        <v>21</v>
      </c>
      <c r="AB115" s="304">
        <f t="shared" si="29"/>
        <v>1</v>
      </c>
      <c r="AC115" s="304">
        <f t="shared" si="30"/>
        <v>0</v>
      </c>
      <c r="AD115" s="304">
        <f t="shared" si="31"/>
        <v>1</v>
      </c>
      <c r="AE115" s="306">
        <f t="shared" si="32"/>
        <v>0</v>
      </c>
      <c r="AF115" s="298">
        <f>DATE(YEAR($AI$77),12,1)</f>
        <v>44531</v>
      </c>
      <c r="AG115" s="256">
        <v>23</v>
      </c>
      <c r="AH115" s="256">
        <v>2</v>
      </c>
      <c r="AI115" s="409">
        <v>1</v>
      </c>
      <c r="AJ115" s="256">
        <v>2</v>
      </c>
      <c r="AK115" s="256">
        <v>1</v>
      </c>
      <c r="AL115" s="256">
        <v>1</v>
      </c>
      <c r="AM115" s="256">
        <v>0</v>
      </c>
      <c r="AN115" s="259"/>
      <c r="AO115" s="119"/>
      <c r="AP115" s="119"/>
    </row>
    <row r="116" spans="2:42">
      <c r="B116"/>
      <c r="C116"/>
      <c r="D116"/>
      <c r="E116"/>
      <c r="F116"/>
      <c r="T116" s="126">
        <f t="shared" si="34"/>
        <v>55</v>
      </c>
      <c r="U116" s="29">
        <f t="shared" si="33"/>
        <v>0</v>
      </c>
      <c r="V116" s="29">
        <f t="shared" si="33"/>
        <v>0</v>
      </c>
      <c r="W116" s="29">
        <f t="shared" si="33"/>
        <v>0</v>
      </c>
      <c r="X116" s="29">
        <f t="shared" si="33"/>
        <v>0</v>
      </c>
      <c r="Y116" s="29"/>
      <c r="Z116" s="305">
        <f>DATE(YEAR($AI$77),11,15)</f>
        <v>44515</v>
      </c>
      <c r="AA116" s="304">
        <v>22</v>
      </c>
      <c r="AB116" s="304">
        <f t="shared" si="29"/>
        <v>3</v>
      </c>
      <c r="AC116" s="304">
        <f t="shared" si="30"/>
        <v>1</v>
      </c>
      <c r="AD116" s="304">
        <f t="shared" si="31"/>
        <v>2</v>
      </c>
      <c r="AE116" s="306">
        <f t="shared" si="32"/>
        <v>1</v>
      </c>
      <c r="AF116" s="298">
        <f>DATE(YEAR($AI$77),12,15)</f>
        <v>44545</v>
      </c>
      <c r="AG116" s="256">
        <v>24</v>
      </c>
      <c r="AH116" s="256">
        <v>1</v>
      </c>
      <c r="AI116" s="409">
        <v>0</v>
      </c>
      <c r="AJ116" s="256">
        <v>2</v>
      </c>
      <c r="AK116" s="256">
        <v>1</v>
      </c>
      <c r="AL116" s="256">
        <v>1</v>
      </c>
      <c r="AM116" s="256">
        <v>1</v>
      </c>
      <c r="AN116" s="259"/>
      <c r="AP116" s="119"/>
    </row>
    <row r="117" spans="2:42" ht="13" thickBot="1">
      <c r="B117"/>
      <c r="C117"/>
      <c r="D117"/>
      <c r="E117"/>
      <c r="F117"/>
      <c r="T117" s="126">
        <f t="shared" si="34"/>
        <v>56</v>
      </c>
      <c r="U117" s="29">
        <f t="shared" si="33"/>
        <v>0</v>
      </c>
      <c r="V117" s="29">
        <f t="shared" si="33"/>
        <v>0</v>
      </c>
      <c r="W117" s="29">
        <f t="shared" si="33"/>
        <v>0</v>
      </c>
      <c r="X117" s="29">
        <f t="shared" si="33"/>
        <v>0</v>
      </c>
      <c r="Y117" s="29"/>
      <c r="Z117" s="305">
        <f>DATE(YEAR($AI$77),12,1)</f>
        <v>44531</v>
      </c>
      <c r="AA117" s="304">
        <v>23</v>
      </c>
      <c r="AB117" s="304">
        <f t="shared" si="29"/>
        <v>5</v>
      </c>
      <c r="AC117" s="304">
        <f t="shared" si="30"/>
        <v>2</v>
      </c>
      <c r="AD117" s="304">
        <f t="shared" si="31"/>
        <v>3</v>
      </c>
      <c r="AE117" s="306">
        <f t="shared" si="32"/>
        <v>1</v>
      </c>
      <c r="AF117" s="299">
        <f>DATE(YEAR($AI$77),12,31)</f>
        <v>44561</v>
      </c>
      <c r="AG117" s="267">
        <v>25</v>
      </c>
      <c r="AH117" s="267">
        <v>0</v>
      </c>
      <c r="AI117" s="410">
        <v>0</v>
      </c>
      <c r="AJ117" s="267">
        <v>2</v>
      </c>
      <c r="AK117" s="267">
        <v>1</v>
      </c>
      <c r="AL117" s="267">
        <v>1</v>
      </c>
      <c r="AM117" s="267">
        <v>0</v>
      </c>
      <c r="AN117" s="268"/>
      <c r="AO117" s="119"/>
    </row>
    <row r="118" spans="2:42">
      <c r="B118"/>
      <c r="C118"/>
      <c r="D118"/>
      <c r="E118"/>
      <c r="F118"/>
      <c r="T118" s="126">
        <f t="shared" si="34"/>
        <v>57</v>
      </c>
      <c r="U118" s="29">
        <f t="shared" si="33"/>
        <v>0</v>
      </c>
      <c r="V118" s="29">
        <f t="shared" si="33"/>
        <v>0</v>
      </c>
      <c r="W118" s="29">
        <f t="shared" si="33"/>
        <v>0</v>
      </c>
      <c r="X118" s="29">
        <f t="shared" si="33"/>
        <v>0</v>
      </c>
      <c r="Y118" s="29"/>
      <c r="Z118" s="305">
        <f>DATE(YEAR($AI$77),12,15)</f>
        <v>44545</v>
      </c>
      <c r="AA118" s="304">
        <v>24</v>
      </c>
      <c r="AB118" s="304">
        <f t="shared" si="29"/>
        <v>7</v>
      </c>
      <c r="AC118" s="304">
        <f t="shared" si="30"/>
        <v>3</v>
      </c>
      <c r="AD118" s="304">
        <f t="shared" si="31"/>
        <v>4</v>
      </c>
      <c r="AE118" s="306">
        <f t="shared" si="32"/>
        <v>2</v>
      </c>
      <c r="AO118" s="119"/>
    </row>
    <row r="119" spans="2:42" ht="13" thickBot="1">
      <c r="B119"/>
      <c r="C119"/>
      <c r="D119"/>
      <c r="E119"/>
      <c r="F119"/>
      <c r="T119" s="126">
        <f t="shared" si="34"/>
        <v>58</v>
      </c>
      <c r="U119" s="29">
        <f t="shared" si="33"/>
        <v>0</v>
      </c>
      <c r="V119" s="29">
        <f t="shared" si="33"/>
        <v>0</v>
      </c>
      <c r="W119" s="29">
        <f t="shared" si="33"/>
        <v>0</v>
      </c>
      <c r="X119" s="29">
        <f t="shared" si="33"/>
        <v>0</v>
      </c>
      <c r="Y119" s="29"/>
      <c r="Z119" s="307">
        <f>DATE(YEAR($AI$77),12,31)</f>
        <v>44561</v>
      </c>
      <c r="AA119" s="308">
        <v>25</v>
      </c>
      <c r="AB119" s="308">
        <f t="shared" si="29"/>
        <v>9</v>
      </c>
      <c r="AC119" s="308">
        <f>INT(AB119/2)</f>
        <v>4</v>
      </c>
      <c r="AD119" s="308">
        <f t="shared" si="31"/>
        <v>5</v>
      </c>
      <c r="AE119" s="309">
        <f t="shared" si="32"/>
        <v>2</v>
      </c>
      <c r="AF119" s="390"/>
      <c r="AG119" s="390"/>
      <c r="AO119" s="119"/>
    </row>
    <row r="120" spans="2:42">
      <c r="B120"/>
      <c r="C120"/>
      <c r="D120"/>
      <c r="E120"/>
      <c r="F120"/>
      <c r="T120" s="126">
        <f t="shared" si="34"/>
        <v>59</v>
      </c>
      <c r="U120" s="29">
        <f t="shared" si="33"/>
        <v>0</v>
      </c>
      <c r="V120" s="29">
        <f t="shared" si="33"/>
        <v>0</v>
      </c>
      <c r="W120" s="29">
        <f t="shared" si="33"/>
        <v>0</v>
      </c>
      <c r="X120" s="29">
        <f t="shared" si="33"/>
        <v>0</v>
      </c>
      <c r="Y120" s="29"/>
      <c r="AA120" s="634" t="s">
        <v>293</v>
      </c>
      <c r="AB120" s="120">
        <f>AB68</f>
        <v>40</v>
      </c>
      <c r="AC120" s="120">
        <f>AC68</f>
        <v>20</v>
      </c>
      <c r="AD120" s="120">
        <f>AD68</f>
        <v>18</v>
      </c>
      <c r="AE120" s="120">
        <f>AE68</f>
        <v>9</v>
      </c>
      <c r="AF120" s="390"/>
      <c r="AG120" s="390"/>
      <c r="AO120" s="119"/>
    </row>
    <row r="121" spans="2:42">
      <c r="B121"/>
      <c r="C121"/>
      <c r="D121"/>
      <c r="E121"/>
      <c r="F121"/>
      <c r="T121" s="126">
        <f t="shared" si="34"/>
        <v>60</v>
      </c>
      <c r="U121" s="29">
        <f t="shared" ref="U121:X140" si="35">(VLOOKUP(MAX(U$21-$T121*$H$2,0),$B$69:$D$76,2)+VLOOKUP(MAX(U$21-$T121*$H$2,0),$B$69:$D$76,3)*(MAX(U$21-$T121*$H$2,0)-VLOOKUP(MAX(U$21-$T121*$H$2,0),$B$69:$D$76,1)))*U$48</f>
        <v>0</v>
      </c>
      <c r="V121" s="29">
        <f t="shared" si="35"/>
        <v>0</v>
      </c>
      <c r="W121" s="29">
        <f t="shared" si="35"/>
        <v>0</v>
      </c>
      <c r="X121" s="29">
        <f t="shared" si="35"/>
        <v>0</v>
      </c>
      <c r="Y121" s="29"/>
      <c r="AA121" s="27" t="s">
        <v>292</v>
      </c>
      <c r="AB121" s="5">
        <f>VLOOKUP($AH$74,$AF$93:$AM$117,5)</f>
        <v>2</v>
      </c>
      <c r="AC121" s="5">
        <f>VLOOKUP($AH$74,$AF$93:$AM$117,6)</f>
        <v>1</v>
      </c>
      <c r="AD121" s="5">
        <f>VLOOKUP($AH$74,$AF$93:$AM$117,7)</f>
        <v>1</v>
      </c>
      <c r="AE121" s="5">
        <f>VLOOKUP($AH$74,$AF$93:$AM$117,8)</f>
        <v>1</v>
      </c>
      <c r="AF121" s="390"/>
      <c r="AG121" s="390"/>
      <c r="AO121" s="119"/>
    </row>
    <row r="122" spans="2:42">
      <c r="B122"/>
      <c r="C122"/>
      <c r="D122"/>
      <c r="E122"/>
      <c r="F122"/>
      <c r="T122" s="126">
        <f t="shared" si="34"/>
        <v>61</v>
      </c>
      <c r="U122" s="29">
        <f t="shared" si="35"/>
        <v>0</v>
      </c>
      <c r="V122" s="29">
        <f t="shared" si="35"/>
        <v>0</v>
      </c>
      <c r="W122" s="29">
        <f t="shared" si="35"/>
        <v>0</v>
      </c>
      <c r="X122" s="29">
        <f t="shared" si="35"/>
        <v>0</v>
      </c>
      <c r="Y122" s="29"/>
      <c r="AA122" s="27" t="s">
        <v>290</v>
      </c>
      <c r="AB122" s="5">
        <f>AB119</f>
        <v>9</v>
      </c>
      <c r="AC122" s="5">
        <f>AC119</f>
        <v>4</v>
      </c>
      <c r="AD122" s="5">
        <f>AD119</f>
        <v>5</v>
      </c>
      <c r="AE122" s="5">
        <f>AE119</f>
        <v>2</v>
      </c>
      <c r="AF122" s="390"/>
      <c r="AG122" s="390"/>
      <c r="AO122" s="119"/>
    </row>
    <row r="123" spans="2:42" ht="13" thickBot="1">
      <c r="T123" s="126">
        <f t="shared" ref="T123:T161" si="36">T122+1</f>
        <v>62</v>
      </c>
      <c r="U123" s="29">
        <f t="shared" si="35"/>
        <v>0</v>
      </c>
      <c r="V123" s="29">
        <f t="shared" si="35"/>
        <v>0</v>
      </c>
      <c r="W123" s="29">
        <f t="shared" si="35"/>
        <v>0</v>
      </c>
      <c r="X123" s="29">
        <f t="shared" si="35"/>
        <v>0</v>
      </c>
      <c r="Y123" s="29"/>
      <c r="AA123" s="27" t="s">
        <v>291</v>
      </c>
      <c r="AB123" s="5">
        <f>AB120+AB121+AB122</f>
        <v>51</v>
      </c>
      <c r="AC123" s="5">
        <f>AC120+AC121+AC122</f>
        <v>25</v>
      </c>
      <c r="AD123" s="5">
        <f>AD120+AD121+AD122</f>
        <v>24</v>
      </c>
      <c r="AE123" s="5">
        <f>AE120+AE121+AE122</f>
        <v>12</v>
      </c>
      <c r="AF123" s="468"/>
      <c r="AG123" s="390"/>
      <c r="AO123" s="119"/>
    </row>
    <row r="124" spans="2:42" ht="13">
      <c r="T124" s="126">
        <f t="shared" si="36"/>
        <v>63</v>
      </c>
      <c r="U124" s="29">
        <f t="shared" si="35"/>
        <v>0</v>
      </c>
      <c r="V124" s="29">
        <f t="shared" si="35"/>
        <v>0</v>
      </c>
      <c r="W124" s="29">
        <f t="shared" si="35"/>
        <v>0</v>
      </c>
      <c r="X124" s="29">
        <f t="shared" si="35"/>
        <v>0</v>
      </c>
      <c r="Y124" s="29"/>
      <c r="AA124" s="492" t="s">
        <v>304</v>
      </c>
      <c r="AB124" s="485" t="s">
        <v>161</v>
      </c>
      <c r="AC124" s="485" t="s">
        <v>162</v>
      </c>
      <c r="AD124" s="486" t="s">
        <v>87</v>
      </c>
      <c r="AE124" s="487" t="s">
        <v>88</v>
      </c>
      <c r="AF124" s="468"/>
      <c r="AG124" s="390"/>
      <c r="AO124" s="119"/>
    </row>
    <row r="125" spans="2:42" ht="13">
      <c r="T125" s="126">
        <f t="shared" si="36"/>
        <v>64</v>
      </c>
      <c r="U125" s="29">
        <f t="shared" si="35"/>
        <v>0</v>
      </c>
      <c r="V125" s="29">
        <f t="shared" si="35"/>
        <v>0</v>
      </c>
      <c r="W125" s="29">
        <f t="shared" si="35"/>
        <v>0</v>
      </c>
      <c r="X125" s="29">
        <f t="shared" si="35"/>
        <v>0</v>
      </c>
      <c r="Y125" s="29"/>
      <c r="Z125" s="5">
        <v>1</v>
      </c>
      <c r="AA125" s="488" t="s">
        <v>456</v>
      </c>
      <c r="AB125" s="489">
        <f>MAX(0,IF(TODAY&lt;=_SD1+AK$84,0,INT((_PPE1-_SD1)/7+1)))</f>
        <v>0</v>
      </c>
      <c r="AC125" s="489">
        <f>MAX(0,IF(TODAY&lt;=_SD1+AK85,0,INT((_PPE1-_SD1)/14+1)))</f>
        <v>0</v>
      </c>
      <c r="AD125" s="489">
        <f>MAX(0,IF(TODAY&lt;=_SD1+AK$86,0,INT((_PPE1-_SD1)/(365/24)+1)))</f>
        <v>0</v>
      </c>
      <c r="AE125" s="490">
        <f>MAX(0,IF(TODAY&lt;=_SD1+AK87,0,INT((_PPE1-_SD1)/(365/12)+1)))</f>
        <v>0</v>
      </c>
      <c r="AF125" s="468"/>
      <c r="AG125" s="390"/>
      <c r="AO125" s="119"/>
    </row>
    <row r="126" spans="2:42" ht="13">
      <c r="T126" s="126">
        <f t="shared" si="36"/>
        <v>65</v>
      </c>
      <c r="U126" s="29">
        <f t="shared" si="35"/>
        <v>0</v>
      </c>
      <c r="V126" s="29">
        <f t="shared" si="35"/>
        <v>0</v>
      </c>
      <c r="W126" s="29">
        <f t="shared" si="35"/>
        <v>0</v>
      </c>
      <c r="X126" s="29">
        <f t="shared" si="35"/>
        <v>0</v>
      </c>
      <c r="Y126" s="29"/>
      <c r="Z126" s="5">
        <v>2</v>
      </c>
      <c r="AA126" s="488" t="s">
        <v>459</v>
      </c>
      <c r="AB126" s="489">
        <f>MAX(0,IF(TODAY&lt;=_SD2+AK$84,0,INT((_PPE2-_SD2)/7+1)))</f>
        <v>0</v>
      </c>
      <c r="AC126" s="489">
        <f>MAX(0,IF(TODAY&lt;=_SD2+AK85,0,INT((_PPE2-_SD2)/14+1)))</f>
        <v>0</v>
      </c>
      <c r="AD126" s="489">
        <f>MAX(0,IF(TODAY&lt;=_SD2+AK86,0,INT((_PPE2-_SD2)/(365/24)+1)))</f>
        <v>0</v>
      </c>
      <c r="AE126" s="490">
        <f>MAX(0,IF(TODAY&lt;=_SD2+AK87,0,INT((_PPE2-_SD2)/(365/12)+1)))</f>
        <v>0</v>
      </c>
      <c r="AF126" s="468"/>
      <c r="AG126" s="390"/>
      <c r="AO126" s="119"/>
    </row>
    <row r="127" spans="2:42" ht="13">
      <c r="T127" s="126">
        <f t="shared" si="36"/>
        <v>66</v>
      </c>
      <c r="U127" s="29">
        <f t="shared" si="35"/>
        <v>0</v>
      </c>
      <c r="V127" s="29">
        <f t="shared" si="35"/>
        <v>0</v>
      </c>
      <c r="W127" s="29">
        <f t="shared" si="35"/>
        <v>0</v>
      </c>
      <c r="X127" s="29">
        <f t="shared" si="35"/>
        <v>0</v>
      </c>
      <c r="Y127" s="29"/>
      <c r="Z127" s="5">
        <v>3</v>
      </c>
      <c r="AA127" s="488" t="s">
        <v>460</v>
      </c>
      <c r="AB127" s="489">
        <f>MAX(0,IF(TODAY&lt;=_SD3+AK$84,0,INT((_PPE3-_SD3)/7+1)))</f>
        <v>1</v>
      </c>
      <c r="AC127" s="489">
        <f>MAX(0,IF(TODAY&lt;=_SD3+AK85,0,INT((_PPE3-_SD3)/14+1)))</f>
        <v>1</v>
      </c>
      <c r="AD127" s="489">
        <f>MAX(0,IF(TODAY&lt;=_SD3+AK86,0,INT((_PPE3-_SD3)/(365/24)+1)))</f>
        <v>1</v>
      </c>
      <c r="AE127" s="490">
        <f>MAX(0,IF(TODAY&lt;=_SD3+AK87,0,INT((_PPE3-_SD3)/(365/12)+1)))</f>
        <v>1</v>
      </c>
      <c r="AF127" s="468"/>
      <c r="AG127" s="390"/>
      <c r="AO127" s="119"/>
    </row>
    <row r="128" spans="2:42" ht="13.5" thickBot="1">
      <c r="T128" s="126">
        <f t="shared" si="36"/>
        <v>67</v>
      </c>
      <c r="U128" s="29">
        <f t="shared" si="35"/>
        <v>0</v>
      </c>
      <c r="V128" s="29">
        <f t="shared" si="35"/>
        <v>0</v>
      </c>
      <c r="W128" s="29">
        <f t="shared" si="35"/>
        <v>0</v>
      </c>
      <c r="X128" s="29">
        <f t="shared" si="35"/>
        <v>0</v>
      </c>
      <c r="Y128" s="29"/>
      <c r="Z128" s="120">
        <v>4</v>
      </c>
      <c r="AA128" s="491" t="s">
        <v>461</v>
      </c>
      <c r="AB128" s="489">
        <f>MAX(0,IF(TODAY&lt;=_SD4+AK$84,0,INT((_PPE4-_SD4)/7+1)))</f>
        <v>1</v>
      </c>
      <c r="AC128" s="489">
        <f>MAX(0,IF(TODAY&lt;=_SD4+AK86,0,INT((_PPE4-_SD4)/14+1)))</f>
        <v>1</v>
      </c>
      <c r="AD128" s="489">
        <f>MAX(0,IF(TODAY&lt;=_SD4+AK87,0,INT((_PPE4-_SD4)/(365/24)+1)))</f>
        <v>1</v>
      </c>
      <c r="AE128" s="490">
        <f>MAX(0,IF(TODAY&lt;=_SD4+AL87,0,INT((_PPE4-_SD4)/(365/12)+1)))</f>
        <v>1</v>
      </c>
      <c r="AF128" s="468"/>
      <c r="AG128" s="468"/>
      <c r="AO128" s="119"/>
    </row>
    <row r="129" spans="20:133" ht="13">
      <c r="T129" s="126">
        <f t="shared" si="36"/>
        <v>68</v>
      </c>
      <c r="U129" s="29">
        <f t="shared" si="35"/>
        <v>0</v>
      </c>
      <c r="V129" s="29">
        <f t="shared" si="35"/>
        <v>0</v>
      </c>
      <c r="W129" s="29">
        <f t="shared" si="35"/>
        <v>0</v>
      </c>
      <c r="X129" s="29">
        <f t="shared" si="35"/>
        <v>0</v>
      </c>
      <c r="Y129" s="29"/>
      <c r="AA129" s="497" t="s">
        <v>301</v>
      </c>
      <c r="AB129" s="498" t="s">
        <v>161</v>
      </c>
      <c r="AC129" s="498" t="s">
        <v>162</v>
      </c>
      <c r="AD129" s="499" t="s">
        <v>87</v>
      </c>
      <c r="AE129" s="500" t="s">
        <v>88</v>
      </c>
      <c r="AF129" s="468"/>
      <c r="AG129" s="468"/>
      <c r="AH129" s="468"/>
      <c r="AO129" s="119"/>
    </row>
    <row r="130" spans="20:133" ht="13">
      <c r="T130" s="126">
        <f t="shared" si="36"/>
        <v>69</v>
      </c>
      <c r="U130" s="29">
        <f t="shared" si="35"/>
        <v>0</v>
      </c>
      <c r="V130" s="29">
        <f t="shared" si="35"/>
        <v>0</v>
      </c>
      <c r="W130" s="29">
        <f t="shared" si="35"/>
        <v>0</v>
      </c>
      <c r="X130" s="29">
        <f t="shared" si="35"/>
        <v>0</v>
      </c>
      <c r="Y130" s="29"/>
      <c r="Z130" s="5">
        <v>1</v>
      </c>
      <c r="AA130" s="505" t="s">
        <v>456</v>
      </c>
      <c r="AB130" s="506">
        <f>IF(TODAY&lt;=(_SD1+AK$84),0,2)</f>
        <v>2</v>
      </c>
      <c r="AC130" s="506">
        <f>IF(TODAY&lt;=(_SD1+AL$85),0,1)</f>
        <v>1</v>
      </c>
      <c r="AD130" s="506">
        <f>IF(TODAY&lt;=(_SD1+AM$86),0,1)</f>
        <v>1</v>
      </c>
      <c r="AE130" s="507">
        <f>IF(TODAY&lt;=(_SD1+AK$87),0,IF(TODAY-_PPE1&gt;15,1,0))</f>
        <v>1</v>
      </c>
      <c r="AF130" s="468"/>
      <c r="AG130" s="468"/>
      <c r="AH130" s="468"/>
      <c r="AO130" s="119"/>
    </row>
    <row r="131" spans="20:133" ht="13">
      <c r="T131" s="126">
        <f t="shared" si="36"/>
        <v>70</v>
      </c>
      <c r="U131" s="29">
        <f t="shared" si="35"/>
        <v>0</v>
      </c>
      <c r="V131" s="29">
        <f t="shared" si="35"/>
        <v>0</v>
      </c>
      <c r="W131" s="29">
        <f t="shared" si="35"/>
        <v>0</v>
      </c>
      <c r="X131" s="29">
        <f t="shared" si="35"/>
        <v>0</v>
      </c>
      <c r="Y131" s="29"/>
      <c r="Z131" s="5">
        <v>2</v>
      </c>
      <c r="AA131" s="505" t="s">
        <v>459</v>
      </c>
      <c r="AB131" s="508">
        <f>IF(TODAY&lt;=(_SD2+AK$84),0,2)</f>
        <v>2</v>
      </c>
      <c r="AC131" s="508">
        <f>IF(TODAY&lt;=(_SD2+AL$85),0,1)</f>
        <v>1</v>
      </c>
      <c r="AD131" s="508">
        <f>IF(TODAY&lt;=(_SD2+AM$86),0,1)</f>
        <v>1</v>
      </c>
      <c r="AE131" s="509">
        <f>IF(TODAY&lt;=(_SD2+AK$87),0,IF(TODAY-_PPE2&gt;15,1,0))</f>
        <v>1</v>
      </c>
      <c r="AF131" s="468"/>
      <c r="AG131" s="468"/>
      <c r="AH131" s="468"/>
      <c r="AI131" s="468"/>
      <c r="AJ131" s="5" t="s">
        <v>445</v>
      </c>
      <c r="AO131" s="119"/>
    </row>
    <row r="132" spans="20:133" ht="13">
      <c r="T132" s="126">
        <f t="shared" si="36"/>
        <v>71</v>
      </c>
      <c r="U132" s="29">
        <f t="shared" si="35"/>
        <v>0</v>
      </c>
      <c r="V132" s="29">
        <f t="shared" si="35"/>
        <v>0</v>
      </c>
      <c r="W132" s="29">
        <f t="shared" si="35"/>
        <v>0</v>
      </c>
      <c r="X132" s="29">
        <f t="shared" si="35"/>
        <v>0</v>
      </c>
      <c r="Y132" s="29"/>
      <c r="Z132" s="5">
        <v>3</v>
      </c>
      <c r="AA132" s="505" t="s">
        <v>460</v>
      </c>
      <c r="AB132" s="508">
        <f>IF(TODAY&lt;=(_SD3+AK$84),0,2)</f>
        <v>2</v>
      </c>
      <c r="AC132" s="508">
        <f>IF(TODAY&lt;=(_SD3+AL$85),0,1)</f>
        <v>1</v>
      </c>
      <c r="AD132" s="508">
        <f>IF(TODAY&lt;=(_SD3+AM$86),0,1)</f>
        <v>1</v>
      </c>
      <c r="AE132" s="509">
        <f>IF(TODAY&lt;=(_SD3+AK$87),0,IF(TODAY-_PPE3&gt;15,1,0))</f>
        <v>1</v>
      </c>
      <c r="AF132" s="468"/>
      <c r="AG132" s="468"/>
      <c r="AH132" s="468"/>
      <c r="AI132" s="468"/>
      <c r="AO132" s="119"/>
    </row>
    <row r="133" spans="20:133" ht="13.5" thickBot="1">
      <c r="T133" s="126">
        <f t="shared" si="36"/>
        <v>72</v>
      </c>
      <c r="U133" s="29">
        <f t="shared" si="35"/>
        <v>0</v>
      </c>
      <c r="V133" s="29">
        <f t="shared" si="35"/>
        <v>0</v>
      </c>
      <c r="W133" s="29">
        <f t="shared" si="35"/>
        <v>0</v>
      </c>
      <c r="X133" s="29">
        <f t="shared" si="35"/>
        <v>0</v>
      </c>
      <c r="Y133" s="29"/>
      <c r="Z133" s="5">
        <v>4</v>
      </c>
      <c r="AA133" s="501" t="s">
        <v>461</v>
      </c>
      <c r="AB133" s="502">
        <f>IF(TODAY&lt;=(_SD4+AK$84),0,2)</f>
        <v>2</v>
      </c>
      <c r="AC133" s="502">
        <f>IF(TODAY&lt;=(_SD4+AL$85),0,1)</f>
        <v>1</v>
      </c>
      <c r="AD133" s="502">
        <f>IF(TODAY&lt;=(_SD4+AM$86),0,1)</f>
        <v>1</v>
      </c>
      <c r="AE133" s="503">
        <f>IF(TODAY&lt;=(_SD4+AK$87),0,IF(TODAY-_PPE4&gt;15,1,0))</f>
        <v>1</v>
      </c>
      <c r="AF133" s="468"/>
      <c r="AG133" s="468"/>
      <c r="AH133" s="468"/>
      <c r="AI133" s="468"/>
      <c r="AJ133" s="5" t="s">
        <v>444</v>
      </c>
      <c r="AO133" s="119"/>
    </row>
    <row r="134" spans="20:133" ht="13">
      <c r="T134" s="126">
        <f t="shared" si="36"/>
        <v>73</v>
      </c>
      <c r="U134" s="29">
        <f t="shared" si="35"/>
        <v>0</v>
      </c>
      <c r="V134" s="29">
        <f t="shared" si="35"/>
        <v>0</v>
      </c>
      <c r="W134" s="29">
        <f t="shared" si="35"/>
        <v>0</v>
      </c>
      <c r="X134" s="29">
        <f t="shared" si="35"/>
        <v>0</v>
      </c>
      <c r="Y134" s="29"/>
      <c r="AA134" s="493"/>
      <c r="AB134" s="494" t="s">
        <v>304</v>
      </c>
      <c r="AC134" s="494" t="s">
        <v>301</v>
      </c>
      <c r="AD134" s="494" t="s">
        <v>299</v>
      </c>
      <c r="AE134" s="495" t="s">
        <v>303</v>
      </c>
      <c r="AF134" s="468"/>
      <c r="AG134" s="468"/>
      <c r="AH134" s="468"/>
      <c r="AI134" s="468"/>
      <c r="AJ134" s="5" t="s">
        <v>443</v>
      </c>
      <c r="AO134" s="119"/>
    </row>
    <row r="135" spans="20:133" ht="13">
      <c r="T135" s="126">
        <f t="shared" si="36"/>
        <v>74</v>
      </c>
      <c r="U135" s="29">
        <f t="shared" si="35"/>
        <v>0</v>
      </c>
      <c r="V135" s="29">
        <f t="shared" si="35"/>
        <v>0</v>
      </c>
      <c r="W135" s="29">
        <f t="shared" si="35"/>
        <v>0</v>
      </c>
      <c r="X135" s="29">
        <f t="shared" si="35"/>
        <v>0</v>
      </c>
      <c r="Y135" s="29"/>
      <c r="Z135" s="5">
        <v>1</v>
      </c>
      <c r="AA135" s="483" t="s">
        <v>456</v>
      </c>
      <c r="AB135" s="918">
        <f>VLOOKUP(Z135,$Z$125:$AE$128,AM87+2)</f>
        <v>0</v>
      </c>
      <c r="AC135" s="918">
        <f>VLOOKUP(Z135,$Z$130:$AE$133,AM87+2)</f>
        <v>1</v>
      </c>
      <c r="AD135" s="523">
        <f>IF(_SD1&lt;=TODAY,IF(_ED1=EOY,(EOY-_PPE1)/VLOOKUP(AM87,$AH$84:$AK$87,4)-AC135,(MIN(EOY,_ED1)-_PPE1)/VLOOKUP(AM87,$AH$84:$AK$87,4)-AC135),IF(_SD1&lt;EOY,(_ED1-_SD1+1)/VLOOKUP(AM87,$AH$84:$AK$87,4),INT((EOY-_SD1)/VLOOKUP(AM87,$AH$84:$AK$87,4))))</f>
        <v>3181.9285714285716</v>
      </c>
      <c r="AE135" s="521">
        <f>SUM(AB135:AD135)</f>
        <v>3182.9285714285716</v>
      </c>
      <c r="AF135" s="538">
        <f>SUM(AB135:AD135)</f>
        <v>3182.9285714285716</v>
      </c>
      <c r="AG135" s="468"/>
      <c r="AH135" s="468"/>
      <c r="AO135" s="119"/>
    </row>
    <row r="136" spans="20:133" ht="13">
      <c r="T136" s="126">
        <f t="shared" si="36"/>
        <v>75</v>
      </c>
      <c r="U136" s="29">
        <f t="shared" si="35"/>
        <v>0</v>
      </c>
      <c r="V136" s="29">
        <f t="shared" si="35"/>
        <v>0</v>
      </c>
      <c r="W136" s="29">
        <f t="shared" si="35"/>
        <v>0</v>
      </c>
      <c r="X136" s="29">
        <f t="shared" si="35"/>
        <v>0</v>
      </c>
      <c r="Y136" s="29"/>
      <c r="Z136" s="5">
        <v>2</v>
      </c>
      <c r="AA136" s="483" t="s">
        <v>459</v>
      </c>
      <c r="AB136" s="413">
        <f>VLOOKUP(Z136,$Z$125:$AE$128,AM88+2)</f>
        <v>0</v>
      </c>
      <c r="AC136" s="413">
        <f>VLOOKUP(Z136,$Z$130:$AE$133,AM88+2)</f>
        <v>1</v>
      </c>
      <c r="AD136" s="523">
        <f>IF(_SD2&lt;=TODAY,IF(_ED2=EOY,(EOY-_PPE2)/VLOOKUP(AM88,$AH$84:$AK$87,4)-AC136,(MIN(EOY,_ED2)-_PPE2)/VLOOKUP(AM88,$AH$84:$AK$87,4)-AC136),IF(_SD2&lt;EOY,(_ED2-_SD2+1)/VLOOKUP(AM88,$AH$84:$AK$87,4),INT((EOY-_SD2)/VLOOKUP(AM88,$AH$84:$AK$87,4))))</f>
        <v>1464.0191780821917</v>
      </c>
      <c r="AE136" s="521">
        <f>SUM(AB136:AD136)</f>
        <v>1465.0191780821917</v>
      </c>
      <c r="AF136" s="538">
        <f>SUM(AB136:AD136)</f>
        <v>1465.0191780821917</v>
      </c>
      <c r="AO136" s="119"/>
    </row>
    <row r="137" spans="20:133" ht="13">
      <c r="T137" s="126">
        <f t="shared" si="36"/>
        <v>76</v>
      </c>
      <c r="U137" s="29">
        <f t="shared" si="35"/>
        <v>0</v>
      </c>
      <c r="V137" s="29">
        <f t="shared" si="35"/>
        <v>0</v>
      </c>
      <c r="W137" s="29">
        <f t="shared" si="35"/>
        <v>0</v>
      </c>
      <c r="X137" s="29">
        <f t="shared" si="35"/>
        <v>0</v>
      </c>
      <c r="Y137" s="29"/>
      <c r="Z137" s="5">
        <v>3</v>
      </c>
      <c r="AA137" s="483" t="s">
        <v>460</v>
      </c>
      <c r="AB137" s="413">
        <f>VLOOKUP(Z137,$Z$125:$AE$128,AM89+2)</f>
        <v>1</v>
      </c>
      <c r="AC137" s="413">
        <f>VLOOKUP(Z137,$Z$130:$AE$133,AM89+2)</f>
        <v>2</v>
      </c>
      <c r="AD137" s="523">
        <f>IF(_SD3&lt;=TODAY,IF(_ED3=EOY,(EOY-_PPE3)/VLOOKUP(AM89,$AH$84:$AK$87,4)-AC137,(MIN(EOY,_ED3)-_PPE3)/VLOOKUP(AM89,$AH$84:$AK$87,4)-AC137),IF(_SD3&lt;EOY,(_ED3-_SD3+1)/VLOOKUP(AM89,$AH$84:$AK$87,4),INT((EOY-_SD3)/VLOOKUP(AM89,$AH$84:$AK$87,4))))</f>
        <v>-2</v>
      </c>
      <c r="AE137" s="521">
        <f>SUM(AB137:AD137)</f>
        <v>1</v>
      </c>
      <c r="AF137" s="538">
        <f>SUM(AB137:AD137)</f>
        <v>1</v>
      </c>
      <c r="AO137" s="119"/>
    </row>
    <row r="138" spans="20:133" ht="13.5" thickBot="1">
      <c r="T138" s="126">
        <f t="shared" si="36"/>
        <v>77</v>
      </c>
      <c r="U138" s="29">
        <f t="shared" si="35"/>
        <v>0</v>
      </c>
      <c r="V138" s="29">
        <f t="shared" si="35"/>
        <v>0</v>
      </c>
      <c r="W138" s="29">
        <f t="shared" si="35"/>
        <v>0</v>
      </c>
      <c r="X138" s="29">
        <f t="shared" si="35"/>
        <v>0</v>
      </c>
      <c r="Y138" s="29"/>
      <c r="Z138" s="5">
        <v>4</v>
      </c>
      <c r="AA138" s="484" t="s">
        <v>461</v>
      </c>
      <c r="AB138" s="496">
        <f>VLOOKUP(Z138,$Z$125:$AE$128,AM90+2)</f>
        <v>1</v>
      </c>
      <c r="AC138" s="496">
        <f>VLOOKUP(Z138,$Z$130:$AE$133,AM90+2)</f>
        <v>2</v>
      </c>
      <c r="AD138" s="524">
        <f>IF(_SD4&lt;=TODAY,IF(_ED4=EOY,(EOY-_PPE4)/VLOOKUP(AM90,$AH$84:$AK$87,4)-AC138,(MIN(EOY,_ED4)-_PPE4)/VLOOKUP(AM90,$AH$84:$AK$87,4)-AC138),IF(_SD4&lt;EOY,(_ED4-_SD4+1)/VLOOKUP(AM90,$AH$84:$AK$87,4),INT((EOY-_SD4)/VLOOKUP(AM90,$AH$84:$AK$87,4))))</f>
        <v>-2</v>
      </c>
      <c r="AE138" s="522">
        <f>SUM(AB138:AD138)</f>
        <v>1</v>
      </c>
      <c r="AF138" s="538">
        <f>SUM(AB138:AD138)</f>
        <v>1</v>
      </c>
      <c r="AO138" s="119"/>
    </row>
    <row r="139" spans="20:133" ht="15.5">
      <c r="T139" s="126">
        <f t="shared" si="36"/>
        <v>78</v>
      </c>
      <c r="U139" s="29">
        <f t="shared" si="35"/>
        <v>0</v>
      </c>
      <c r="V139" s="29">
        <f t="shared" si="35"/>
        <v>0</v>
      </c>
      <c r="W139" s="29">
        <f t="shared" si="35"/>
        <v>0</v>
      </c>
      <c r="X139" s="29">
        <f t="shared" si="35"/>
        <v>0</v>
      </c>
      <c r="Y139" s="29"/>
      <c r="AA139" s="623" t="s">
        <v>462</v>
      </c>
      <c r="AB139" s="624">
        <f>'S.S. Benefits Approx'!F31</f>
        <v>9</v>
      </c>
      <c r="AC139" s="624">
        <f>IF($AH$74&lt;=VLOOKUP('S.S. Benefits Approx'!H45,'S.S. Benefits Approx'!G46:H57,2),0,IF($AH$74-'S.S. Benefits Approx'!G31&gt;15,1,0))</f>
        <v>0</v>
      </c>
      <c r="AD139" s="625">
        <f>AE139-AB139-AC139</f>
        <v>3</v>
      </c>
      <c r="AE139" s="626">
        <f>VLOOKUP('S.S. Benefits Approx'!H45,'S.S. Benefits Approx'!H46:I57,2)</f>
        <v>12</v>
      </c>
      <c r="AF139" s="251"/>
      <c r="AG139" s="5">
        <f>IF(OR(AF138=1,AF138=2),2,IF(AG140=$AD$142,1,0))</f>
        <v>2</v>
      </c>
      <c r="AH139" s="5">
        <f t="shared" ref="AH139:BL139" si="37">IF(OR(AG139=1,AG139=2),2,IF(AH140=$AD$142,1,0))</f>
        <v>2</v>
      </c>
      <c r="AI139" s="5">
        <f t="shared" si="37"/>
        <v>2</v>
      </c>
      <c r="AJ139" s="5">
        <f t="shared" si="37"/>
        <v>2</v>
      </c>
      <c r="AK139" s="5">
        <f t="shared" si="37"/>
        <v>2</v>
      </c>
      <c r="AL139" s="5">
        <f t="shared" si="37"/>
        <v>2</v>
      </c>
      <c r="AM139" s="5">
        <f t="shared" si="37"/>
        <v>2</v>
      </c>
      <c r="AN139" s="5">
        <f t="shared" si="37"/>
        <v>2</v>
      </c>
      <c r="AO139" s="5">
        <f t="shared" si="37"/>
        <v>2</v>
      </c>
      <c r="AP139" s="5">
        <f t="shared" si="37"/>
        <v>2</v>
      </c>
      <c r="AQ139" s="5">
        <f t="shared" si="37"/>
        <v>2</v>
      </c>
      <c r="AR139" s="5">
        <f t="shared" si="37"/>
        <v>2</v>
      </c>
      <c r="AS139" s="5">
        <f t="shared" si="37"/>
        <v>2</v>
      </c>
      <c r="AT139" s="5">
        <f t="shared" si="37"/>
        <v>2</v>
      </c>
      <c r="AU139" s="5">
        <f t="shared" si="37"/>
        <v>2</v>
      </c>
      <c r="AV139" s="5">
        <f t="shared" si="37"/>
        <v>2</v>
      </c>
      <c r="AW139" s="5">
        <f t="shared" si="37"/>
        <v>2</v>
      </c>
      <c r="AX139" s="5">
        <f t="shared" si="37"/>
        <v>2</v>
      </c>
      <c r="AY139" s="5">
        <f t="shared" si="37"/>
        <v>2</v>
      </c>
      <c r="AZ139" s="5">
        <f t="shared" si="37"/>
        <v>2</v>
      </c>
      <c r="BA139" s="5">
        <f t="shared" si="37"/>
        <v>2</v>
      </c>
      <c r="BB139" s="5">
        <f t="shared" si="37"/>
        <v>2</v>
      </c>
      <c r="BC139" s="5">
        <f t="shared" si="37"/>
        <v>2</v>
      </c>
      <c r="BD139" s="5">
        <f t="shared" si="37"/>
        <v>2</v>
      </c>
      <c r="BE139" s="5">
        <f t="shared" si="37"/>
        <v>2</v>
      </c>
      <c r="BF139" s="5">
        <f t="shared" si="37"/>
        <v>2</v>
      </c>
      <c r="BG139" s="5">
        <f t="shared" si="37"/>
        <v>2</v>
      </c>
      <c r="BH139" s="5">
        <f t="shared" si="37"/>
        <v>2</v>
      </c>
      <c r="BI139" s="5">
        <f t="shared" si="37"/>
        <v>2</v>
      </c>
      <c r="BJ139" s="5">
        <f t="shared" si="37"/>
        <v>2</v>
      </c>
      <c r="BK139" s="5">
        <f t="shared" si="37"/>
        <v>2</v>
      </c>
      <c r="BL139" s="5">
        <f t="shared" si="37"/>
        <v>2</v>
      </c>
      <c r="BM139" s="5">
        <f t="shared" ref="BM139:CR139" si="38">IF(OR(BL139=1,BL139=2),2,IF(BM140=$AD$142,1,0))</f>
        <v>2</v>
      </c>
      <c r="BN139" s="5">
        <f t="shared" si="38"/>
        <v>2</v>
      </c>
      <c r="BO139" s="5">
        <f t="shared" si="38"/>
        <v>2</v>
      </c>
      <c r="BP139" s="5">
        <f t="shared" si="38"/>
        <v>2</v>
      </c>
      <c r="BQ139" s="5">
        <f t="shared" si="38"/>
        <v>2</v>
      </c>
      <c r="BR139" s="5">
        <f t="shared" si="38"/>
        <v>2</v>
      </c>
      <c r="BS139" s="5">
        <f t="shared" si="38"/>
        <v>2</v>
      </c>
      <c r="BT139" s="5">
        <f t="shared" si="38"/>
        <v>2</v>
      </c>
      <c r="BU139" s="5">
        <f t="shared" si="38"/>
        <v>2</v>
      </c>
      <c r="BV139" s="5">
        <f t="shared" si="38"/>
        <v>2</v>
      </c>
      <c r="BW139" s="5">
        <f t="shared" si="38"/>
        <v>2</v>
      </c>
      <c r="BX139" s="5">
        <f t="shared" si="38"/>
        <v>2</v>
      </c>
      <c r="BY139" s="5">
        <f t="shared" si="38"/>
        <v>2</v>
      </c>
      <c r="BZ139" s="5">
        <f t="shared" si="38"/>
        <v>2</v>
      </c>
      <c r="CA139" s="5">
        <f t="shared" si="38"/>
        <v>2</v>
      </c>
      <c r="CB139" s="5">
        <f t="shared" si="38"/>
        <v>2</v>
      </c>
      <c r="CC139" s="5">
        <f t="shared" si="38"/>
        <v>2</v>
      </c>
      <c r="CD139" s="5">
        <f t="shared" si="38"/>
        <v>2</v>
      </c>
      <c r="CE139" s="5">
        <f t="shared" si="38"/>
        <v>2</v>
      </c>
      <c r="CF139" s="5">
        <f t="shared" si="38"/>
        <v>2</v>
      </c>
      <c r="CG139" s="5">
        <f t="shared" si="38"/>
        <v>2</v>
      </c>
      <c r="CH139" s="5">
        <f t="shared" si="38"/>
        <v>2</v>
      </c>
      <c r="CI139" s="5">
        <f t="shared" si="38"/>
        <v>2</v>
      </c>
      <c r="CJ139" s="5">
        <f t="shared" si="38"/>
        <v>2</v>
      </c>
      <c r="CK139" s="5">
        <f t="shared" si="38"/>
        <v>2</v>
      </c>
      <c r="CL139" s="5">
        <f t="shared" si="38"/>
        <v>2</v>
      </c>
      <c r="CM139" s="5">
        <f t="shared" si="38"/>
        <v>2</v>
      </c>
      <c r="CN139" s="5">
        <f t="shared" si="38"/>
        <v>2</v>
      </c>
      <c r="CO139" s="5">
        <f t="shared" si="38"/>
        <v>2</v>
      </c>
      <c r="CP139" s="5">
        <f t="shared" si="38"/>
        <v>2</v>
      </c>
      <c r="CQ139" s="5">
        <f t="shared" si="38"/>
        <v>2</v>
      </c>
      <c r="CR139" s="5">
        <f t="shared" si="38"/>
        <v>2</v>
      </c>
      <c r="CS139" s="5">
        <f t="shared" ref="CS139:DX139" si="39">IF(OR(CR139=1,CR139=2),2,IF(CS140=$AD$142,1,0))</f>
        <v>2</v>
      </c>
      <c r="CT139" s="5">
        <f t="shared" si="39"/>
        <v>2</v>
      </c>
      <c r="CU139" s="5">
        <f t="shared" si="39"/>
        <v>2</v>
      </c>
      <c r="CV139" s="5">
        <f t="shared" si="39"/>
        <v>2</v>
      </c>
      <c r="CW139" s="5">
        <f t="shared" si="39"/>
        <v>2</v>
      </c>
      <c r="CX139" s="5">
        <f t="shared" si="39"/>
        <v>2</v>
      </c>
      <c r="CY139" s="5">
        <f t="shared" si="39"/>
        <v>2</v>
      </c>
      <c r="CZ139" s="5">
        <f t="shared" si="39"/>
        <v>2</v>
      </c>
      <c r="DA139" s="5">
        <f t="shared" si="39"/>
        <v>2</v>
      </c>
      <c r="DB139" s="5">
        <f t="shared" si="39"/>
        <v>2</v>
      </c>
      <c r="DC139" s="5">
        <f t="shared" si="39"/>
        <v>2</v>
      </c>
      <c r="DD139" s="5">
        <f t="shared" si="39"/>
        <v>2</v>
      </c>
      <c r="DE139" s="5">
        <f t="shared" si="39"/>
        <v>2</v>
      </c>
      <c r="DF139" s="5">
        <f t="shared" si="39"/>
        <v>2</v>
      </c>
      <c r="DG139" s="5">
        <f t="shared" si="39"/>
        <v>2</v>
      </c>
      <c r="DH139" s="5">
        <f t="shared" si="39"/>
        <v>2</v>
      </c>
      <c r="DI139" s="5">
        <f t="shared" si="39"/>
        <v>2</v>
      </c>
      <c r="DJ139" s="5">
        <f t="shared" si="39"/>
        <v>2</v>
      </c>
      <c r="DK139" s="5">
        <f t="shared" si="39"/>
        <v>2</v>
      </c>
      <c r="DL139" s="5">
        <f t="shared" si="39"/>
        <v>2</v>
      </c>
      <c r="DM139" s="5">
        <f t="shared" si="39"/>
        <v>2</v>
      </c>
      <c r="DN139" s="5">
        <f t="shared" si="39"/>
        <v>2</v>
      </c>
      <c r="DO139" s="5">
        <f t="shared" si="39"/>
        <v>2</v>
      </c>
      <c r="DP139" s="5">
        <f t="shared" si="39"/>
        <v>2</v>
      </c>
      <c r="DQ139" s="5">
        <f t="shared" si="39"/>
        <v>2</v>
      </c>
      <c r="DR139" s="5">
        <f t="shared" si="39"/>
        <v>2</v>
      </c>
      <c r="DS139" s="5">
        <f t="shared" si="39"/>
        <v>2</v>
      </c>
      <c r="DT139" s="5">
        <f t="shared" si="39"/>
        <v>2</v>
      </c>
      <c r="DU139" s="5">
        <f t="shared" si="39"/>
        <v>2</v>
      </c>
      <c r="DV139" s="5">
        <f t="shared" si="39"/>
        <v>2</v>
      </c>
      <c r="DW139" s="5">
        <f t="shared" si="39"/>
        <v>2</v>
      </c>
      <c r="DX139" s="5">
        <f t="shared" si="39"/>
        <v>2</v>
      </c>
      <c r="DY139" s="5">
        <f>IF(OR(DX139=1,DX139=2),2,IF(DY140=$AD$142,1,0))</f>
        <v>2</v>
      </c>
      <c r="DZ139" s="5">
        <f>IF(OR(DY139=1,DY139=2),2,IF(DZ140=$AD$142,1,0))</f>
        <v>2</v>
      </c>
      <c r="EA139" s="5">
        <f>IF(OR(DZ139=1,DZ139=2),2,IF(EA140=$AD$142,1,0))</f>
        <v>2</v>
      </c>
      <c r="EB139" s="5">
        <f>IF(OR(EA139=1,EA139=2),2,IF(EB140=$AD$142,1,0))</f>
        <v>2</v>
      </c>
      <c r="EC139" s="5">
        <f>IF(OR(EB139=1,EB139=2),2,IF(EC140=$AD$142,1,0))</f>
        <v>2</v>
      </c>
    </row>
    <row r="140" spans="20:133" ht="15.5">
      <c r="T140" s="126">
        <f t="shared" si="36"/>
        <v>79</v>
      </c>
      <c r="U140" s="29">
        <f t="shared" si="35"/>
        <v>0</v>
      </c>
      <c r="V140" s="29">
        <f t="shared" si="35"/>
        <v>0</v>
      </c>
      <c r="W140" s="29">
        <f t="shared" si="35"/>
        <v>0</v>
      </c>
      <c r="X140" s="29">
        <f t="shared" si="35"/>
        <v>0</v>
      </c>
      <c r="Y140" s="29"/>
      <c r="AA140" s="627" t="s">
        <v>463</v>
      </c>
      <c r="AB140" s="628">
        <f>'S.S. Benefits Approx'!F39</f>
        <v>9</v>
      </c>
      <c r="AC140" s="628">
        <f>IF($AH$74&lt;=VLOOKUP('S.S. Benefits Approx'!H44,'S.S. Benefits Approx'!G46:H57,2),0,IF($AH$74-'S.S. Benefits Approx'!G39&gt;15,1,0))</f>
        <v>0</v>
      </c>
      <c r="AD140" s="629">
        <f>AE140-AB140-AC140</f>
        <v>3</v>
      </c>
      <c r="AE140" s="630">
        <f>VLOOKUP('S.S. Benefits Approx'!H44,'S.S. Benefits Approx'!H46:I57,2)</f>
        <v>12</v>
      </c>
      <c r="AF140" s="99">
        <f>IF(AF141=4,3,4)</f>
        <v>4</v>
      </c>
      <c r="AG140" s="642">
        <f t="shared" ref="AG140:BL140" si="40">VLOOKUP(1,$AB$141:$EC$241,AG$142+6)</f>
        <v>502507.85275784612</v>
      </c>
      <c r="AH140" s="642">
        <f t="shared" si="40"/>
        <v>439555.85275784612</v>
      </c>
      <c r="AI140" s="642">
        <f t="shared" si="40"/>
        <v>376603.85275784612</v>
      </c>
      <c r="AJ140" s="642">
        <f t="shared" si="40"/>
        <v>313651.85275784612</v>
      </c>
      <c r="AK140" s="642">
        <f t="shared" si="40"/>
        <v>250699.85275784612</v>
      </c>
      <c r="AL140" s="642">
        <f t="shared" si="40"/>
        <v>187747.85275784615</v>
      </c>
      <c r="AM140" s="642">
        <f t="shared" si="40"/>
        <v>125832.85275784615</v>
      </c>
      <c r="AN140" s="642">
        <f t="shared" si="40"/>
        <v>73372.852757846151</v>
      </c>
      <c r="AO140" s="642">
        <f t="shared" si="40"/>
        <v>20912.852757846158</v>
      </c>
      <c r="AP140" s="642">
        <f t="shared" si="40"/>
        <v>5662.8527578461544</v>
      </c>
      <c r="AQ140" s="642">
        <f t="shared" si="40"/>
        <v>5662.8527578461544</v>
      </c>
      <c r="AR140" s="642">
        <f t="shared" si="40"/>
        <v>5662.8527578461544</v>
      </c>
      <c r="AS140" s="642">
        <f t="shared" si="40"/>
        <v>5662.8527578461544</v>
      </c>
      <c r="AT140" s="642">
        <f t="shared" si="40"/>
        <v>5662.8527578461544</v>
      </c>
      <c r="AU140" s="642">
        <f t="shared" si="40"/>
        <v>5662.8527578461544</v>
      </c>
      <c r="AV140" s="642">
        <f t="shared" si="40"/>
        <v>5662.8527578461544</v>
      </c>
      <c r="AW140" s="642">
        <f t="shared" si="40"/>
        <v>5662.8527578461544</v>
      </c>
      <c r="AX140" s="642">
        <f t="shared" si="40"/>
        <v>5662.8527578461544</v>
      </c>
      <c r="AY140" s="642">
        <f t="shared" si="40"/>
        <v>5662.8527578461544</v>
      </c>
      <c r="AZ140" s="642">
        <f t="shared" si="40"/>
        <v>5662.8527578461544</v>
      </c>
      <c r="BA140" s="642">
        <f t="shared" si="40"/>
        <v>5662.8527578461544</v>
      </c>
      <c r="BB140" s="642">
        <f t="shared" si="40"/>
        <v>5662.8527578461544</v>
      </c>
      <c r="BC140" s="642">
        <f t="shared" si="40"/>
        <v>5662.8527578461544</v>
      </c>
      <c r="BD140" s="642">
        <f t="shared" si="40"/>
        <v>5662.8527578461544</v>
      </c>
      <c r="BE140" s="642">
        <f t="shared" si="40"/>
        <v>5662.8527578461544</v>
      </c>
      <c r="BF140" s="642">
        <f t="shared" si="40"/>
        <v>5662.8527578461544</v>
      </c>
      <c r="BG140" s="642">
        <f t="shared" si="40"/>
        <v>5662.8527578461544</v>
      </c>
      <c r="BH140" s="642">
        <f t="shared" si="40"/>
        <v>5662.8527578461544</v>
      </c>
      <c r="BI140" s="642">
        <f t="shared" si="40"/>
        <v>5662.8527578461544</v>
      </c>
      <c r="BJ140" s="642">
        <f t="shared" si="40"/>
        <v>5662.8527578461544</v>
      </c>
      <c r="BK140" s="642">
        <f t="shared" si="40"/>
        <v>5662.8527578461544</v>
      </c>
      <c r="BL140" s="642">
        <f t="shared" si="40"/>
        <v>5662.8527578461544</v>
      </c>
      <c r="BM140" s="642">
        <f t="shared" ref="BM140:CR140" si="41">VLOOKUP(1,$AB$141:$EC$241,BM$142+6)</f>
        <v>5662.8527578461544</v>
      </c>
      <c r="BN140" s="642">
        <f t="shared" si="41"/>
        <v>5662.8527578461544</v>
      </c>
      <c r="BO140" s="642">
        <f t="shared" si="41"/>
        <v>5662.8527578461544</v>
      </c>
      <c r="BP140" s="642">
        <f t="shared" si="41"/>
        <v>5662.8527578461544</v>
      </c>
      <c r="BQ140" s="642">
        <f t="shared" si="41"/>
        <v>5662.8527578461544</v>
      </c>
      <c r="BR140" s="642">
        <f t="shared" si="41"/>
        <v>5662.8527578461544</v>
      </c>
      <c r="BS140" s="642">
        <f t="shared" si="41"/>
        <v>5662.8527578461544</v>
      </c>
      <c r="BT140" s="642">
        <f t="shared" si="41"/>
        <v>5662.8527578461544</v>
      </c>
      <c r="BU140" s="642">
        <f t="shared" si="41"/>
        <v>5662.8527578461544</v>
      </c>
      <c r="BV140" s="642">
        <f t="shared" si="41"/>
        <v>5662.8527578461544</v>
      </c>
      <c r="BW140" s="642">
        <f t="shared" si="41"/>
        <v>5662.8527578461544</v>
      </c>
      <c r="BX140" s="642">
        <f t="shared" si="41"/>
        <v>5662.8527578461544</v>
      </c>
      <c r="BY140" s="642">
        <f t="shared" si="41"/>
        <v>5662.8527578461544</v>
      </c>
      <c r="BZ140" s="642">
        <f t="shared" si="41"/>
        <v>5662.8527578461544</v>
      </c>
      <c r="CA140" s="642">
        <f t="shared" si="41"/>
        <v>5662.8527578461544</v>
      </c>
      <c r="CB140" s="642">
        <f t="shared" si="41"/>
        <v>5662.8527578461544</v>
      </c>
      <c r="CC140" s="642">
        <f t="shared" si="41"/>
        <v>5662.8527578461544</v>
      </c>
      <c r="CD140" s="642">
        <f t="shared" si="41"/>
        <v>5662.8527578461544</v>
      </c>
      <c r="CE140" s="642">
        <f t="shared" si="41"/>
        <v>5662.8527578461544</v>
      </c>
      <c r="CF140" s="642">
        <f t="shared" si="41"/>
        <v>5662.8527578461544</v>
      </c>
      <c r="CG140" s="642">
        <f t="shared" si="41"/>
        <v>5662.8527578461544</v>
      </c>
      <c r="CH140" s="642">
        <f t="shared" si="41"/>
        <v>5662.8527578461544</v>
      </c>
      <c r="CI140" s="642">
        <f t="shared" si="41"/>
        <v>5662.8527578461544</v>
      </c>
      <c r="CJ140" s="642">
        <f t="shared" si="41"/>
        <v>5662.8527578461544</v>
      </c>
      <c r="CK140" s="642">
        <f t="shared" si="41"/>
        <v>5662.8527578461544</v>
      </c>
      <c r="CL140" s="642">
        <f t="shared" si="41"/>
        <v>5662.8527578461544</v>
      </c>
      <c r="CM140" s="642">
        <f t="shared" si="41"/>
        <v>5662.8527578461544</v>
      </c>
      <c r="CN140" s="642">
        <f t="shared" si="41"/>
        <v>5662.8527578461544</v>
      </c>
      <c r="CO140" s="642">
        <f t="shared" si="41"/>
        <v>5662.8527578461544</v>
      </c>
      <c r="CP140" s="642">
        <f t="shared" si="41"/>
        <v>5662.8527578461544</v>
      </c>
      <c r="CQ140" s="642">
        <f t="shared" si="41"/>
        <v>5662.8527578461544</v>
      </c>
      <c r="CR140" s="642">
        <f t="shared" si="41"/>
        <v>5662.8527578461544</v>
      </c>
      <c r="CS140" s="642">
        <f t="shared" ref="CS140:EC140" si="42">VLOOKUP(1,$AB$141:$EC$241,CS$142+6)</f>
        <v>5662.8527578461544</v>
      </c>
      <c r="CT140" s="642">
        <f t="shared" si="42"/>
        <v>5662.8527578461544</v>
      </c>
      <c r="CU140" s="642">
        <f t="shared" si="42"/>
        <v>5662.8527578461544</v>
      </c>
      <c r="CV140" s="642">
        <f t="shared" si="42"/>
        <v>5662.8527578461544</v>
      </c>
      <c r="CW140" s="642">
        <f t="shared" si="42"/>
        <v>5662.8527578461544</v>
      </c>
      <c r="CX140" s="642">
        <f t="shared" si="42"/>
        <v>5662.8527578461544</v>
      </c>
      <c r="CY140" s="642">
        <f t="shared" si="42"/>
        <v>5662.8527578461544</v>
      </c>
      <c r="CZ140" s="642">
        <f t="shared" si="42"/>
        <v>5662.8527578461544</v>
      </c>
      <c r="DA140" s="642">
        <f t="shared" si="42"/>
        <v>5662.8527578461544</v>
      </c>
      <c r="DB140" s="642">
        <f t="shared" si="42"/>
        <v>5662.8527578461544</v>
      </c>
      <c r="DC140" s="642">
        <f t="shared" si="42"/>
        <v>5662.8527578461544</v>
      </c>
      <c r="DD140" s="642">
        <f t="shared" si="42"/>
        <v>5662.8527578461544</v>
      </c>
      <c r="DE140" s="642">
        <f t="shared" si="42"/>
        <v>5662.8527578461544</v>
      </c>
      <c r="DF140" s="642">
        <f t="shared" si="42"/>
        <v>5662.8527578461544</v>
      </c>
      <c r="DG140" s="642">
        <f t="shared" si="42"/>
        <v>5662.8527578461544</v>
      </c>
      <c r="DH140" s="642">
        <f t="shared" si="42"/>
        <v>5662.8527578461544</v>
      </c>
      <c r="DI140" s="642">
        <f t="shared" si="42"/>
        <v>5662.8527578461544</v>
      </c>
      <c r="DJ140" s="642">
        <f t="shared" si="42"/>
        <v>5662.8527578461544</v>
      </c>
      <c r="DK140" s="642">
        <f t="shared" si="42"/>
        <v>5662.8527578461544</v>
      </c>
      <c r="DL140" s="642">
        <f t="shared" si="42"/>
        <v>5662.8527578461544</v>
      </c>
      <c r="DM140" s="642">
        <f t="shared" si="42"/>
        <v>5662.8527578461544</v>
      </c>
      <c r="DN140" s="642">
        <f t="shared" si="42"/>
        <v>5662.8527578461544</v>
      </c>
      <c r="DO140" s="642">
        <f t="shared" si="42"/>
        <v>5662.8527578461544</v>
      </c>
      <c r="DP140" s="642">
        <f t="shared" si="42"/>
        <v>5662.8527578461544</v>
      </c>
      <c r="DQ140" s="642">
        <f t="shared" si="42"/>
        <v>5662.8527578461544</v>
      </c>
      <c r="DR140" s="642">
        <f t="shared" si="42"/>
        <v>5662.8527578461544</v>
      </c>
      <c r="DS140" s="642">
        <f t="shared" si="42"/>
        <v>5662.8527578461544</v>
      </c>
      <c r="DT140" s="642">
        <f t="shared" si="42"/>
        <v>5662.8527578461544</v>
      </c>
      <c r="DU140" s="642">
        <f t="shared" si="42"/>
        <v>5662.8527578461544</v>
      </c>
      <c r="DV140" s="642">
        <f t="shared" si="42"/>
        <v>5662.8527578461544</v>
      </c>
      <c r="DW140" s="642">
        <f t="shared" si="42"/>
        <v>5662.8527578461544</v>
      </c>
      <c r="DX140" s="642">
        <f t="shared" si="42"/>
        <v>5662.8527578461544</v>
      </c>
      <c r="DY140" s="642">
        <f t="shared" si="42"/>
        <v>5662.8527578461544</v>
      </c>
      <c r="DZ140" s="642">
        <f t="shared" si="42"/>
        <v>5662.8527578461544</v>
      </c>
      <c r="EA140" s="642">
        <f t="shared" si="42"/>
        <v>5662.8527578461544</v>
      </c>
      <c r="EB140" s="642">
        <f t="shared" si="42"/>
        <v>5662.8527578461544</v>
      </c>
      <c r="EC140" s="642">
        <f t="shared" si="42"/>
        <v>5662.8527578461544</v>
      </c>
    </row>
    <row r="141" spans="20:133" ht="31">
      <c r="T141" s="126">
        <f t="shared" si="36"/>
        <v>80</v>
      </c>
      <c r="U141" s="29">
        <f t="shared" ref="U141:X161" si="43">(VLOOKUP(MAX(U$21-$T141*$H$2,0),$B$69:$D$76,2)+VLOOKUP(MAX(U$21-$T141*$H$2,0),$B$69:$D$76,3)*(MAX(U$21-$T141*$H$2,0)-VLOOKUP(MAX(U$21-$T141*$H$2,0),$B$69:$D$76,1)))*U$48</f>
        <v>0</v>
      </c>
      <c r="V141" s="29">
        <f t="shared" si="43"/>
        <v>0</v>
      </c>
      <c r="W141" s="29">
        <f t="shared" si="43"/>
        <v>0</v>
      </c>
      <c r="X141" s="29">
        <f t="shared" si="43"/>
        <v>0</v>
      </c>
      <c r="Y141" s="29"/>
      <c r="AC141" s="273" t="s">
        <v>160</v>
      </c>
      <c r="AD141" s="272"/>
      <c r="AE141" s="272"/>
      <c r="AF141" s="99">
        <f>IF('Input &amp; Results'!H26&lt;'Input &amp; Results'!H17,3,4)</f>
        <v>3</v>
      </c>
      <c r="AG141" s="1109" t="s">
        <v>156</v>
      </c>
      <c r="AH141" s="1109"/>
      <c r="AI141" s="1109"/>
      <c r="AJ141" s="1109"/>
      <c r="AK141" s="1109"/>
      <c r="AL141" s="1109"/>
      <c r="AM141" s="1109"/>
      <c r="AN141" s="1109"/>
      <c r="AO141" s="1109"/>
      <c r="AP141" s="1109"/>
      <c r="AQ141" s="1109"/>
      <c r="AR141" s="1109"/>
      <c r="AS141" s="1109"/>
      <c r="AT141" s="1109"/>
      <c r="AU141" s="1109"/>
      <c r="AV141" s="1109"/>
      <c r="AW141" s="1109"/>
      <c r="AX141" s="1109"/>
      <c r="AY141" s="1109"/>
      <c r="AZ141" s="1109"/>
      <c r="BA141" s="1109"/>
      <c r="BB141" s="1109"/>
      <c r="BC141" s="1109"/>
      <c r="BD141" s="1109"/>
      <c r="BE141" s="1109"/>
      <c r="BF141" s="1109"/>
    </row>
    <row r="142" spans="20:133" ht="15.5">
      <c r="T142" s="126">
        <f t="shared" si="36"/>
        <v>81</v>
      </c>
      <c r="U142" s="29">
        <f t="shared" si="43"/>
        <v>0</v>
      </c>
      <c r="V142" s="29">
        <f t="shared" si="43"/>
        <v>0</v>
      </c>
      <c r="W142" s="29">
        <f t="shared" si="43"/>
        <v>0</v>
      </c>
      <c r="X142" s="29">
        <f t="shared" si="43"/>
        <v>0</v>
      </c>
      <c r="Y142" s="29"/>
      <c r="AD142" s="274">
        <f>MIN(AD143:AD243)</f>
        <v>5662.8527578461544</v>
      </c>
      <c r="AG142" s="128">
        <v>0</v>
      </c>
      <c r="AH142" s="128">
        <v>1</v>
      </c>
      <c r="AI142" s="128">
        <v>2</v>
      </c>
      <c r="AJ142" s="128">
        <v>3</v>
      </c>
      <c r="AK142" s="128">
        <v>4</v>
      </c>
      <c r="AL142" s="128">
        <v>5</v>
      </c>
      <c r="AM142" s="128">
        <v>6</v>
      </c>
      <c r="AN142" s="128">
        <v>7</v>
      </c>
      <c r="AO142" s="128">
        <v>8</v>
      </c>
      <c r="AP142" s="128">
        <v>9</v>
      </c>
      <c r="AQ142" s="128">
        <v>10</v>
      </c>
      <c r="AR142" s="128">
        <v>11</v>
      </c>
      <c r="AS142" s="128">
        <v>12</v>
      </c>
      <c r="AT142" s="128">
        <v>13</v>
      </c>
      <c r="AU142" s="128">
        <v>14</v>
      </c>
      <c r="AV142" s="128">
        <v>15</v>
      </c>
      <c r="AW142" s="128">
        <v>16</v>
      </c>
      <c r="AX142" s="128">
        <v>17</v>
      </c>
      <c r="AY142" s="128">
        <v>18</v>
      </c>
      <c r="AZ142" s="128">
        <v>19</v>
      </c>
      <c r="BA142" s="128">
        <v>20</v>
      </c>
      <c r="BB142" s="128">
        <v>21</v>
      </c>
      <c r="BC142" s="128">
        <v>22</v>
      </c>
      <c r="BD142" s="128">
        <v>23</v>
      </c>
      <c r="BE142" s="128">
        <v>24</v>
      </c>
      <c r="BF142" s="128">
        <v>25</v>
      </c>
      <c r="BG142" s="128">
        <v>26</v>
      </c>
      <c r="BH142" s="128">
        <v>27</v>
      </c>
      <c r="BI142" s="128">
        <v>28</v>
      </c>
      <c r="BJ142" s="128">
        <v>29</v>
      </c>
      <c r="BK142" s="128">
        <v>30</v>
      </c>
      <c r="BL142" s="128">
        <v>31</v>
      </c>
      <c r="BM142" s="128">
        <v>32</v>
      </c>
      <c r="BN142" s="128">
        <v>33</v>
      </c>
      <c r="BO142" s="128">
        <v>34</v>
      </c>
      <c r="BP142" s="128">
        <v>35</v>
      </c>
      <c r="BQ142" s="128">
        <v>36</v>
      </c>
      <c r="BR142" s="128">
        <v>37</v>
      </c>
      <c r="BS142" s="128">
        <v>38</v>
      </c>
      <c r="BT142" s="128">
        <v>39</v>
      </c>
      <c r="BU142" s="128">
        <v>40</v>
      </c>
      <c r="BV142" s="128">
        <v>41</v>
      </c>
      <c r="BW142" s="128">
        <v>42</v>
      </c>
      <c r="BX142" s="128">
        <v>43</v>
      </c>
      <c r="BY142" s="128">
        <v>44</v>
      </c>
      <c r="BZ142" s="128">
        <v>45</v>
      </c>
      <c r="CA142" s="128">
        <v>46</v>
      </c>
      <c r="CB142" s="128">
        <v>47</v>
      </c>
      <c r="CC142" s="128">
        <v>48</v>
      </c>
      <c r="CD142" s="128">
        <v>49</v>
      </c>
      <c r="CE142" s="128">
        <v>50</v>
      </c>
      <c r="CF142" s="128">
        <v>51</v>
      </c>
      <c r="CG142" s="128">
        <v>52</v>
      </c>
      <c r="CH142" s="128">
        <v>53</v>
      </c>
      <c r="CI142" s="128">
        <v>54</v>
      </c>
      <c r="CJ142" s="128">
        <v>55</v>
      </c>
      <c r="CK142" s="128">
        <v>56</v>
      </c>
      <c r="CL142" s="128">
        <v>57</v>
      </c>
      <c r="CM142" s="128">
        <v>58</v>
      </c>
      <c r="CN142" s="128">
        <v>59</v>
      </c>
      <c r="CO142" s="128">
        <v>60</v>
      </c>
      <c r="CP142" s="128">
        <v>61</v>
      </c>
      <c r="CQ142" s="128">
        <v>62</v>
      </c>
      <c r="CR142" s="128">
        <v>63</v>
      </c>
      <c r="CS142" s="128">
        <v>64</v>
      </c>
      <c r="CT142" s="128">
        <v>65</v>
      </c>
      <c r="CU142" s="128">
        <v>66</v>
      </c>
      <c r="CV142" s="128">
        <v>67</v>
      </c>
      <c r="CW142" s="128">
        <v>68</v>
      </c>
      <c r="CX142" s="128">
        <v>69</v>
      </c>
      <c r="CY142" s="128">
        <v>70</v>
      </c>
      <c r="CZ142" s="128">
        <v>71</v>
      </c>
      <c r="DA142" s="128">
        <v>72</v>
      </c>
      <c r="DB142" s="128">
        <v>73</v>
      </c>
      <c r="DC142" s="128">
        <v>74</v>
      </c>
      <c r="DD142" s="128">
        <v>75</v>
      </c>
      <c r="DE142" s="128">
        <v>76</v>
      </c>
      <c r="DF142" s="128">
        <v>77</v>
      </c>
      <c r="DG142" s="128">
        <v>78</v>
      </c>
      <c r="DH142" s="128">
        <v>79</v>
      </c>
      <c r="DI142" s="128">
        <v>80</v>
      </c>
      <c r="DJ142" s="128">
        <v>81</v>
      </c>
      <c r="DK142" s="128">
        <v>82</v>
      </c>
      <c r="DL142" s="128">
        <v>83</v>
      </c>
      <c r="DM142" s="128">
        <v>84</v>
      </c>
      <c r="DN142" s="128">
        <v>85</v>
      </c>
      <c r="DO142" s="128">
        <v>86</v>
      </c>
      <c r="DP142" s="128">
        <v>87</v>
      </c>
      <c r="DQ142" s="128">
        <v>88</v>
      </c>
      <c r="DR142" s="128">
        <v>89</v>
      </c>
      <c r="DS142" s="128">
        <v>90</v>
      </c>
      <c r="DT142" s="128">
        <v>91</v>
      </c>
      <c r="DU142" s="128">
        <v>92</v>
      </c>
      <c r="DV142" s="128">
        <v>93</v>
      </c>
      <c r="DW142" s="128">
        <v>94</v>
      </c>
      <c r="DX142" s="128">
        <v>95</v>
      </c>
      <c r="DY142" s="128">
        <v>96</v>
      </c>
      <c r="DZ142" s="128">
        <v>97</v>
      </c>
      <c r="EA142" s="128">
        <v>98</v>
      </c>
      <c r="EB142" s="128">
        <v>99</v>
      </c>
      <c r="EC142" s="128">
        <v>100</v>
      </c>
    </row>
    <row r="143" spans="20:133" ht="15.5">
      <c r="T143" s="126">
        <f t="shared" si="36"/>
        <v>82</v>
      </c>
      <c r="U143" s="29">
        <f t="shared" si="43"/>
        <v>0</v>
      </c>
      <c r="V143" s="29">
        <f t="shared" si="43"/>
        <v>0</v>
      </c>
      <c r="W143" s="29">
        <f t="shared" si="43"/>
        <v>0</v>
      </c>
      <c r="X143" s="29">
        <f t="shared" si="43"/>
        <v>0</v>
      </c>
      <c r="Y143" s="29"/>
      <c r="AB143" s="5">
        <f t="shared" ref="AB143:AB174" si="44">IF(OR(AB142=1,AB142=2),2,IF(AD143=AD$142,1,0))</f>
        <v>0</v>
      </c>
      <c r="AC143" s="128">
        <v>0</v>
      </c>
      <c r="AD143" s="129">
        <f>MIN(AG143:CE143)</f>
        <v>2047191.9489116922</v>
      </c>
      <c r="AE143" s="1108" t="s">
        <v>143</v>
      </c>
      <c r="AF143" s="128">
        <v>0</v>
      </c>
      <c r="AG143" s="641">
        <f t="shared" ref="AG143:AP152" si="45">IF(VLOOKUP($AF143,$T$61:$X$161,2)+VLOOKUP(AG$142,$T$61:$X$161,$AF$141)+VLOOKUP(0,$T$61:$X$161,$AF$140)+VLOOKUP(0,$T$61:$X$161,5)+$Y$51+$Z$44-$U$17&lt;0,999999999,VLOOKUP($AF143,$T$61:$X$161,2)+VLOOKUP(AG$142,$T$61:$X$161,$AF$141)+VLOOKUP(0,$T$61:$X$161,$AF$140)+VLOOKUP(0,$T$61:$X$161,5)+$Y$51+$Z$44-$U$17)</f>
        <v>2544036.948911692</v>
      </c>
      <c r="AH143" s="641">
        <f t="shared" si="45"/>
        <v>2481084.948911692</v>
      </c>
      <c r="AI143" s="641">
        <f t="shared" si="45"/>
        <v>2418132.948911692</v>
      </c>
      <c r="AJ143" s="641">
        <f t="shared" si="45"/>
        <v>2355180.948911692</v>
      </c>
      <c r="AK143" s="641">
        <f t="shared" si="45"/>
        <v>2292228.948911692</v>
      </c>
      <c r="AL143" s="641">
        <f t="shared" si="45"/>
        <v>2229276.948911692</v>
      </c>
      <c r="AM143" s="641">
        <f t="shared" si="45"/>
        <v>2167361.948911692</v>
      </c>
      <c r="AN143" s="641">
        <f t="shared" si="45"/>
        <v>2114901.948911692</v>
      </c>
      <c r="AO143" s="641">
        <f t="shared" si="45"/>
        <v>2062441.9489116922</v>
      </c>
      <c r="AP143" s="641">
        <f t="shared" si="45"/>
        <v>2047191.9489116922</v>
      </c>
      <c r="AQ143" s="641">
        <f t="shared" ref="AQ143:AZ152" si="46">IF(VLOOKUP($AF143,$T$61:$X$161,2)+VLOOKUP(AQ$142,$T$61:$X$161,$AF$141)+VLOOKUP(0,$T$61:$X$161,$AF$140)+VLOOKUP(0,$T$61:$X$161,5)+$Y$51+$Z$44-$U$17&lt;0,999999999,VLOOKUP($AF143,$T$61:$X$161,2)+VLOOKUP(AQ$142,$T$61:$X$161,$AF$141)+VLOOKUP(0,$T$61:$X$161,$AF$140)+VLOOKUP(0,$T$61:$X$161,5)+$Y$51+$Z$44-$U$17)</f>
        <v>2047191.9489116922</v>
      </c>
      <c r="AR143" s="641">
        <f t="shared" si="46"/>
        <v>2047191.9489116922</v>
      </c>
      <c r="AS143" s="641">
        <f t="shared" si="46"/>
        <v>2047191.9489116922</v>
      </c>
      <c r="AT143" s="641">
        <f t="shared" si="46"/>
        <v>2047191.9489116922</v>
      </c>
      <c r="AU143" s="641">
        <f t="shared" si="46"/>
        <v>2047191.9489116922</v>
      </c>
      <c r="AV143" s="641">
        <f t="shared" si="46"/>
        <v>2047191.9489116922</v>
      </c>
      <c r="AW143" s="641">
        <f t="shared" si="46"/>
        <v>2047191.9489116922</v>
      </c>
      <c r="AX143" s="641">
        <f t="shared" si="46"/>
        <v>2047191.9489116922</v>
      </c>
      <c r="AY143" s="641">
        <f t="shared" si="46"/>
        <v>2047191.9489116922</v>
      </c>
      <c r="AZ143" s="641">
        <f t="shared" si="46"/>
        <v>2047191.9489116922</v>
      </c>
      <c r="BA143" s="641">
        <f t="shared" ref="BA143:BJ152" si="47">IF(VLOOKUP($AF143,$T$61:$X$161,2)+VLOOKUP(BA$142,$T$61:$X$161,$AF$141)+VLOOKUP(0,$T$61:$X$161,$AF$140)+VLOOKUP(0,$T$61:$X$161,5)+$Y$51+$Z$44-$U$17&lt;0,999999999,VLOOKUP($AF143,$T$61:$X$161,2)+VLOOKUP(BA$142,$T$61:$X$161,$AF$141)+VLOOKUP(0,$T$61:$X$161,$AF$140)+VLOOKUP(0,$T$61:$X$161,5)+$Y$51+$Z$44-$U$17)</f>
        <v>2047191.9489116922</v>
      </c>
      <c r="BB143" s="641">
        <f t="shared" si="47"/>
        <v>2047191.9489116922</v>
      </c>
      <c r="BC143" s="641">
        <f t="shared" si="47"/>
        <v>2047191.9489116922</v>
      </c>
      <c r="BD143" s="641">
        <f t="shared" si="47"/>
        <v>2047191.9489116922</v>
      </c>
      <c r="BE143" s="641">
        <f t="shared" si="47"/>
        <v>2047191.9489116922</v>
      </c>
      <c r="BF143" s="641">
        <f t="shared" si="47"/>
        <v>2047191.9489116922</v>
      </c>
      <c r="BG143" s="641">
        <f t="shared" si="47"/>
        <v>2047191.9489116922</v>
      </c>
      <c r="BH143" s="641">
        <f t="shared" si="47"/>
        <v>2047191.9489116922</v>
      </c>
      <c r="BI143" s="641">
        <f t="shared" si="47"/>
        <v>2047191.9489116922</v>
      </c>
      <c r="BJ143" s="641">
        <f t="shared" si="47"/>
        <v>2047191.9489116922</v>
      </c>
      <c r="BK143" s="641">
        <f t="shared" ref="BK143:BT152" si="48">IF(VLOOKUP($AF143,$T$61:$X$161,2)+VLOOKUP(BK$142,$T$61:$X$161,$AF$141)+VLOOKUP(0,$T$61:$X$161,$AF$140)+VLOOKUP(0,$T$61:$X$161,5)+$Y$51+$Z$44-$U$17&lt;0,999999999,VLOOKUP($AF143,$T$61:$X$161,2)+VLOOKUP(BK$142,$T$61:$X$161,$AF$141)+VLOOKUP(0,$T$61:$X$161,$AF$140)+VLOOKUP(0,$T$61:$X$161,5)+$Y$51+$Z$44-$U$17)</f>
        <v>2047191.9489116922</v>
      </c>
      <c r="BL143" s="641">
        <f t="shared" si="48"/>
        <v>2047191.9489116922</v>
      </c>
      <c r="BM143" s="641">
        <f t="shared" si="48"/>
        <v>2047191.9489116922</v>
      </c>
      <c r="BN143" s="641">
        <f t="shared" si="48"/>
        <v>2047191.9489116922</v>
      </c>
      <c r="BO143" s="641">
        <f t="shared" si="48"/>
        <v>2047191.9489116922</v>
      </c>
      <c r="BP143" s="641">
        <f t="shared" si="48"/>
        <v>2047191.9489116922</v>
      </c>
      <c r="BQ143" s="641">
        <f t="shared" si="48"/>
        <v>2047191.9489116922</v>
      </c>
      <c r="BR143" s="641">
        <f t="shared" si="48"/>
        <v>2047191.9489116922</v>
      </c>
      <c r="BS143" s="641">
        <f t="shared" si="48"/>
        <v>2047191.9489116922</v>
      </c>
      <c r="BT143" s="641">
        <f t="shared" si="48"/>
        <v>2047191.9489116922</v>
      </c>
      <c r="BU143" s="641">
        <f t="shared" ref="BU143:CD152" si="49">IF(VLOOKUP($AF143,$T$61:$X$161,2)+VLOOKUP(BU$142,$T$61:$X$161,$AF$141)+VLOOKUP(0,$T$61:$X$161,$AF$140)+VLOOKUP(0,$T$61:$X$161,5)+$Y$51+$Z$44-$U$17&lt;0,999999999,VLOOKUP($AF143,$T$61:$X$161,2)+VLOOKUP(BU$142,$T$61:$X$161,$AF$141)+VLOOKUP(0,$T$61:$X$161,$AF$140)+VLOOKUP(0,$T$61:$X$161,5)+$Y$51+$Z$44-$U$17)</f>
        <v>2047191.9489116922</v>
      </c>
      <c r="BV143" s="641">
        <f t="shared" si="49"/>
        <v>2047191.9489116922</v>
      </c>
      <c r="BW143" s="641">
        <f t="shared" si="49"/>
        <v>2047191.9489116922</v>
      </c>
      <c r="BX143" s="641">
        <f t="shared" si="49"/>
        <v>2047191.9489116922</v>
      </c>
      <c r="BY143" s="641">
        <f t="shared" si="49"/>
        <v>2047191.9489116922</v>
      </c>
      <c r="BZ143" s="641">
        <f t="shared" si="49"/>
        <v>2047191.9489116922</v>
      </c>
      <c r="CA143" s="641">
        <f t="shared" si="49"/>
        <v>2047191.9489116922</v>
      </c>
      <c r="CB143" s="641">
        <f t="shared" si="49"/>
        <v>2047191.9489116922</v>
      </c>
      <c r="CC143" s="641">
        <f t="shared" si="49"/>
        <v>2047191.9489116922</v>
      </c>
      <c r="CD143" s="641">
        <f t="shared" si="49"/>
        <v>2047191.9489116922</v>
      </c>
      <c r="CE143" s="641">
        <f t="shared" ref="CE143:CN152" si="50">IF(VLOOKUP($AF143,$T$61:$X$161,2)+VLOOKUP(CE$142,$T$61:$X$161,$AF$141)+VLOOKUP(0,$T$61:$X$161,$AF$140)+VLOOKUP(0,$T$61:$X$161,5)+$Y$51+$Z$44-$U$17&lt;0,999999999,VLOOKUP($AF143,$T$61:$X$161,2)+VLOOKUP(CE$142,$T$61:$X$161,$AF$141)+VLOOKUP(0,$T$61:$X$161,$AF$140)+VLOOKUP(0,$T$61:$X$161,5)+$Y$51+$Z$44-$U$17)</f>
        <v>2047191.9489116922</v>
      </c>
      <c r="CF143" s="641">
        <f t="shared" si="50"/>
        <v>2047191.9489116922</v>
      </c>
      <c r="CG143" s="641">
        <f t="shared" si="50"/>
        <v>2047191.9489116922</v>
      </c>
      <c r="CH143" s="641">
        <f t="shared" si="50"/>
        <v>2047191.9489116922</v>
      </c>
      <c r="CI143" s="641">
        <f t="shared" si="50"/>
        <v>2047191.9489116922</v>
      </c>
      <c r="CJ143" s="641">
        <f t="shared" si="50"/>
        <v>2047191.9489116922</v>
      </c>
      <c r="CK143" s="641">
        <f t="shared" si="50"/>
        <v>2047191.9489116922</v>
      </c>
      <c r="CL143" s="641">
        <f t="shared" si="50"/>
        <v>2047191.9489116922</v>
      </c>
      <c r="CM143" s="641">
        <f t="shared" si="50"/>
        <v>2047191.9489116922</v>
      </c>
      <c r="CN143" s="641">
        <f t="shared" si="50"/>
        <v>2047191.9489116922</v>
      </c>
      <c r="CO143" s="641">
        <f t="shared" ref="CO143:CX152" si="51">IF(VLOOKUP($AF143,$T$61:$X$161,2)+VLOOKUP(CO$142,$T$61:$X$161,$AF$141)+VLOOKUP(0,$T$61:$X$161,$AF$140)+VLOOKUP(0,$T$61:$X$161,5)+$Y$51+$Z$44-$U$17&lt;0,999999999,VLOOKUP($AF143,$T$61:$X$161,2)+VLOOKUP(CO$142,$T$61:$X$161,$AF$141)+VLOOKUP(0,$T$61:$X$161,$AF$140)+VLOOKUP(0,$T$61:$X$161,5)+$Y$51+$Z$44-$U$17)</f>
        <v>2047191.9489116922</v>
      </c>
      <c r="CP143" s="641">
        <f t="shared" si="51"/>
        <v>2047191.9489116922</v>
      </c>
      <c r="CQ143" s="641">
        <f t="shared" si="51"/>
        <v>2047191.9489116922</v>
      </c>
      <c r="CR143" s="641">
        <f t="shared" si="51"/>
        <v>2047191.9489116922</v>
      </c>
      <c r="CS143" s="641">
        <f t="shared" si="51"/>
        <v>2047191.9489116922</v>
      </c>
      <c r="CT143" s="641">
        <f t="shared" si="51"/>
        <v>2047191.9489116922</v>
      </c>
      <c r="CU143" s="641">
        <f t="shared" si="51"/>
        <v>2047191.9489116922</v>
      </c>
      <c r="CV143" s="641">
        <f t="shared" si="51"/>
        <v>2047191.9489116922</v>
      </c>
      <c r="CW143" s="641">
        <f t="shared" si="51"/>
        <v>2047191.9489116922</v>
      </c>
      <c r="CX143" s="641">
        <f t="shared" si="51"/>
        <v>2047191.9489116922</v>
      </c>
      <c r="CY143" s="641">
        <f t="shared" ref="CY143:DH152" si="52">IF(VLOOKUP($AF143,$T$61:$X$161,2)+VLOOKUP(CY$142,$T$61:$X$161,$AF$141)+VLOOKUP(0,$T$61:$X$161,$AF$140)+VLOOKUP(0,$T$61:$X$161,5)+$Y$51+$Z$44-$U$17&lt;0,999999999,VLOOKUP($AF143,$T$61:$X$161,2)+VLOOKUP(CY$142,$T$61:$X$161,$AF$141)+VLOOKUP(0,$T$61:$X$161,$AF$140)+VLOOKUP(0,$T$61:$X$161,5)+$Y$51+$Z$44-$U$17)</f>
        <v>2047191.9489116922</v>
      </c>
      <c r="CZ143" s="641">
        <f t="shared" si="52"/>
        <v>2047191.9489116922</v>
      </c>
      <c r="DA143" s="641">
        <f t="shared" si="52"/>
        <v>2047191.9489116922</v>
      </c>
      <c r="DB143" s="641">
        <f t="shared" si="52"/>
        <v>2047191.9489116922</v>
      </c>
      <c r="DC143" s="641">
        <f t="shared" si="52"/>
        <v>2047191.9489116922</v>
      </c>
      <c r="DD143" s="641">
        <f t="shared" si="52"/>
        <v>2047191.9489116922</v>
      </c>
      <c r="DE143" s="641">
        <f t="shared" si="52"/>
        <v>2047191.9489116922</v>
      </c>
      <c r="DF143" s="641">
        <f t="shared" si="52"/>
        <v>2047191.9489116922</v>
      </c>
      <c r="DG143" s="641">
        <f t="shared" si="52"/>
        <v>2047191.9489116922</v>
      </c>
      <c r="DH143" s="641">
        <f t="shared" si="52"/>
        <v>2047191.9489116922</v>
      </c>
      <c r="DI143" s="641">
        <f t="shared" ref="DI143:DR152" si="53">IF(VLOOKUP($AF143,$T$61:$X$161,2)+VLOOKUP(DI$142,$T$61:$X$161,$AF$141)+VLOOKUP(0,$T$61:$X$161,$AF$140)+VLOOKUP(0,$T$61:$X$161,5)+$Y$51+$Z$44-$U$17&lt;0,999999999,VLOOKUP($AF143,$T$61:$X$161,2)+VLOOKUP(DI$142,$T$61:$X$161,$AF$141)+VLOOKUP(0,$T$61:$X$161,$AF$140)+VLOOKUP(0,$T$61:$X$161,5)+$Y$51+$Z$44-$U$17)</f>
        <v>2047191.9489116922</v>
      </c>
      <c r="DJ143" s="641">
        <f t="shared" si="53"/>
        <v>2047191.9489116922</v>
      </c>
      <c r="DK143" s="641">
        <f t="shared" si="53"/>
        <v>2047191.9489116922</v>
      </c>
      <c r="DL143" s="641">
        <f t="shared" si="53"/>
        <v>2047191.9489116922</v>
      </c>
      <c r="DM143" s="641">
        <f t="shared" si="53"/>
        <v>2047191.9489116922</v>
      </c>
      <c r="DN143" s="641">
        <f t="shared" si="53"/>
        <v>2047191.9489116922</v>
      </c>
      <c r="DO143" s="641">
        <f t="shared" si="53"/>
        <v>2047191.9489116922</v>
      </c>
      <c r="DP143" s="641">
        <f t="shared" si="53"/>
        <v>2047191.9489116922</v>
      </c>
      <c r="DQ143" s="641">
        <f t="shared" si="53"/>
        <v>2047191.9489116922</v>
      </c>
      <c r="DR143" s="641">
        <f t="shared" si="53"/>
        <v>2047191.9489116922</v>
      </c>
      <c r="DS143" s="641">
        <f t="shared" ref="DS143:EC152" si="54">IF(VLOOKUP($AF143,$T$61:$X$161,2)+VLOOKUP(DS$142,$T$61:$X$161,$AF$141)+VLOOKUP(0,$T$61:$X$161,$AF$140)+VLOOKUP(0,$T$61:$X$161,5)+$Y$51+$Z$44-$U$17&lt;0,999999999,VLOOKUP($AF143,$T$61:$X$161,2)+VLOOKUP(DS$142,$T$61:$X$161,$AF$141)+VLOOKUP(0,$T$61:$X$161,$AF$140)+VLOOKUP(0,$T$61:$X$161,5)+$Y$51+$Z$44-$U$17)</f>
        <v>2047191.9489116922</v>
      </c>
      <c r="DT143" s="641">
        <f t="shared" si="54"/>
        <v>2047191.9489116922</v>
      </c>
      <c r="DU143" s="641">
        <f t="shared" si="54"/>
        <v>2047191.9489116922</v>
      </c>
      <c r="DV143" s="641">
        <f t="shared" si="54"/>
        <v>2047191.9489116922</v>
      </c>
      <c r="DW143" s="641">
        <f t="shared" si="54"/>
        <v>2047191.9489116922</v>
      </c>
      <c r="DX143" s="641">
        <f t="shared" si="54"/>
        <v>2047191.9489116922</v>
      </c>
      <c r="DY143" s="641">
        <f t="shared" si="54"/>
        <v>2047191.9489116922</v>
      </c>
      <c r="DZ143" s="641">
        <f t="shared" si="54"/>
        <v>2047191.9489116922</v>
      </c>
      <c r="EA143" s="641">
        <f t="shared" si="54"/>
        <v>2047191.9489116922</v>
      </c>
      <c r="EB143" s="641">
        <f t="shared" si="54"/>
        <v>2047191.9489116922</v>
      </c>
      <c r="EC143" s="641">
        <f t="shared" si="54"/>
        <v>2047191.9489116922</v>
      </c>
    </row>
    <row r="144" spans="20:133" ht="15.5">
      <c r="T144" s="126">
        <f t="shared" si="36"/>
        <v>83</v>
      </c>
      <c r="U144" s="29">
        <f t="shared" si="43"/>
        <v>0</v>
      </c>
      <c r="V144" s="29">
        <f t="shared" si="43"/>
        <v>0</v>
      </c>
      <c r="W144" s="29">
        <f t="shared" si="43"/>
        <v>0</v>
      </c>
      <c r="X144" s="29">
        <f t="shared" si="43"/>
        <v>0</v>
      </c>
      <c r="Y144" s="29"/>
      <c r="AB144" s="5">
        <f t="shared" si="44"/>
        <v>0</v>
      </c>
      <c r="AC144" s="128">
        <v>1</v>
      </c>
      <c r="AD144" s="129">
        <f t="shared" ref="AD144:AD193" si="55">MIN(AG144:CE144)</f>
        <v>1920930.7181424615</v>
      </c>
      <c r="AE144" s="1108"/>
      <c r="AF144" s="128">
        <v>1</v>
      </c>
      <c r="AG144" s="641">
        <f t="shared" si="45"/>
        <v>2417775.7181424615</v>
      </c>
      <c r="AH144" s="641">
        <f t="shared" si="45"/>
        <v>2354823.7181424615</v>
      </c>
      <c r="AI144" s="641">
        <f t="shared" si="45"/>
        <v>2291871.7181424615</v>
      </c>
      <c r="AJ144" s="641">
        <f t="shared" si="45"/>
        <v>2228919.7181424615</v>
      </c>
      <c r="AK144" s="641">
        <f t="shared" si="45"/>
        <v>2165967.7181424615</v>
      </c>
      <c r="AL144" s="641">
        <f t="shared" si="45"/>
        <v>2103015.7181424615</v>
      </c>
      <c r="AM144" s="641">
        <f t="shared" si="45"/>
        <v>2041100.7181424615</v>
      </c>
      <c r="AN144" s="641">
        <f t="shared" si="45"/>
        <v>1988640.7181424615</v>
      </c>
      <c r="AO144" s="641">
        <f t="shared" si="45"/>
        <v>1936180.7181424615</v>
      </c>
      <c r="AP144" s="641">
        <f t="shared" si="45"/>
        <v>1920930.7181424615</v>
      </c>
      <c r="AQ144" s="641">
        <f t="shared" si="46"/>
        <v>1920930.7181424615</v>
      </c>
      <c r="AR144" s="641">
        <f t="shared" si="46"/>
        <v>1920930.7181424615</v>
      </c>
      <c r="AS144" s="641">
        <f t="shared" si="46"/>
        <v>1920930.7181424615</v>
      </c>
      <c r="AT144" s="641">
        <f t="shared" si="46"/>
        <v>1920930.7181424615</v>
      </c>
      <c r="AU144" s="641">
        <f t="shared" si="46"/>
        <v>1920930.7181424615</v>
      </c>
      <c r="AV144" s="641">
        <f t="shared" si="46"/>
        <v>1920930.7181424615</v>
      </c>
      <c r="AW144" s="641">
        <f t="shared" si="46"/>
        <v>1920930.7181424615</v>
      </c>
      <c r="AX144" s="641">
        <f t="shared" si="46"/>
        <v>1920930.7181424615</v>
      </c>
      <c r="AY144" s="641">
        <f t="shared" si="46"/>
        <v>1920930.7181424615</v>
      </c>
      <c r="AZ144" s="641">
        <f t="shared" si="46"/>
        <v>1920930.7181424615</v>
      </c>
      <c r="BA144" s="641">
        <f t="shared" si="47"/>
        <v>1920930.7181424615</v>
      </c>
      <c r="BB144" s="641">
        <f t="shared" si="47"/>
        <v>1920930.7181424615</v>
      </c>
      <c r="BC144" s="641">
        <f t="shared" si="47"/>
        <v>1920930.7181424615</v>
      </c>
      <c r="BD144" s="641">
        <f t="shared" si="47"/>
        <v>1920930.7181424615</v>
      </c>
      <c r="BE144" s="641">
        <f t="shared" si="47"/>
        <v>1920930.7181424615</v>
      </c>
      <c r="BF144" s="641">
        <f t="shared" si="47"/>
        <v>1920930.7181424615</v>
      </c>
      <c r="BG144" s="641">
        <f t="shared" si="47"/>
        <v>1920930.7181424615</v>
      </c>
      <c r="BH144" s="641">
        <f t="shared" si="47"/>
        <v>1920930.7181424615</v>
      </c>
      <c r="BI144" s="641">
        <f t="shared" si="47"/>
        <v>1920930.7181424615</v>
      </c>
      <c r="BJ144" s="641">
        <f t="shared" si="47"/>
        <v>1920930.7181424615</v>
      </c>
      <c r="BK144" s="641">
        <f t="shared" si="48"/>
        <v>1920930.7181424615</v>
      </c>
      <c r="BL144" s="641">
        <f t="shared" si="48"/>
        <v>1920930.7181424615</v>
      </c>
      <c r="BM144" s="641">
        <f t="shared" si="48"/>
        <v>1920930.7181424615</v>
      </c>
      <c r="BN144" s="641">
        <f t="shared" si="48"/>
        <v>1920930.7181424615</v>
      </c>
      <c r="BO144" s="641">
        <f t="shared" si="48"/>
        <v>1920930.7181424615</v>
      </c>
      <c r="BP144" s="641">
        <f t="shared" si="48"/>
        <v>1920930.7181424615</v>
      </c>
      <c r="BQ144" s="641">
        <f t="shared" si="48"/>
        <v>1920930.7181424615</v>
      </c>
      <c r="BR144" s="641">
        <f t="shared" si="48"/>
        <v>1920930.7181424615</v>
      </c>
      <c r="BS144" s="641">
        <f t="shared" si="48"/>
        <v>1920930.7181424615</v>
      </c>
      <c r="BT144" s="641">
        <f t="shared" si="48"/>
        <v>1920930.7181424615</v>
      </c>
      <c r="BU144" s="641">
        <f t="shared" si="49"/>
        <v>1920930.7181424615</v>
      </c>
      <c r="BV144" s="641">
        <f t="shared" si="49"/>
        <v>1920930.7181424615</v>
      </c>
      <c r="BW144" s="641">
        <f t="shared" si="49"/>
        <v>1920930.7181424615</v>
      </c>
      <c r="BX144" s="641">
        <f t="shared" si="49"/>
        <v>1920930.7181424615</v>
      </c>
      <c r="BY144" s="641">
        <f t="shared" si="49"/>
        <v>1920930.7181424615</v>
      </c>
      <c r="BZ144" s="641">
        <f t="shared" si="49"/>
        <v>1920930.7181424615</v>
      </c>
      <c r="CA144" s="641">
        <f t="shared" si="49"/>
        <v>1920930.7181424615</v>
      </c>
      <c r="CB144" s="641">
        <f t="shared" si="49"/>
        <v>1920930.7181424615</v>
      </c>
      <c r="CC144" s="641">
        <f t="shared" si="49"/>
        <v>1920930.7181424615</v>
      </c>
      <c r="CD144" s="641">
        <f t="shared" si="49"/>
        <v>1920930.7181424615</v>
      </c>
      <c r="CE144" s="641">
        <f t="shared" si="50"/>
        <v>1920930.7181424615</v>
      </c>
      <c r="CF144" s="641">
        <f t="shared" si="50"/>
        <v>1920930.7181424615</v>
      </c>
      <c r="CG144" s="641">
        <f t="shared" si="50"/>
        <v>1920930.7181424615</v>
      </c>
      <c r="CH144" s="641">
        <f t="shared" si="50"/>
        <v>1920930.7181424615</v>
      </c>
      <c r="CI144" s="641">
        <f t="shared" si="50"/>
        <v>1920930.7181424615</v>
      </c>
      <c r="CJ144" s="641">
        <f t="shared" si="50"/>
        <v>1920930.7181424615</v>
      </c>
      <c r="CK144" s="641">
        <f t="shared" si="50"/>
        <v>1920930.7181424615</v>
      </c>
      <c r="CL144" s="641">
        <f t="shared" si="50"/>
        <v>1920930.7181424615</v>
      </c>
      <c r="CM144" s="641">
        <f t="shared" si="50"/>
        <v>1920930.7181424615</v>
      </c>
      <c r="CN144" s="641">
        <f t="shared" si="50"/>
        <v>1920930.7181424615</v>
      </c>
      <c r="CO144" s="641">
        <f t="shared" si="51"/>
        <v>1920930.7181424615</v>
      </c>
      <c r="CP144" s="641">
        <f t="shared" si="51"/>
        <v>1920930.7181424615</v>
      </c>
      <c r="CQ144" s="641">
        <f t="shared" si="51"/>
        <v>1920930.7181424615</v>
      </c>
      <c r="CR144" s="641">
        <f t="shared" si="51"/>
        <v>1920930.7181424615</v>
      </c>
      <c r="CS144" s="641">
        <f t="shared" si="51"/>
        <v>1920930.7181424615</v>
      </c>
      <c r="CT144" s="641">
        <f t="shared" si="51"/>
        <v>1920930.7181424615</v>
      </c>
      <c r="CU144" s="641">
        <f t="shared" si="51"/>
        <v>1920930.7181424615</v>
      </c>
      <c r="CV144" s="641">
        <f t="shared" si="51"/>
        <v>1920930.7181424615</v>
      </c>
      <c r="CW144" s="641">
        <f t="shared" si="51"/>
        <v>1920930.7181424615</v>
      </c>
      <c r="CX144" s="641">
        <f t="shared" si="51"/>
        <v>1920930.7181424615</v>
      </c>
      <c r="CY144" s="641">
        <f t="shared" si="52"/>
        <v>1920930.7181424615</v>
      </c>
      <c r="CZ144" s="641">
        <f t="shared" si="52"/>
        <v>1920930.7181424615</v>
      </c>
      <c r="DA144" s="641">
        <f t="shared" si="52"/>
        <v>1920930.7181424615</v>
      </c>
      <c r="DB144" s="641">
        <f t="shared" si="52"/>
        <v>1920930.7181424615</v>
      </c>
      <c r="DC144" s="641">
        <f t="shared" si="52"/>
        <v>1920930.7181424615</v>
      </c>
      <c r="DD144" s="641">
        <f t="shared" si="52"/>
        <v>1920930.7181424615</v>
      </c>
      <c r="DE144" s="641">
        <f t="shared" si="52"/>
        <v>1920930.7181424615</v>
      </c>
      <c r="DF144" s="641">
        <f t="shared" si="52"/>
        <v>1920930.7181424615</v>
      </c>
      <c r="DG144" s="641">
        <f t="shared" si="52"/>
        <v>1920930.7181424615</v>
      </c>
      <c r="DH144" s="641">
        <f t="shared" si="52"/>
        <v>1920930.7181424615</v>
      </c>
      <c r="DI144" s="641">
        <f t="shared" si="53"/>
        <v>1920930.7181424615</v>
      </c>
      <c r="DJ144" s="641">
        <f t="shared" si="53"/>
        <v>1920930.7181424615</v>
      </c>
      <c r="DK144" s="641">
        <f t="shared" si="53"/>
        <v>1920930.7181424615</v>
      </c>
      <c r="DL144" s="641">
        <f t="shared" si="53"/>
        <v>1920930.7181424615</v>
      </c>
      <c r="DM144" s="641">
        <f t="shared" si="53"/>
        <v>1920930.7181424615</v>
      </c>
      <c r="DN144" s="641">
        <f t="shared" si="53"/>
        <v>1920930.7181424615</v>
      </c>
      <c r="DO144" s="641">
        <f t="shared" si="53"/>
        <v>1920930.7181424615</v>
      </c>
      <c r="DP144" s="641">
        <f t="shared" si="53"/>
        <v>1920930.7181424615</v>
      </c>
      <c r="DQ144" s="641">
        <f t="shared" si="53"/>
        <v>1920930.7181424615</v>
      </c>
      <c r="DR144" s="641">
        <f t="shared" si="53"/>
        <v>1920930.7181424615</v>
      </c>
      <c r="DS144" s="641">
        <f t="shared" si="54"/>
        <v>1920930.7181424615</v>
      </c>
      <c r="DT144" s="641">
        <f t="shared" si="54"/>
        <v>1920930.7181424615</v>
      </c>
      <c r="DU144" s="641">
        <f t="shared" si="54"/>
        <v>1920930.7181424615</v>
      </c>
      <c r="DV144" s="641">
        <f t="shared" si="54"/>
        <v>1920930.7181424615</v>
      </c>
      <c r="DW144" s="641">
        <f t="shared" si="54"/>
        <v>1920930.7181424615</v>
      </c>
      <c r="DX144" s="641">
        <f t="shared" si="54"/>
        <v>1920930.7181424615</v>
      </c>
      <c r="DY144" s="641">
        <f t="shared" si="54"/>
        <v>1920930.7181424615</v>
      </c>
      <c r="DZ144" s="641">
        <f t="shared" si="54"/>
        <v>1920930.7181424615</v>
      </c>
      <c r="EA144" s="641">
        <f t="shared" si="54"/>
        <v>1920930.7181424615</v>
      </c>
      <c r="EB144" s="641">
        <f t="shared" si="54"/>
        <v>1920930.7181424615</v>
      </c>
      <c r="EC144" s="641">
        <f t="shared" si="54"/>
        <v>1920930.7181424615</v>
      </c>
    </row>
    <row r="145" spans="20:133" ht="15.5">
      <c r="T145" s="126">
        <f t="shared" si="36"/>
        <v>84</v>
      </c>
      <c r="U145" s="29">
        <f t="shared" si="43"/>
        <v>0</v>
      </c>
      <c r="V145" s="29">
        <f t="shared" si="43"/>
        <v>0</v>
      </c>
      <c r="W145" s="29">
        <f t="shared" si="43"/>
        <v>0</v>
      </c>
      <c r="X145" s="29">
        <f t="shared" si="43"/>
        <v>0</v>
      </c>
      <c r="Y145" s="29"/>
      <c r="AB145" s="5">
        <f t="shared" si="44"/>
        <v>0</v>
      </c>
      <c r="AC145" s="128">
        <v>2</v>
      </c>
      <c r="AD145" s="129">
        <f t="shared" si="55"/>
        <v>1799624.506604</v>
      </c>
      <c r="AE145" s="1108"/>
      <c r="AF145" s="128">
        <v>2</v>
      </c>
      <c r="AG145" s="641">
        <f t="shared" si="45"/>
        <v>2296469.506604</v>
      </c>
      <c r="AH145" s="641">
        <f t="shared" si="45"/>
        <v>2233517.506604</v>
      </c>
      <c r="AI145" s="641">
        <f t="shared" si="45"/>
        <v>2170565.506604</v>
      </c>
      <c r="AJ145" s="641">
        <f t="shared" si="45"/>
        <v>2107613.506604</v>
      </c>
      <c r="AK145" s="641">
        <f t="shared" si="45"/>
        <v>2044661.506604</v>
      </c>
      <c r="AL145" s="641">
        <f t="shared" si="45"/>
        <v>1981709.506604</v>
      </c>
      <c r="AM145" s="641">
        <f t="shared" si="45"/>
        <v>1919794.506604</v>
      </c>
      <c r="AN145" s="641">
        <f t="shared" si="45"/>
        <v>1867334.506604</v>
      </c>
      <c r="AO145" s="641">
        <f t="shared" si="45"/>
        <v>1814874.506604</v>
      </c>
      <c r="AP145" s="641">
        <f t="shared" si="45"/>
        <v>1799624.506604</v>
      </c>
      <c r="AQ145" s="641">
        <f t="shared" si="46"/>
        <v>1799624.506604</v>
      </c>
      <c r="AR145" s="641">
        <f t="shared" si="46"/>
        <v>1799624.506604</v>
      </c>
      <c r="AS145" s="641">
        <f t="shared" si="46"/>
        <v>1799624.506604</v>
      </c>
      <c r="AT145" s="641">
        <f t="shared" si="46"/>
        <v>1799624.506604</v>
      </c>
      <c r="AU145" s="641">
        <f t="shared" si="46"/>
        <v>1799624.506604</v>
      </c>
      <c r="AV145" s="641">
        <f t="shared" si="46"/>
        <v>1799624.506604</v>
      </c>
      <c r="AW145" s="641">
        <f t="shared" si="46"/>
        <v>1799624.506604</v>
      </c>
      <c r="AX145" s="641">
        <f t="shared" si="46"/>
        <v>1799624.506604</v>
      </c>
      <c r="AY145" s="641">
        <f t="shared" si="46"/>
        <v>1799624.506604</v>
      </c>
      <c r="AZ145" s="641">
        <f t="shared" si="46"/>
        <v>1799624.506604</v>
      </c>
      <c r="BA145" s="641">
        <f t="shared" si="47"/>
        <v>1799624.506604</v>
      </c>
      <c r="BB145" s="641">
        <f t="shared" si="47"/>
        <v>1799624.506604</v>
      </c>
      <c r="BC145" s="641">
        <f t="shared" si="47"/>
        <v>1799624.506604</v>
      </c>
      <c r="BD145" s="641">
        <f t="shared" si="47"/>
        <v>1799624.506604</v>
      </c>
      <c r="BE145" s="641">
        <f t="shared" si="47"/>
        <v>1799624.506604</v>
      </c>
      <c r="BF145" s="641">
        <f t="shared" si="47"/>
        <v>1799624.506604</v>
      </c>
      <c r="BG145" s="641">
        <f t="shared" si="47"/>
        <v>1799624.506604</v>
      </c>
      <c r="BH145" s="641">
        <f t="shared" si="47"/>
        <v>1799624.506604</v>
      </c>
      <c r="BI145" s="641">
        <f t="shared" si="47"/>
        <v>1799624.506604</v>
      </c>
      <c r="BJ145" s="641">
        <f t="shared" si="47"/>
        <v>1799624.506604</v>
      </c>
      <c r="BK145" s="641">
        <f t="shared" si="48"/>
        <v>1799624.506604</v>
      </c>
      <c r="BL145" s="641">
        <f t="shared" si="48"/>
        <v>1799624.506604</v>
      </c>
      <c r="BM145" s="641">
        <f t="shared" si="48"/>
        <v>1799624.506604</v>
      </c>
      <c r="BN145" s="641">
        <f t="shared" si="48"/>
        <v>1799624.506604</v>
      </c>
      <c r="BO145" s="641">
        <f t="shared" si="48"/>
        <v>1799624.506604</v>
      </c>
      <c r="BP145" s="641">
        <f t="shared" si="48"/>
        <v>1799624.506604</v>
      </c>
      <c r="BQ145" s="641">
        <f t="shared" si="48"/>
        <v>1799624.506604</v>
      </c>
      <c r="BR145" s="641">
        <f t="shared" si="48"/>
        <v>1799624.506604</v>
      </c>
      <c r="BS145" s="641">
        <f t="shared" si="48"/>
        <v>1799624.506604</v>
      </c>
      <c r="BT145" s="641">
        <f t="shared" si="48"/>
        <v>1799624.506604</v>
      </c>
      <c r="BU145" s="641">
        <f t="shared" si="49"/>
        <v>1799624.506604</v>
      </c>
      <c r="BV145" s="641">
        <f t="shared" si="49"/>
        <v>1799624.506604</v>
      </c>
      <c r="BW145" s="641">
        <f t="shared" si="49"/>
        <v>1799624.506604</v>
      </c>
      <c r="BX145" s="641">
        <f t="shared" si="49"/>
        <v>1799624.506604</v>
      </c>
      <c r="BY145" s="641">
        <f t="shared" si="49"/>
        <v>1799624.506604</v>
      </c>
      <c r="BZ145" s="641">
        <f t="shared" si="49"/>
        <v>1799624.506604</v>
      </c>
      <c r="CA145" s="641">
        <f t="shared" si="49"/>
        <v>1799624.506604</v>
      </c>
      <c r="CB145" s="641">
        <f t="shared" si="49"/>
        <v>1799624.506604</v>
      </c>
      <c r="CC145" s="641">
        <f t="shared" si="49"/>
        <v>1799624.506604</v>
      </c>
      <c r="CD145" s="641">
        <f t="shared" si="49"/>
        <v>1799624.506604</v>
      </c>
      <c r="CE145" s="641">
        <f t="shared" si="50"/>
        <v>1799624.506604</v>
      </c>
      <c r="CF145" s="641">
        <f t="shared" si="50"/>
        <v>1799624.506604</v>
      </c>
      <c r="CG145" s="641">
        <f t="shared" si="50"/>
        <v>1799624.506604</v>
      </c>
      <c r="CH145" s="641">
        <f t="shared" si="50"/>
        <v>1799624.506604</v>
      </c>
      <c r="CI145" s="641">
        <f t="shared" si="50"/>
        <v>1799624.506604</v>
      </c>
      <c r="CJ145" s="641">
        <f t="shared" si="50"/>
        <v>1799624.506604</v>
      </c>
      <c r="CK145" s="641">
        <f t="shared" si="50"/>
        <v>1799624.506604</v>
      </c>
      <c r="CL145" s="641">
        <f t="shared" si="50"/>
        <v>1799624.506604</v>
      </c>
      <c r="CM145" s="641">
        <f t="shared" si="50"/>
        <v>1799624.506604</v>
      </c>
      <c r="CN145" s="641">
        <f t="shared" si="50"/>
        <v>1799624.506604</v>
      </c>
      <c r="CO145" s="641">
        <f t="shared" si="51"/>
        <v>1799624.506604</v>
      </c>
      <c r="CP145" s="641">
        <f t="shared" si="51"/>
        <v>1799624.506604</v>
      </c>
      <c r="CQ145" s="641">
        <f t="shared" si="51"/>
        <v>1799624.506604</v>
      </c>
      <c r="CR145" s="641">
        <f t="shared" si="51"/>
        <v>1799624.506604</v>
      </c>
      <c r="CS145" s="641">
        <f t="shared" si="51"/>
        <v>1799624.506604</v>
      </c>
      <c r="CT145" s="641">
        <f t="shared" si="51"/>
        <v>1799624.506604</v>
      </c>
      <c r="CU145" s="641">
        <f t="shared" si="51"/>
        <v>1799624.506604</v>
      </c>
      <c r="CV145" s="641">
        <f t="shared" si="51"/>
        <v>1799624.506604</v>
      </c>
      <c r="CW145" s="641">
        <f t="shared" si="51"/>
        <v>1799624.506604</v>
      </c>
      <c r="CX145" s="641">
        <f t="shared" si="51"/>
        <v>1799624.506604</v>
      </c>
      <c r="CY145" s="641">
        <f t="shared" si="52"/>
        <v>1799624.506604</v>
      </c>
      <c r="CZ145" s="641">
        <f t="shared" si="52"/>
        <v>1799624.506604</v>
      </c>
      <c r="DA145" s="641">
        <f t="shared" si="52"/>
        <v>1799624.506604</v>
      </c>
      <c r="DB145" s="641">
        <f t="shared" si="52"/>
        <v>1799624.506604</v>
      </c>
      <c r="DC145" s="641">
        <f t="shared" si="52"/>
        <v>1799624.506604</v>
      </c>
      <c r="DD145" s="641">
        <f t="shared" si="52"/>
        <v>1799624.506604</v>
      </c>
      <c r="DE145" s="641">
        <f t="shared" si="52"/>
        <v>1799624.506604</v>
      </c>
      <c r="DF145" s="641">
        <f t="shared" si="52"/>
        <v>1799624.506604</v>
      </c>
      <c r="DG145" s="641">
        <f t="shared" si="52"/>
        <v>1799624.506604</v>
      </c>
      <c r="DH145" s="641">
        <f t="shared" si="52"/>
        <v>1799624.506604</v>
      </c>
      <c r="DI145" s="641">
        <f t="shared" si="53"/>
        <v>1799624.506604</v>
      </c>
      <c r="DJ145" s="641">
        <f t="shared" si="53"/>
        <v>1799624.506604</v>
      </c>
      <c r="DK145" s="641">
        <f t="shared" si="53"/>
        <v>1799624.506604</v>
      </c>
      <c r="DL145" s="641">
        <f t="shared" si="53"/>
        <v>1799624.506604</v>
      </c>
      <c r="DM145" s="641">
        <f t="shared" si="53"/>
        <v>1799624.506604</v>
      </c>
      <c r="DN145" s="641">
        <f t="shared" si="53"/>
        <v>1799624.506604</v>
      </c>
      <c r="DO145" s="641">
        <f t="shared" si="53"/>
        <v>1799624.506604</v>
      </c>
      <c r="DP145" s="641">
        <f t="shared" si="53"/>
        <v>1799624.506604</v>
      </c>
      <c r="DQ145" s="641">
        <f t="shared" si="53"/>
        <v>1799624.506604</v>
      </c>
      <c r="DR145" s="641">
        <f t="shared" si="53"/>
        <v>1799624.506604</v>
      </c>
      <c r="DS145" s="641">
        <f t="shared" si="54"/>
        <v>1799624.506604</v>
      </c>
      <c r="DT145" s="641">
        <f t="shared" si="54"/>
        <v>1799624.506604</v>
      </c>
      <c r="DU145" s="641">
        <f t="shared" si="54"/>
        <v>1799624.506604</v>
      </c>
      <c r="DV145" s="641">
        <f t="shared" si="54"/>
        <v>1799624.506604</v>
      </c>
      <c r="DW145" s="641">
        <f t="shared" si="54"/>
        <v>1799624.506604</v>
      </c>
      <c r="DX145" s="641">
        <f t="shared" si="54"/>
        <v>1799624.506604</v>
      </c>
      <c r="DY145" s="641">
        <f t="shared" si="54"/>
        <v>1799624.506604</v>
      </c>
      <c r="DZ145" s="641">
        <f t="shared" si="54"/>
        <v>1799624.506604</v>
      </c>
      <c r="EA145" s="641">
        <f t="shared" si="54"/>
        <v>1799624.506604</v>
      </c>
      <c r="EB145" s="641">
        <f t="shared" si="54"/>
        <v>1799624.506604</v>
      </c>
      <c r="EC145" s="641">
        <f t="shared" si="54"/>
        <v>1799624.506604</v>
      </c>
    </row>
    <row r="146" spans="20:133" ht="15.5">
      <c r="T146" s="126">
        <f t="shared" si="36"/>
        <v>85</v>
      </c>
      <c r="U146" s="29">
        <f t="shared" si="43"/>
        <v>0</v>
      </c>
      <c r="V146" s="29">
        <f t="shared" si="43"/>
        <v>0</v>
      </c>
      <c r="W146" s="29">
        <f t="shared" si="43"/>
        <v>0</v>
      </c>
      <c r="X146" s="29">
        <f t="shared" si="43"/>
        <v>0</v>
      </c>
      <c r="Y146" s="29"/>
      <c r="AB146" s="5">
        <f t="shared" si="44"/>
        <v>0</v>
      </c>
      <c r="AC146" s="128">
        <v>3</v>
      </c>
      <c r="AD146" s="129">
        <f t="shared" si="55"/>
        <v>1683885.0450655383</v>
      </c>
      <c r="AE146" s="1108"/>
      <c r="AF146" s="128">
        <v>3</v>
      </c>
      <c r="AG146" s="641">
        <f t="shared" si="45"/>
        <v>2180730.045065538</v>
      </c>
      <c r="AH146" s="641">
        <f t="shared" si="45"/>
        <v>2117778.045065538</v>
      </c>
      <c r="AI146" s="641">
        <f t="shared" si="45"/>
        <v>2054826.0450655383</v>
      </c>
      <c r="AJ146" s="641">
        <f t="shared" si="45"/>
        <v>1991874.0450655383</v>
      </c>
      <c r="AK146" s="641">
        <f t="shared" si="45"/>
        <v>1928922.0450655383</v>
      </c>
      <c r="AL146" s="641">
        <f t="shared" si="45"/>
        <v>1865970.0450655383</v>
      </c>
      <c r="AM146" s="641">
        <f t="shared" si="45"/>
        <v>1804055.0450655383</v>
      </c>
      <c r="AN146" s="641">
        <f t="shared" si="45"/>
        <v>1751595.0450655383</v>
      </c>
      <c r="AO146" s="641">
        <f t="shared" si="45"/>
        <v>1699135.0450655383</v>
      </c>
      <c r="AP146" s="641">
        <f t="shared" si="45"/>
        <v>1683885.0450655383</v>
      </c>
      <c r="AQ146" s="641">
        <f t="shared" si="46"/>
        <v>1683885.0450655383</v>
      </c>
      <c r="AR146" s="641">
        <f t="shared" si="46"/>
        <v>1683885.0450655383</v>
      </c>
      <c r="AS146" s="641">
        <f t="shared" si="46"/>
        <v>1683885.0450655383</v>
      </c>
      <c r="AT146" s="641">
        <f t="shared" si="46"/>
        <v>1683885.0450655383</v>
      </c>
      <c r="AU146" s="641">
        <f t="shared" si="46"/>
        <v>1683885.0450655383</v>
      </c>
      <c r="AV146" s="641">
        <f t="shared" si="46"/>
        <v>1683885.0450655383</v>
      </c>
      <c r="AW146" s="641">
        <f t="shared" si="46"/>
        <v>1683885.0450655383</v>
      </c>
      <c r="AX146" s="641">
        <f t="shared" si="46"/>
        <v>1683885.0450655383</v>
      </c>
      <c r="AY146" s="641">
        <f t="shared" si="46"/>
        <v>1683885.0450655383</v>
      </c>
      <c r="AZ146" s="641">
        <f t="shared" si="46"/>
        <v>1683885.0450655383</v>
      </c>
      <c r="BA146" s="641">
        <f t="shared" si="47"/>
        <v>1683885.0450655383</v>
      </c>
      <c r="BB146" s="641">
        <f t="shared" si="47"/>
        <v>1683885.0450655383</v>
      </c>
      <c r="BC146" s="641">
        <f t="shared" si="47"/>
        <v>1683885.0450655383</v>
      </c>
      <c r="BD146" s="641">
        <f t="shared" si="47"/>
        <v>1683885.0450655383</v>
      </c>
      <c r="BE146" s="641">
        <f t="shared" si="47"/>
        <v>1683885.0450655383</v>
      </c>
      <c r="BF146" s="641">
        <f t="shared" si="47"/>
        <v>1683885.0450655383</v>
      </c>
      <c r="BG146" s="641">
        <f t="shared" si="47"/>
        <v>1683885.0450655383</v>
      </c>
      <c r="BH146" s="641">
        <f t="shared" si="47"/>
        <v>1683885.0450655383</v>
      </c>
      <c r="BI146" s="641">
        <f t="shared" si="47"/>
        <v>1683885.0450655383</v>
      </c>
      <c r="BJ146" s="641">
        <f t="shared" si="47"/>
        <v>1683885.0450655383</v>
      </c>
      <c r="BK146" s="641">
        <f t="shared" si="48"/>
        <v>1683885.0450655383</v>
      </c>
      <c r="BL146" s="641">
        <f t="shared" si="48"/>
        <v>1683885.0450655383</v>
      </c>
      <c r="BM146" s="641">
        <f t="shared" si="48"/>
        <v>1683885.0450655383</v>
      </c>
      <c r="BN146" s="641">
        <f t="shared" si="48"/>
        <v>1683885.0450655383</v>
      </c>
      <c r="BO146" s="641">
        <f t="shared" si="48"/>
        <v>1683885.0450655383</v>
      </c>
      <c r="BP146" s="641">
        <f t="shared" si="48"/>
        <v>1683885.0450655383</v>
      </c>
      <c r="BQ146" s="641">
        <f t="shared" si="48"/>
        <v>1683885.0450655383</v>
      </c>
      <c r="BR146" s="641">
        <f t="shared" si="48"/>
        <v>1683885.0450655383</v>
      </c>
      <c r="BS146" s="641">
        <f t="shared" si="48"/>
        <v>1683885.0450655383</v>
      </c>
      <c r="BT146" s="641">
        <f t="shared" si="48"/>
        <v>1683885.0450655383</v>
      </c>
      <c r="BU146" s="641">
        <f t="shared" si="49"/>
        <v>1683885.0450655383</v>
      </c>
      <c r="BV146" s="641">
        <f t="shared" si="49"/>
        <v>1683885.0450655383</v>
      </c>
      <c r="BW146" s="641">
        <f t="shared" si="49"/>
        <v>1683885.0450655383</v>
      </c>
      <c r="BX146" s="641">
        <f t="shared" si="49"/>
        <v>1683885.0450655383</v>
      </c>
      <c r="BY146" s="641">
        <f t="shared" si="49"/>
        <v>1683885.0450655383</v>
      </c>
      <c r="BZ146" s="641">
        <f t="shared" si="49"/>
        <v>1683885.0450655383</v>
      </c>
      <c r="CA146" s="641">
        <f t="shared" si="49"/>
        <v>1683885.0450655383</v>
      </c>
      <c r="CB146" s="641">
        <f t="shared" si="49"/>
        <v>1683885.0450655383</v>
      </c>
      <c r="CC146" s="641">
        <f t="shared" si="49"/>
        <v>1683885.0450655383</v>
      </c>
      <c r="CD146" s="641">
        <f t="shared" si="49"/>
        <v>1683885.0450655383</v>
      </c>
      <c r="CE146" s="641">
        <f t="shared" si="50"/>
        <v>1683885.0450655383</v>
      </c>
      <c r="CF146" s="641">
        <f t="shared" si="50"/>
        <v>1683885.0450655383</v>
      </c>
      <c r="CG146" s="641">
        <f t="shared" si="50"/>
        <v>1683885.0450655383</v>
      </c>
      <c r="CH146" s="641">
        <f t="shared" si="50"/>
        <v>1683885.0450655383</v>
      </c>
      <c r="CI146" s="641">
        <f t="shared" si="50"/>
        <v>1683885.0450655383</v>
      </c>
      <c r="CJ146" s="641">
        <f t="shared" si="50"/>
        <v>1683885.0450655383</v>
      </c>
      <c r="CK146" s="641">
        <f t="shared" si="50"/>
        <v>1683885.0450655383</v>
      </c>
      <c r="CL146" s="641">
        <f t="shared" si="50"/>
        <v>1683885.0450655383</v>
      </c>
      <c r="CM146" s="641">
        <f t="shared" si="50"/>
        <v>1683885.0450655383</v>
      </c>
      <c r="CN146" s="641">
        <f t="shared" si="50"/>
        <v>1683885.0450655383</v>
      </c>
      <c r="CO146" s="641">
        <f t="shared" si="51"/>
        <v>1683885.0450655383</v>
      </c>
      <c r="CP146" s="641">
        <f t="shared" si="51"/>
        <v>1683885.0450655383</v>
      </c>
      <c r="CQ146" s="641">
        <f t="shared" si="51"/>
        <v>1683885.0450655383</v>
      </c>
      <c r="CR146" s="641">
        <f t="shared" si="51"/>
        <v>1683885.0450655383</v>
      </c>
      <c r="CS146" s="641">
        <f t="shared" si="51"/>
        <v>1683885.0450655383</v>
      </c>
      <c r="CT146" s="641">
        <f t="shared" si="51"/>
        <v>1683885.0450655383</v>
      </c>
      <c r="CU146" s="641">
        <f t="shared" si="51"/>
        <v>1683885.0450655383</v>
      </c>
      <c r="CV146" s="641">
        <f t="shared" si="51"/>
        <v>1683885.0450655383</v>
      </c>
      <c r="CW146" s="641">
        <f t="shared" si="51"/>
        <v>1683885.0450655383</v>
      </c>
      <c r="CX146" s="641">
        <f t="shared" si="51"/>
        <v>1683885.0450655383</v>
      </c>
      <c r="CY146" s="641">
        <f t="shared" si="52"/>
        <v>1683885.0450655383</v>
      </c>
      <c r="CZ146" s="641">
        <f t="shared" si="52"/>
        <v>1683885.0450655383</v>
      </c>
      <c r="DA146" s="641">
        <f t="shared" si="52"/>
        <v>1683885.0450655383</v>
      </c>
      <c r="DB146" s="641">
        <f t="shared" si="52"/>
        <v>1683885.0450655383</v>
      </c>
      <c r="DC146" s="641">
        <f t="shared" si="52"/>
        <v>1683885.0450655383</v>
      </c>
      <c r="DD146" s="641">
        <f t="shared" si="52"/>
        <v>1683885.0450655383</v>
      </c>
      <c r="DE146" s="641">
        <f t="shared" si="52"/>
        <v>1683885.0450655383</v>
      </c>
      <c r="DF146" s="641">
        <f t="shared" si="52"/>
        <v>1683885.0450655383</v>
      </c>
      <c r="DG146" s="641">
        <f t="shared" si="52"/>
        <v>1683885.0450655383</v>
      </c>
      <c r="DH146" s="641">
        <f t="shared" si="52"/>
        <v>1683885.0450655383</v>
      </c>
      <c r="DI146" s="641">
        <f t="shared" si="53"/>
        <v>1683885.0450655383</v>
      </c>
      <c r="DJ146" s="641">
        <f t="shared" si="53"/>
        <v>1683885.0450655383</v>
      </c>
      <c r="DK146" s="641">
        <f t="shared" si="53"/>
        <v>1683885.0450655383</v>
      </c>
      <c r="DL146" s="641">
        <f t="shared" si="53"/>
        <v>1683885.0450655383</v>
      </c>
      <c r="DM146" s="641">
        <f t="shared" si="53"/>
        <v>1683885.0450655383</v>
      </c>
      <c r="DN146" s="641">
        <f t="shared" si="53"/>
        <v>1683885.0450655383</v>
      </c>
      <c r="DO146" s="641">
        <f t="shared" si="53"/>
        <v>1683885.0450655383</v>
      </c>
      <c r="DP146" s="641">
        <f t="shared" si="53"/>
        <v>1683885.0450655383</v>
      </c>
      <c r="DQ146" s="641">
        <f t="shared" si="53"/>
        <v>1683885.0450655383</v>
      </c>
      <c r="DR146" s="641">
        <f t="shared" si="53"/>
        <v>1683885.0450655383</v>
      </c>
      <c r="DS146" s="641">
        <f t="shared" si="54"/>
        <v>1683885.0450655383</v>
      </c>
      <c r="DT146" s="641">
        <f t="shared" si="54"/>
        <v>1683885.0450655383</v>
      </c>
      <c r="DU146" s="641">
        <f t="shared" si="54"/>
        <v>1683885.0450655383</v>
      </c>
      <c r="DV146" s="641">
        <f t="shared" si="54"/>
        <v>1683885.0450655383</v>
      </c>
      <c r="DW146" s="641">
        <f t="shared" si="54"/>
        <v>1683885.0450655383</v>
      </c>
      <c r="DX146" s="641">
        <f t="shared" si="54"/>
        <v>1683885.0450655383</v>
      </c>
      <c r="DY146" s="641">
        <f t="shared" si="54"/>
        <v>1683885.0450655383</v>
      </c>
      <c r="DZ146" s="641">
        <f t="shared" si="54"/>
        <v>1683885.0450655383</v>
      </c>
      <c r="EA146" s="641">
        <f t="shared" si="54"/>
        <v>1683885.0450655383</v>
      </c>
      <c r="EB146" s="641">
        <f t="shared" si="54"/>
        <v>1683885.0450655383</v>
      </c>
      <c r="EC146" s="641">
        <f t="shared" si="54"/>
        <v>1683885.0450655383</v>
      </c>
    </row>
    <row r="147" spans="20:133" ht="15.5">
      <c r="T147" s="126">
        <f t="shared" si="36"/>
        <v>86</v>
      </c>
      <c r="U147" s="29">
        <f t="shared" si="43"/>
        <v>0</v>
      </c>
      <c r="V147" s="29">
        <f t="shared" si="43"/>
        <v>0</v>
      </c>
      <c r="W147" s="29">
        <f t="shared" si="43"/>
        <v>0</v>
      </c>
      <c r="X147" s="29">
        <f t="shared" si="43"/>
        <v>0</v>
      </c>
      <c r="Y147" s="29"/>
      <c r="AB147" s="5">
        <f t="shared" si="44"/>
        <v>0</v>
      </c>
      <c r="AC147" s="128">
        <v>4</v>
      </c>
      <c r="AD147" s="129">
        <f t="shared" si="55"/>
        <v>1568145.5835270768</v>
      </c>
      <c r="AE147" s="1108"/>
      <c r="AF147" s="128">
        <v>4</v>
      </c>
      <c r="AG147" s="641">
        <f t="shared" si="45"/>
        <v>2064990.5835270768</v>
      </c>
      <c r="AH147" s="641">
        <f t="shared" si="45"/>
        <v>2002038.5835270768</v>
      </c>
      <c r="AI147" s="641">
        <f t="shared" si="45"/>
        <v>1939086.5835270768</v>
      </c>
      <c r="AJ147" s="641">
        <f t="shared" si="45"/>
        <v>1876134.5835270768</v>
      </c>
      <c r="AK147" s="641">
        <f t="shared" si="45"/>
        <v>1813182.5835270768</v>
      </c>
      <c r="AL147" s="641">
        <f t="shared" si="45"/>
        <v>1750230.5835270768</v>
      </c>
      <c r="AM147" s="641">
        <f t="shared" si="45"/>
        <v>1688315.5835270768</v>
      </c>
      <c r="AN147" s="641">
        <f t="shared" si="45"/>
        <v>1635855.5835270768</v>
      </c>
      <c r="AO147" s="641">
        <f t="shared" si="45"/>
        <v>1583395.5835270768</v>
      </c>
      <c r="AP147" s="641">
        <f t="shared" si="45"/>
        <v>1568145.5835270768</v>
      </c>
      <c r="AQ147" s="641">
        <f t="shared" si="46"/>
        <v>1568145.5835270768</v>
      </c>
      <c r="AR147" s="641">
        <f t="shared" si="46"/>
        <v>1568145.5835270768</v>
      </c>
      <c r="AS147" s="641">
        <f t="shared" si="46"/>
        <v>1568145.5835270768</v>
      </c>
      <c r="AT147" s="641">
        <f t="shared" si="46"/>
        <v>1568145.5835270768</v>
      </c>
      <c r="AU147" s="641">
        <f t="shared" si="46"/>
        <v>1568145.5835270768</v>
      </c>
      <c r="AV147" s="641">
        <f t="shared" si="46"/>
        <v>1568145.5835270768</v>
      </c>
      <c r="AW147" s="641">
        <f t="shared" si="46"/>
        <v>1568145.5835270768</v>
      </c>
      <c r="AX147" s="641">
        <f t="shared" si="46"/>
        <v>1568145.5835270768</v>
      </c>
      <c r="AY147" s="641">
        <f t="shared" si="46"/>
        <v>1568145.5835270768</v>
      </c>
      <c r="AZ147" s="641">
        <f t="shared" si="46"/>
        <v>1568145.5835270768</v>
      </c>
      <c r="BA147" s="641">
        <f t="shared" si="47"/>
        <v>1568145.5835270768</v>
      </c>
      <c r="BB147" s="641">
        <f t="shared" si="47"/>
        <v>1568145.5835270768</v>
      </c>
      <c r="BC147" s="641">
        <f t="shared" si="47"/>
        <v>1568145.5835270768</v>
      </c>
      <c r="BD147" s="641">
        <f t="shared" si="47"/>
        <v>1568145.5835270768</v>
      </c>
      <c r="BE147" s="641">
        <f t="shared" si="47"/>
        <v>1568145.5835270768</v>
      </c>
      <c r="BF147" s="641">
        <f t="shared" si="47"/>
        <v>1568145.5835270768</v>
      </c>
      <c r="BG147" s="641">
        <f t="shared" si="47"/>
        <v>1568145.5835270768</v>
      </c>
      <c r="BH147" s="641">
        <f t="shared" si="47"/>
        <v>1568145.5835270768</v>
      </c>
      <c r="BI147" s="641">
        <f t="shared" si="47"/>
        <v>1568145.5835270768</v>
      </c>
      <c r="BJ147" s="641">
        <f t="shared" si="47"/>
        <v>1568145.5835270768</v>
      </c>
      <c r="BK147" s="641">
        <f t="shared" si="48"/>
        <v>1568145.5835270768</v>
      </c>
      <c r="BL147" s="641">
        <f t="shared" si="48"/>
        <v>1568145.5835270768</v>
      </c>
      <c r="BM147" s="641">
        <f t="shared" si="48"/>
        <v>1568145.5835270768</v>
      </c>
      <c r="BN147" s="641">
        <f t="shared" si="48"/>
        <v>1568145.5835270768</v>
      </c>
      <c r="BO147" s="641">
        <f t="shared" si="48"/>
        <v>1568145.5835270768</v>
      </c>
      <c r="BP147" s="641">
        <f t="shared" si="48"/>
        <v>1568145.5835270768</v>
      </c>
      <c r="BQ147" s="641">
        <f t="shared" si="48"/>
        <v>1568145.5835270768</v>
      </c>
      <c r="BR147" s="641">
        <f t="shared" si="48"/>
        <v>1568145.5835270768</v>
      </c>
      <c r="BS147" s="641">
        <f t="shared" si="48"/>
        <v>1568145.5835270768</v>
      </c>
      <c r="BT147" s="641">
        <f t="shared" si="48"/>
        <v>1568145.5835270768</v>
      </c>
      <c r="BU147" s="641">
        <f t="shared" si="49"/>
        <v>1568145.5835270768</v>
      </c>
      <c r="BV147" s="641">
        <f t="shared" si="49"/>
        <v>1568145.5835270768</v>
      </c>
      <c r="BW147" s="641">
        <f t="shared" si="49"/>
        <v>1568145.5835270768</v>
      </c>
      <c r="BX147" s="641">
        <f t="shared" si="49"/>
        <v>1568145.5835270768</v>
      </c>
      <c r="BY147" s="641">
        <f t="shared" si="49"/>
        <v>1568145.5835270768</v>
      </c>
      <c r="BZ147" s="641">
        <f t="shared" si="49"/>
        <v>1568145.5835270768</v>
      </c>
      <c r="CA147" s="641">
        <f t="shared" si="49"/>
        <v>1568145.5835270768</v>
      </c>
      <c r="CB147" s="641">
        <f t="shared" si="49"/>
        <v>1568145.5835270768</v>
      </c>
      <c r="CC147" s="641">
        <f t="shared" si="49"/>
        <v>1568145.5835270768</v>
      </c>
      <c r="CD147" s="641">
        <f t="shared" si="49"/>
        <v>1568145.5835270768</v>
      </c>
      <c r="CE147" s="641">
        <f t="shared" si="50"/>
        <v>1568145.5835270768</v>
      </c>
      <c r="CF147" s="641">
        <f t="shared" si="50"/>
        <v>1568145.5835270768</v>
      </c>
      <c r="CG147" s="641">
        <f t="shared" si="50"/>
        <v>1568145.5835270768</v>
      </c>
      <c r="CH147" s="641">
        <f t="shared" si="50"/>
        <v>1568145.5835270768</v>
      </c>
      <c r="CI147" s="641">
        <f t="shared" si="50"/>
        <v>1568145.5835270768</v>
      </c>
      <c r="CJ147" s="641">
        <f t="shared" si="50"/>
        <v>1568145.5835270768</v>
      </c>
      <c r="CK147" s="641">
        <f t="shared" si="50"/>
        <v>1568145.5835270768</v>
      </c>
      <c r="CL147" s="641">
        <f t="shared" si="50"/>
        <v>1568145.5835270768</v>
      </c>
      <c r="CM147" s="641">
        <f t="shared" si="50"/>
        <v>1568145.5835270768</v>
      </c>
      <c r="CN147" s="641">
        <f t="shared" si="50"/>
        <v>1568145.5835270768</v>
      </c>
      <c r="CO147" s="641">
        <f t="shared" si="51"/>
        <v>1568145.5835270768</v>
      </c>
      <c r="CP147" s="641">
        <f t="shared" si="51"/>
        <v>1568145.5835270768</v>
      </c>
      <c r="CQ147" s="641">
        <f t="shared" si="51"/>
        <v>1568145.5835270768</v>
      </c>
      <c r="CR147" s="641">
        <f t="shared" si="51"/>
        <v>1568145.5835270768</v>
      </c>
      <c r="CS147" s="641">
        <f t="shared" si="51"/>
        <v>1568145.5835270768</v>
      </c>
      <c r="CT147" s="641">
        <f t="shared" si="51"/>
        <v>1568145.5835270768</v>
      </c>
      <c r="CU147" s="641">
        <f t="shared" si="51"/>
        <v>1568145.5835270768</v>
      </c>
      <c r="CV147" s="641">
        <f t="shared" si="51"/>
        <v>1568145.5835270768</v>
      </c>
      <c r="CW147" s="641">
        <f t="shared" si="51"/>
        <v>1568145.5835270768</v>
      </c>
      <c r="CX147" s="641">
        <f t="shared" si="51"/>
        <v>1568145.5835270768</v>
      </c>
      <c r="CY147" s="641">
        <f t="shared" si="52"/>
        <v>1568145.5835270768</v>
      </c>
      <c r="CZ147" s="641">
        <f t="shared" si="52"/>
        <v>1568145.5835270768</v>
      </c>
      <c r="DA147" s="641">
        <f t="shared" si="52"/>
        <v>1568145.5835270768</v>
      </c>
      <c r="DB147" s="641">
        <f t="shared" si="52"/>
        <v>1568145.5835270768</v>
      </c>
      <c r="DC147" s="641">
        <f t="shared" si="52"/>
        <v>1568145.5835270768</v>
      </c>
      <c r="DD147" s="641">
        <f t="shared" si="52"/>
        <v>1568145.5835270768</v>
      </c>
      <c r="DE147" s="641">
        <f t="shared" si="52"/>
        <v>1568145.5835270768</v>
      </c>
      <c r="DF147" s="641">
        <f t="shared" si="52"/>
        <v>1568145.5835270768</v>
      </c>
      <c r="DG147" s="641">
        <f t="shared" si="52"/>
        <v>1568145.5835270768</v>
      </c>
      <c r="DH147" s="641">
        <f t="shared" si="52"/>
        <v>1568145.5835270768</v>
      </c>
      <c r="DI147" s="641">
        <f t="shared" si="53"/>
        <v>1568145.5835270768</v>
      </c>
      <c r="DJ147" s="641">
        <f t="shared" si="53"/>
        <v>1568145.5835270768</v>
      </c>
      <c r="DK147" s="641">
        <f t="shared" si="53"/>
        <v>1568145.5835270768</v>
      </c>
      <c r="DL147" s="641">
        <f t="shared" si="53"/>
        <v>1568145.5835270768</v>
      </c>
      <c r="DM147" s="641">
        <f t="shared" si="53"/>
        <v>1568145.5835270768</v>
      </c>
      <c r="DN147" s="641">
        <f t="shared" si="53"/>
        <v>1568145.5835270768</v>
      </c>
      <c r="DO147" s="641">
        <f t="shared" si="53"/>
        <v>1568145.5835270768</v>
      </c>
      <c r="DP147" s="641">
        <f t="shared" si="53"/>
        <v>1568145.5835270768</v>
      </c>
      <c r="DQ147" s="641">
        <f t="shared" si="53"/>
        <v>1568145.5835270768</v>
      </c>
      <c r="DR147" s="641">
        <f t="shared" si="53"/>
        <v>1568145.5835270768</v>
      </c>
      <c r="DS147" s="641">
        <f t="shared" si="54"/>
        <v>1568145.5835270768</v>
      </c>
      <c r="DT147" s="641">
        <f t="shared" si="54"/>
        <v>1568145.5835270768</v>
      </c>
      <c r="DU147" s="641">
        <f t="shared" si="54"/>
        <v>1568145.5835270768</v>
      </c>
      <c r="DV147" s="641">
        <f t="shared" si="54"/>
        <v>1568145.5835270768</v>
      </c>
      <c r="DW147" s="641">
        <f t="shared" si="54"/>
        <v>1568145.5835270768</v>
      </c>
      <c r="DX147" s="641">
        <f t="shared" si="54"/>
        <v>1568145.5835270768</v>
      </c>
      <c r="DY147" s="641">
        <f t="shared" si="54"/>
        <v>1568145.5835270768</v>
      </c>
      <c r="DZ147" s="641">
        <f t="shared" si="54"/>
        <v>1568145.5835270768</v>
      </c>
      <c r="EA147" s="641">
        <f t="shared" si="54"/>
        <v>1568145.5835270768</v>
      </c>
      <c r="EB147" s="641">
        <f t="shared" si="54"/>
        <v>1568145.5835270768</v>
      </c>
      <c r="EC147" s="641">
        <f t="shared" si="54"/>
        <v>1568145.5835270768</v>
      </c>
    </row>
    <row r="148" spans="20:133" ht="15.5">
      <c r="T148" s="126">
        <f t="shared" si="36"/>
        <v>87</v>
      </c>
      <c r="U148" s="29">
        <f t="shared" si="43"/>
        <v>0</v>
      </c>
      <c r="V148" s="29">
        <f t="shared" si="43"/>
        <v>0</v>
      </c>
      <c r="W148" s="29">
        <f t="shared" si="43"/>
        <v>0</v>
      </c>
      <c r="X148" s="29">
        <f t="shared" si="43"/>
        <v>0</v>
      </c>
      <c r="Y148" s="29"/>
      <c r="AB148" s="5">
        <f t="shared" si="44"/>
        <v>0</v>
      </c>
      <c r="AC148" s="128">
        <v>5</v>
      </c>
      <c r="AD148" s="129">
        <f t="shared" si="55"/>
        <v>1452406.1219886153</v>
      </c>
      <c r="AE148" s="1108"/>
      <c r="AF148" s="128">
        <v>5</v>
      </c>
      <c r="AG148" s="641">
        <f t="shared" si="45"/>
        <v>1949251.1219886153</v>
      </c>
      <c r="AH148" s="641">
        <f t="shared" si="45"/>
        <v>1886299.1219886153</v>
      </c>
      <c r="AI148" s="641">
        <f t="shared" si="45"/>
        <v>1823347.1219886153</v>
      </c>
      <c r="AJ148" s="641">
        <f t="shared" si="45"/>
        <v>1760395.1219886153</v>
      </c>
      <c r="AK148" s="641">
        <f t="shared" si="45"/>
        <v>1697443.1219886153</v>
      </c>
      <c r="AL148" s="641">
        <f t="shared" si="45"/>
        <v>1634491.1219886153</v>
      </c>
      <c r="AM148" s="641">
        <f t="shared" si="45"/>
        <v>1572576.1219886153</v>
      </c>
      <c r="AN148" s="641">
        <f t="shared" si="45"/>
        <v>1520116.1219886153</v>
      </c>
      <c r="AO148" s="641">
        <f t="shared" si="45"/>
        <v>1467656.1219886153</v>
      </c>
      <c r="AP148" s="641">
        <f t="shared" si="45"/>
        <v>1452406.1219886153</v>
      </c>
      <c r="AQ148" s="641">
        <f t="shared" si="46"/>
        <v>1452406.1219886153</v>
      </c>
      <c r="AR148" s="641">
        <f t="shared" si="46"/>
        <v>1452406.1219886153</v>
      </c>
      <c r="AS148" s="641">
        <f t="shared" si="46"/>
        <v>1452406.1219886153</v>
      </c>
      <c r="AT148" s="641">
        <f t="shared" si="46"/>
        <v>1452406.1219886153</v>
      </c>
      <c r="AU148" s="641">
        <f t="shared" si="46"/>
        <v>1452406.1219886153</v>
      </c>
      <c r="AV148" s="641">
        <f t="shared" si="46"/>
        <v>1452406.1219886153</v>
      </c>
      <c r="AW148" s="641">
        <f t="shared" si="46"/>
        <v>1452406.1219886153</v>
      </c>
      <c r="AX148" s="641">
        <f t="shared" si="46"/>
        <v>1452406.1219886153</v>
      </c>
      <c r="AY148" s="641">
        <f t="shared" si="46"/>
        <v>1452406.1219886153</v>
      </c>
      <c r="AZ148" s="641">
        <f t="shared" si="46"/>
        <v>1452406.1219886153</v>
      </c>
      <c r="BA148" s="641">
        <f t="shared" si="47"/>
        <v>1452406.1219886153</v>
      </c>
      <c r="BB148" s="641">
        <f t="shared" si="47"/>
        <v>1452406.1219886153</v>
      </c>
      <c r="BC148" s="641">
        <f t="shared" si="47"/>
        <v>1452406.1219886153</v>
      </c>
      <c r="BD148" s="641">
        <f t="shared" si="47"/>
        <v>1452406.1219886153</v>
      </c>
      <c r="BE148" s="641">
        <f t="shared" si="47"/>
        <v>1452406.1219886153</v>
      </c>
      <c r="BF148" s="641">
        <f t="shared" si="47"/>
        <v>1452406.1219886153</v>
      </c>
      <c r="BG148" s="641">
        <f t="shared" si="47"/>
        <v>1452406.1219886153</v>
      </c>
      <c r="BH148" s="641">
        <f t="shared" si="47"/>
        <v>1452406.1219886153</v>
      </c>
      <c r="BI148" s="641">
        <f t="shared" si="47"/>
        <v>1452406.1219886153</v>
      </c>
      <c r="BJ148" s="641">
        <f t="shared" si="47"/>
        <v>1452406.1219886153</v>
      </c>
      <c r="BK148" s="641">
        <f t="shared" si="48"/>
        <v>1452406.1219886153</v>
      </c>
      <c r="BL148" s="641">
        <f t="shared" si="48"/>
        <v>1452406.1219886153</v>
      </c>
      <c r="BM148" s="641">
        <f t="shared" si="48"/>
        <v>1452406.1219886153</v>
      </c>
      <c r="BN148" s="641">
        <f t="shared" si="48"/>
        <v>1452406.1219886153</v>
      </c>
      <c r="BO148" s="641">
        <f t="shared" si="48"/>
        <v>1452406.1219886153</v>
      </c>
      <c r="BP148" s="641">
        <f t="shared" si="48"/>
        <v>1452406.1219886153</v>
      </c>
      <c r="BQ148" s="641">
        <f t="shared" si="48"/>
        <v>1452406.1219886153</v>
      </c>
      <c r="BR148" s="641">
        <f t="shared" si="48"/>
        <v>1452406.1219886153</v>
      </c>
      <c r="BS148" s="641">
        <f t="shared" si="48"/>
        <v>1452406.1219886153</v>
      </c>
      <c r="BT148" s="641">
        <f t="shared" si="48"/>
        <v>1452406.1219886153</v>
      </c>
      <c r="BU148" s="641">
        <f t="shared" si="49"/>
        <v>1452406.1219886153</v>
      </c>
      <c r="BV148" s="641">
        <f t="shared" si="49"/>
        <v>1452406.1219886153</v>
      </c>
      <c r="BW148" s="641">
        <f t="shared" si="49"/>
        <v>1452406.1219886153</v>
      </c>
      <c r="BX148" s="641">
        <f t="shared" si="49"/>
        <v>1452406.1219886153</v>
      </c>
      <c r="BY148" s="641">
        <f t="shared" si="49"/>
        <v>1452406.1219886153</v>
      </c>
      <c r="BZ148" s="641">
        <f t="shared" si="49"/>
        <v>1452406.1219886153</v>
      </c>
      <c r="CA148" s="641">
        <f t="shared" si="49"/>
        <v>1452406.1219886153</v>
      </c>
      <c r="CB148" s="641">
        <f t="shared" si="49"/>
        <v>1452406.1219886153</v>
      </c>
      <c r="CC148" s="641">
        <f t="shared" si="49"/>
        <v>1452406.1219886153</v>
      </c>
      <c r="CD148" s="641">
        <f t="shared" si="49"/>
        <v>1452406.1219886153</v>
      </c>
      <c r="CE148" s="641">
        <f t="shared" si="50"/>
        <v>1452406.1219886153</v>
      </c>
      <c r="CF148" s="641">
        <f t="shared" si="50"/>
        <v>1452406.1219886153</v>
      </c>
      <c r="CG148" s="641">
        <f t="shared" si="50"/>
        <v>1452406.1219886153</v>
      </c>
      <c r="CH148" s="641">
        <f t="shared" si="50"/>
        <v>1452406.1219886153</v>
      </c>
      <c r="CI148" s="641">
        <f t="shared" si="50"/>
        <v>1452406.1219886153</v>
      </c>
      <c r="CJ148" s="641">
        <f t="shared" si="50"/>
        <v>1452406.1219886153</v>
      </c>
      <c r="CK148" s="641">
        <f t="shared" si="50"/>
        <v>1452406.1219886153</v>
      </c>
      <c r="CL148" s="641">
        <f t="shared" si="50"/>
        <v>1452406.1219886153</v>
      </c>
      <c r="CM148" s="641">
        <f t="shared" si="50"/>
        <v>1452406.1219886153</v>
      </c>
      <c r="CN148" s="641">
        <f t="shared" si="50"/>
        <v>1452406.1219886153</v>
      </c>
      <c r="CO148" s="641">
        <f t="shared" si="51"/>
        <v>1452406.1219886153</v>
      </c>
      <c r="CP148" s="641">
        <f t="shared" si="51"/>
        <v>1452406.1219886153</v>
      </c>
      <c r="CQ148" s="641">
        <f t="shared" si="51"/>
        <v>1452406.1219886153</v>
      </c>
      <c r="CR148" s="641">
        <f t="shared" si="51"/>
        <v>1452406.1219886153</v>
      </c>
      <c r="CS148" s="641">
        <f t="shared" si="51"/>
        <v>1452406.1219886153</v>
      </c>
      <c r="CT148" s="641">
        <f t="shared" si="51"/>
        <v>1452406.1219886153</v>
      </c>
      <c r="CU148" s="641">
        <f t="shared" si="51"/>
        <v>1452406.1219886153</v>
      </c>
      <c r="CV148" s="641">
        <f t="shared" si="51"/>
        <v>1452406.1219886153</v>
      </c>
      <c r="CW148" s="641">
        <f t="shared" si="51"/>
        <v>1452406.1219886153</v>
      </c>
      <c r="CX148" s="641">
        <f t="shared" si="51"/>
        <v>1452406.1219886153</v>
      </c>
      <c r="CY148" s="641">
        <f t="shared" si="52"/>
        <v>1452406.1219886153</v>
      </c>
      <c r="CZ148" s="641">
        <f t="shared" si="52"/>
        <v>1452406.1219886153</v>
      </c>
      <c r="DA148" s="641">
        <f t="shared" si="52"/>
        <v>1452406.1219886153</v>
      </c>
      <c r="DB148" s="641">
        <f t="shared" si="52"/>
        <v>1452406.1219886153</v>
      </c>
      <c r="DC148" s="641">
        <f t="shared" si="52"/>
        <v>1452406.1219886153</v>
      </c>
      <c r="DD148" s="641">
        <f t="shared" si="52"/>
        <v>1452406.1219886153</v>
      </c>
      <c r="DE148" s="641">
        <f t="shared" si="52"/>
        <v>1452406.1219886153</v>
      </c>
      <c r="DF148" s="641">
        <f t="shared" si="52"/>
        <v>1452406.1219886153</v>
      </c>
      <c r="DG148" s="641">
        <f t="shared" si="52"/>
        <v>1452406.1219886153</v>
      </c>
      <c r="DH148" s="641">
        <f t="shared" si="52"/>
        <v>1452406.1219886153</v>
      </c>
      <c r="DI148" s="641">
        <f t="shared" si="53"/>
        <v>1452406.1219886153</v>
      </c>
      <c r="DJ148" s="641">
        <f t="shared" si="53"/>
        <v>1452406.1219886153</v>
      </c>
      <c r="DK148" s="641">
        <f t="shared" si="53"/>
        <v>1452406.1219886153</v>
      </c>
      <c r="DL148" s="641">
        <f t="shared" si="53"/>
        <v>1452406.1219886153</v>
      </c>
      <c r="DM148" s="641">
        <f t="shared" si="53"/>
        <v>1452406.1219886153</v>
      </c>
      <c r="DN148" s="641">
        <f t="shared" si="53"/>
        <v>1452406.1219886153</v>
      </c>
      <c r="DO148" s="641">
        <f t="shared" si="53"/>
        <v>1452406.1219886153</v>
      </c>
      <c r="DP148" s="641">
        <f t="shared" si="53"/>
        <v>1452406.1219886153</v>
      </c>
      <c r="DQ148" s="641">
        <f t="shared" si="53"/>
        <v>1452406.1219886153</v>
      </c>
      <c r="DR148" s="641">
        <f t="shared" si="53"/>
        <v>1452406.1219886153</v>
      </c>
      <c r="DS148" s="641">
        <f t="shared" si="54"/>
        <v>1452406.1219886153</v>
      </c>
      <c r="DT148" s="641">
        <f t="shared" si="54"/>
        <v>1452406.1219886153</v>
      </c>
      <c r="DU148" s="641">
        <f t="shared" si="54"/>
        <v>1452406.1219886153</v>
      </c>
      <c r="DV148" s="641">
        <f t="shared" si="54"/>
        <v>1452406.1219886153</v>
      </c>
      <c r="DW148" s="641">
        <f t="shared" si="54"/>
        <v>1452406.1219886153</v>
      </c>
      <c r="DX148" s="641">
        <f t="shared" si="54"/>
        <v>1452406.1219886153</v>
      </c>
      <c r="DY148" s="641">
        <f t="shared" si="54"/>
        <v>1452406.1219886153</v>
      </c>
      <c r="DZ148" s="641">
        <f t="shared" si="54"/>
        <v>1452406.1219886153</v>
      </c>
      <c r="EA148" s="641">
        <f t="shared" si="54"/>
        <v>1452406.1219886153</v>
      </c>
      <c r="EB148" s="641">
        <f t="shared" si="54"/>
        <v>1452406.1219886153</v>
      </c>
      <c r="EC148" s="641">
        <f t="shared" si="54"/>
        <v>1452406.1219886153</v>
      </c>
    </row>
    <row r="149" spans="20:133" ht="15.5">
      <c r="T149" s="126">
        <f t="shared" si="36"/>
        <v>88</v>
      </c>
      <c r="U149" s="29">
        <f t="shared" si="43"/>
        <v>0</v>
      </c>
      <c r="V149" s="29">
        <f t="shared" si="43"/>
        <v>0</v>
      </c>
      <c r="W149" s="29">
        <f t="shared" si="43"/>
        <v>0</v>
      </c>
      <c r="X149" s="29">
        <f t="shared" si="43"/>
        <v>0</v>
      </c>
      <c r="Y149" s="29"/>
      <c r="AB149" s="5">
        <f t="shared" si="44"/>
        <v>0</v>
      </c>
      <c r="AC149" s="128">
        <v>6</v>
      </c>
      <c r="AD149" s="129">
        <f t="shared" si="55"/>
        <v>1336666.6604501538</v>
      </c>
      <c r="AE149" s="1108"/>
      <c r="AF149" s="128">
        <v>6</v>
      </c>
      <c r="AG149" s="641">
        <f t="shared" si="45"/>
        <v>1833511.6604501538</v>
      </c>
      <c r="AH149" s="641">
        <f t="shared" si="45"/>
        <v>1770559.6604501538</v>
      </c>
      <c r="AI149" s="641">
        <f t="shared" si="45"/>
        <v>1707607.6604501538</v>
      </c>
      <c r="AJ149" s="641">
        <f t="shared" si="45"/>
        <v>1644655.6604501538</v>
      </c>
      <c r="AK149" s="641">
        <f t="shared" si="45"/>
        <v>1581703.6604501538</v>
      </c>
      <c r="AL149" s="641">
        <f t="shared" si="45"/>
        <v>1518751.6604501538</v>
      </c>
      <c r="AM149" s="641">
        <f t="shared" si="45"/>
        <v>1456836.6604501538</v>
      </c>
      <c r="AN149" s="641">
        <f t="shared" si="45"/>
        <v>1404376.6604501538</v>
      </c>
      <c r="AO149" s="641">
        <f t="shared" si="45"/>
        <v>1351916.6604501538</v>
      </c>
      <c r="AP149" s="641">
        <f t="shared" si="45"/>
        <v>1336666.6604501538</v>
      </c>
      <c r="AQ149" s="641">
        <f t="shared" si="46"/>
        <v>1336666.6604501538</v>
      </c>
      <c r="AR149" s="641">
        <f t="shared" si="46"/>
        <v>1336666.6604501538</v>
      </c>
      <c r="AS149" s="641">
        <f t="shared" si="46"/>
        <v>1336666.6604501538</v>
      </c>
      <c r="AT149" s="641">
        <f t="shared" si="46"/>
        <v>1336666.6604501538</v>
      </c>
      <c r="AU149" s="641">
        <f t="shared" si="46"/>
        <v>1336666.6604501538</v>
      </c>
      <c r="AV149" s="641">
        <f t="shared" si="46"/>
        <v>1336666.6604501538</v>
      </c>
      <c r="AW149" s="641">
        <f t="shared" si="46"/>
        <v>1336666.6604501538</v>
      </c>
      <c r="AX149" s="641">
        <f t="shared" si="46"/>
        <v>1336666.6604501538</v>
      </c>
      <c r="AY149" s="641">
        <f t="shared" si="46"/>
        <v>1336666.6604501538</v>
      </c>
      <c r="AZ149" s="641">
        <f t="shared" si="46"/>
        <v>1336666.6604501538</v>
      </c>
      <c r="BA149" s="641">
        <f t="shared" si="47"/>
        <v>1336666.6604501538</v>
      </c>
      <c r="BB149" s="641">
        <f t="shared" si="47"/>
        <v>1336666.6604501538</v>
      </c>
      <c r="BC149" s="641">
        <f t="shared" si="47"/>
        <v>1336666.6604501538</v>
      </c>
      <c r="BD149" s="641">
        <f t="shared" si="47"/>
        <v>1336666.6604501538</v>
      </c>
      <c r="BE149" s="641">
        <f t="shared" si="47"/>
        <v>1336666.6604501538</v>
      </c>
      <c r="BF149" s="641">
        <f t="shared" si="47"/>
        <v>1336666.6604501538</v>
      </c>
      <c r="BG149" s="641">
        <f t="shared" si="47"/>
        <v>1336666.6604501538</v>
      </c>
      <c r="BH149" s="641">
        <f t="shared" si="47"/>
        <v>1336666.6604501538</v>
      </c>
      <c r="BI149" s="641">
        <f t="shared" si="47"/>
        <v>1336666.6604501538</v>
      </c>
      <c r="BJ149" s="641">
        <f t="shared" si="47"/>
        <v>1336666.6604501538</v>
      </c>
      <c r="BK149" s="641">
        <f t="shared" si="48"/>
        <v>1336666.6604501538</v>
      </c>
      <c r="BL149" s="641">
        <f t="shared" si="48"/>
        <v>1336666.6604501538</v>
      </c>
      <c r="BM149" s="641">
        <f t="shared" si="48"/>
        <v>1336666.6604501538</v>
      </c>
      <c r="BN149" s="641">
        <f t="shared" si="48"/>
        <v>1336666.6604501538</v>
      </c>
      <c r="BO149" s="641">
        <f t="shared" si="48"/>
        <v>1336666.6604501538</v>
      </c>
      <c r="BP149" s="641">
        <f t="shared" si="48"/>
        <v>1336666.6604501538</v>
      </c>
      <c r="BQ149" s="641">
        <f t="shared" si="48"/>
        <v>1336666.6604501538</v>
      </c>
      <c r="BR149" s="641">
        <f t="shared" si="48"/>
        <v>1336666.6604501538</v>
      </c>
      <c r="BS149" s="641">
        <f t="shared" si="48"/>
        <v>1336666.6604501538</v>
      </c>
      <c r="BT149" s="641">
        <f t="shared" si="48"/>
        <v>1336666.6604501538</v>
      </c>
      <c r="BU149" s="641">
        <f t="shared" si="49"/>
        <v>1336666.6604501538</v>
      </c>
      <c r="BV149" s="641">
        <f t="shared" si="49"/>
        <v>1336666.6604501538</v>
      </c>
      <c r="BW149" s="641">
        <f t="shared" si="49"/>
        <v>1336666.6604501538</v>
      </c>
      <c r="BX149" s="641">
        <f t="shared" si="49"/>
        <v>1336666.6604501538</v>
      </c>
      <c r="BY149" s="641">
        <f t="shared" si="49"/>
        <v>1336666.6604501538</v>
      </c>
      <c r="BZ149" s="641">
        <f t="shared" si="49"/>
        <v>1336666.6604501538</v>
      </c>
      <c r="CA149" s="641">
        <f t="shared" si="49"/>
        <v>1336666.6604501538</v>
      </c>
      <c r="CB149" s="641">
        <f t="shared" si="49"/>
        <v>1336666.6604501538</v>
      </c>
      <c r="CC149" s="641">
        <f t="shared" si="49"/>
        <v>1336666.6604501538</v>
      </c>
      <c r="CD149" s="641">
        <f t="shared" si="49"/>
        <v>1336666.6604501538</v>
      </c>
      <c r="CE149" s="641">
        <f t="shared" si="50"/>
        <v>1336666.6604501538</v>
      </c>
      <c r="CF149" s="641">
        <f t="shared" si="50"/>
        <v>1336666.6604501538</v>
      </c>
      <c r="CG149" s="641">
        <f t="shared" si="50"/>
        <v>1336666.6604501538</v>
      </c>
      <c r="CH149" s="641">
        <f t="shared" si="50"/>
        <v>1336666.6604501538</v>
      </c>
      <c r="CI149" s="641">
        <f t="shared" si="50"/>
        <v>1336666.6604501538</v>
      </c>
      <c r="CJ149" s="641">
        <f t="shared" si="50"/>
        <v>1336666.6604501538</v>
      </c>
      <c r="CK149" s="641">
        <f t="shared" si="50"/>
        <v>1336666.6604501538</v>
      </c>
      <c r="CL149" s="641">
        <f t="shared" si="50"/>
        <v>1336666.6604501538</v>
      </c>
      <c r="CM149" s="641">
        <f t="shared" si="50"/>
        <v>1336666.6604501538</v>
      </c>
      <c r="CN149" s="641">
        <f t="shared" si="50"/>
        <v>1336666.6604501538</v>
      </c>
      <c r="CO149" s="641">
        <f t="shared" si="51"/>
        <v>1336666.6604501538</v>
      </c>
      <c r="CP149" s="641">
        <f t="shared" si="51"/>
        <v>1336666.6604501538</v>
      </c>
      <c r="CQ149" s="641">
        <f t="shared" si="51"/>
        <v>1336666.6604501538</v>
      </c>
      <c r="CR149" s="641">
        <f t="shared" si="51"/>
        <v>1336666.6604501538</v>
      </c>
      <c r="CS149" s="641">
        <f t="shared" si="51"/>
        <v>1336666.6604501538</v>
      </c>
      <c r="CT149" s="641">
        <f t="shared" si="51"/>
        <v>1336666.6604501538</v>
      </c>
      <c r="CU149" s="641">
        <f t="shared" si="51"/>
        <v>1336666.6604501538</v>
      </c>
      <c r="CV149" s="641">
        <f t="shared" si="51"/>
        <v>1336666.6604501538</v>
      </c>
      <c r="CW149" s="641">
        <f t="shared" si="51"/>
        <v>1336666.6604501538</v>
      </c>
      <c r="CX149" s="641">
        <f t="shared" si="51"/>
        <v>1336666.6604501538</v>
      </c>
      <c r="CY149" s="641">
        <f t="shared" si="52"/>
        <v>1336666.6604501538</v>
      </c>
      <c r="CZ149" s="641">
        <f t="shared" si="52"/>
        <v>1336666.6604501538</v>
      </c>
      <c r="DA149" s="641">
        <f t="shared" si="52"/>
        <v>1336666.6604501538</v>
      </c>
      <c r="DB149" s="641">
        <f t="shared" si="52"/>
        <v>1336666.6604501538</v>
      </c>
      <c r="DC149" s="641">
        <f t="shared" si="52"/>
        <v>1336666.6604501538</v>
      </c>
      <c r="DD149" s="641">
        <f t="shared" si="52"/>
        <v>1336666.6604501538</v>
      </c>
      <c r="DE149" s="641">
        <f t="shared" si="52"/>
        <v>1336666.6604501538</v>
      </c>
      <c r="DF149" s="641">
        <f t="shared" si="52"/>
        <v>1336666.6604501538</v>
      </c>
      <c r="DG149" s="641">
        <f t="shared" si="52"/>
        <v>1336666.6604501538</v>
      </c>
      <c r="DH149" s="641">
        <f t="shared" si="52"/>
        <v>1336666.6604501538</v>
      </c>
      <c r="DI149" s="641">
        <f t="shared" si="53"/>
        <v>1336666.6604501538</v>
      </c>
      <c r="DJ149" s="641">
        <f t="shared" si="53"/>
        <v>1336666.6604501538</v>
      </c>
      <c r="DK149" s="641">
        <f t="shared" si="53"/>
        <v>1336666.6604501538</v>
      </c>
      <c r="DL149" s="641">
        <f t="shared" si="53"/>
        <v>1336666.6604501538</v>
      </c>
      <c r="DM149" s="641">
        <f t="shared" si="53"/>
        <v>1336666.6604501538</v>
      </c>
      <c r="DN149" s="641">
        <f t="shared" si="53"/>
        <v>1336666.6604501538</v>
      </c>
      <c r="DO149" s="641">
        <f t="shared" si="53"/>
        <v>1336666.6604501538</v>
      </c>
      <c r="DP149" s="641">
        <f t="shared" si="53"/>
        <v>1336666.6604501538</v>
      </c>
      <c r="DQ149" s="641">
        <f t="shared" si="53"/>
        <v>1336666.6604501538</v>
      </c>
      <c r="DR149" s="641">
        <f t="shared" si="53"/>
        <v>1336666.6604501538</v>
      </c>
      <c r="DS149" s="641">
        <f t="shared" si="54"/>
        <v>1336666.6604501538</v>
      </c>
      <c r="DT149" s="641">
        <f t="shared" si="54"/>
        <v>1336666.6604501538</v>
      </c>
      <c r="DU149" s="641">
        <f t="shared" si="54"/>
        <v>1336666.6604501538</v>
      </c>
      <c r="DV149" s="641">
        <f t="shared" si="54"/>
        <v>1336666.6604501538</v>
      </c>
      <c r="DW149" s="641">
        <f t="shared" si="54"/>
        <v>1336666.6604501538</v>
      </c>
      <c r="DX149" s="641">
        <f t="shared" si="54"/>
        <v>1336666.6604501538</v>
      </c>
      <c r="DY149" s="641">
        <f t="shared" si="54"/>
        <v>1336666.6604501538</v>
      </c>
      <c r="DZ149" s="641">
        <f t="shared" si="54"/>
        <v>1336666.6604501538</v>
      </c>
      <c r="EA149" s="641">
        <f t="shared" si="54"/>
        <v>1336666.6604501538</v>
      </c>
      <c r="EB149" s="641">
        <f t="shared" si="54"/>
        <v>1336666.6604501538</v>
      </c>
      <c r="EC149" s="641">
        <f t="shared" si="54"/>
        <v>1336666.6604501538</v>
      </c>
    </row>
    <row r="150" spans="20:133" ht="15.5">
      <c r="T150" s="126">
        <f t="shared" si="36"/>
        <v>89</v>
      </c>
      <c r="U150" s="29">
        <f t="shared" si="43"/>
        <v>0</v>
      </c>
      <c r="V150" s="29">
        <f t="shared" si="43"/>
        <v>0</v>
      </c>
      <c r="W150" s="29">
        <f t="shared" si="43"/>
        <v>0</v>
      </c>
      <c r="X150" s="29">
        <f t="shared" si="43"/>
        <v>0</v>
      </c>
      <c r="Y150" s="29"/>
      <c r="AB150" s="5">
        <f t="shared" si="44"/>
        <v>0</v>
      </c>
      <c r="AC150" s="128">
        <v>7</v>
      </c>
      <c r="AD150" s="129">
        <f t="shared" si="55"/>
        <v>1220927.1989116922</v>
      </c>
      <c r="AE150" s="1108"/>
      <c r="AF150" s="128">
        <v>7</v>
      </c>
      <c r="AG150" s="641">
        <f t="shared" si="45"/>
        <v>1717772.1989116922</v>
      </c>
      <c r="AH150" s="641">
        <f t="shared" si="45"/>
        <v>1654820.1989116922</v>
      </c>
      <c r="AI150" s="641">
        <f t="shared" si="45"/>
        <v>1591868.1989116922</v>
      </c>
      <c r="AJ150" s="641">
        <f t="shared" si="45"/>
        <v>1528916.1989116922</v>
      </c>
      <c r="AK150" s="641">
        <f t="shared" si="45"/>
        <v>1465964.1989116922</v>
      </c>
      <c r="AL150" s="641">
        <f t="shared" si="45"/>
        <v>1403012.1989116922</v>
      </c>
      <c r="AM150" s="641">
        <f t="shared" si="45"/>
        <v>1341097.1989116922</v>
      </c>
      <c r="AN150" s="641">
        <f t="shared" si="45"/>
        <v>1288637.1989116922</v>
      </c>
      <c r="AO150" s="641">
        <f t="shared" si="45"/>
        <v>1236177.1989116922</v>
      </c>
      <c r="AP150" s="641">
        <f t="shared" si="45"/>
        <v>1220927.1989116922</v>
      </c>
      <c r="AQ150" s="641">
        <f t="shared" si="46"/>
        <v>1220927.1989116922</v>
      </c>
      <c r="AR150" s="641">
        <f t="shared" si="46"/>
        <v>1220927.1989116922</v>
      </c>
      <c r="AS150" s="641">
        <f t="shared" si="46"/>
        <v>1220927.1989116922</v>
      </c>
      <c r="AT150" s="641">
        <f t="shared" si="46"/>
        <v>1220927.1989116922</v>
      </c>
      <c r="AU150" s="641">
        <f t="shared" si="46"/>
        <v>1220927.1989116922</v>
      </c>
      <c r="AV150" s="641">
        <f t="shared" si="46"/>
        <v>1220927.1989116922</v>
      </c>
      <c r="AW150" s="641">
        <f t="shared" si="46"/>
        <v>1220927.1989116922</v>
      </c>
      <c r="AX150" s="641">
        <f t="shared" si="46"/>
        <v>1220927.1989116922</v>
      </c>
      <c r="AY150" s="641">
        <f t="shared" si="46"/>
        <v>1220927.1989116922</v>
      </c>
      <c r="AZ150" s="641">
        <f t="shared" si="46"/>
        <v>1220927.1989116922</v>
      </c>
      <c r="BA150" s="641">
        <f t="shared" si="47"/>
        <v>1220927.1989116922</v>
      </c>
      <c r="BB150" s="641">
        <f t="shared" si="47"/>
        <v>1220927.1989116922</v>
      </c>
      <c r="BC150" s="641">
        <f t="shared" si="47"/>
        <v>1220927.1989116922</v>
      </c>
      <c r="BD150" s="641">
        <f t="shared" si="47"/>
        <v>1220927.1989116922</v>
      </c>
      <c r="BE150" s="641">
        <f t="shared" si="47"/>
        <v>1220927.1989116922</v>
      </c>
      <c r="BF150" s="641">
        <f t="shared" si="47"/>
        <v>1220927.1989116922</v>
      </c>
      <c r="BG150" s="641">
        <f t="shared" si="47"/>
        <v>1220927.1989116922</v>
      </c>
      <c r="BH150" s="641">
        <f t="shared" si="47"/>
        <v>1220927.1989116922</v>
      </c>
      <c r="BI150" s="641">
        <f t="shared" si="47"/>
        <v>1220927.1989116922</v>
      </c>
      <c r="BJ150" s="641">
        <f t="shared" si="47"/>
        <v>1220927.1989116922</v>
      </c>
      <c r="BK150" s="641">
        <f t="shared" si="48"/>
        <v>1220927.1989116922</v>
      </c>
      <c r="BL150" s="641">
        <f t="shared" si="48"/>
        <v>1220927.1989116922</v>
      </c>
      <c r="BM150" s="641">
        <f t="shared" si="48"/>
        <v>1220927.1989116922</v>
      </c>
      <c r="BN150" s="641">
        <f t="shared" si="48"/>
        <v>1220927.1989116922</v>
      </c>
      <c r="BO150" s="641">
        <f t="shared" si="48"/>
        <v>1220927.1989116922</v>
      </c>
      <c r="BP150" s="641">
        <f t="shared" si="48"/>
        <v>1220927.1989116922</v>
      </c>
      <c r="BQ150" s="641">
        <f t="shared" si="48"/>
        <v>1220927.1989116922</v>
      </c>
      <c r="BR150" s="641">
        <f t="shared" si="48"/>
        <v>1220927.1989116922</v>
      </c>
      <c r="BS150" s="641">
        <f t="shared" si="48"/>
        <v>1220927.1989116922</v>
      </c>
      <c r="BT150" s="641">
        <f t="shared" si="48"/>
        <v>1220927.1989116922</v>
      </c>
      <c r="BU150" s="641">
        <f t="shared" si="49"/>
        <v>1220927.1989116922</v>
      </c>
      <c r="BV150" s="641">
        <f t="shared" si="49"/>
        <v>1220927.1989116922</v>
      </c>
      <c r="BW150" s="641">
        <f t="shared" si="49"/>
        <v>1220927.1989116922</v>
      </c>
      <c r="BX150" s="641">
        <f t="shared" si="49"/>
        <v>1220927.1989116922</v>
      </c>
      <c r="BY150" s="641">
        <f t="shared" si="49"/>
        <v>1220927.1989116922</v>
      </c>
      <c r="BZ150" s="641">
        <f t="shared" si="49"/>
        <v>1220927.1989116922</v>
      </c>
      <c r="CA150" s="641">
        <f t="shared" si="49"/>
        <v>1220927.1989116922</v>
      </c>
      <c r="CB150" s="641">
        <f t="shared" si="49"/>
        <v>1220927.1989116922</v>
      </c>
      <c r="CC150" s="641">
        <f t="shared" si="49"/>
        <v>1220927.1989116922</v>
      </c>
      <c r="CD150" s="641">
        <f t="shared" si="49"/>
        <v>1220927.1989116922</v>
      </c>
      <c r="CE150" s="641">
        <f t="shared" si="50"/>
        <v>1220927.1989116922</v>
      </c>
      <c r="CF150" s="641">
        <f t="shared" si="50"/>
        <v>1220927.1989116922</v>
      </c>
      <c r="CG150" s="641">
        <f t="shared" si="50"/>
        <v>1220927.1989116922</v>
      </c>
      <c r="CH150" s="641">
        <f t="shared" si="50"/>
        <v>1220927.1989116922</v>
      </c>
      <c r="CI150" s="641">
        <f t="shared" si="50"/>
        <v>1220927.1989116922</v>
      </c>
      <c r="CJ150" s="641">
        <f t="shared" si="50"/>
        <v>1220927.1989116922</v>
      </c>
      <c r="CK150" s="641">
        <f t="shared" si="50"/>
        <v>1220927.1989116922</v>
      </c>
      <c r="CL150" s="641">
        <f t="shared" si="50"/>
        <v>1220927.1989116922</v>
      </c>
      <c r="CM150" s="641">
        <f t="shared" si="50"/>
        <v>1220927.1989116922</v>
      </c>
      <c r="CN150" s="641">
        <f t="shared" si="50"/>
        <v>1220927.1989116922</v>
      </c>
      <c r="CO150" s="641">
        <f t="shared" si="51"/>
        <v>1220927.1989116922</v>
      </c>
      <c r="CP150" s="641">
        <f t="shared" si="51"/>
        <v>1220927.1989116922</v>
      </c>
      <c r="CQ150" s="641">
        <f t="shared" si="51"/>
        <v>1220927.1989116922</v>
      </c>
      <c r="CR150" s="641">
        <f t="shared" si="51"/>
        <v>1220927.1989116922</v>
      </c>
      <c r="CS150" s="641">
        <f t="shared" si="51"/>
        <v>1220927.1989116922</v>
      </c>
      <c r="CT150" s="641">
        <f t="shared" si="51"/>
        <v>1220927.1989116922</v>
      </c>
      <c r="CU150" s="641">
        <f t="shared" si="51"/>
        <v>1220927.1989116922</v>
      </c>
      <c r="CV150" s="641">
        <f t="shared" si="51"/>
        <v>1220927.1989116922</v>
      </c>
      <c r="CW150" s="641">
        <f t="shared" si="51"/>
        <v>1220927.1989116922</v>
      </c>
      <c r="CX150" s="641">
        <f t="shared" si="51"/>
        <v>1220927.1989116922</v>
      </c>
      <c r="CY150" s="641">
        <f t="shared" si="52"/>
        <v>1220927.1989116922</v>
      </c>
      <c r="CZ150" s="641">
        <f t="shared" si="52"/>
        <v>1220927.1989116922</v>
      </c>
      <c r="DA150" s="641">
        <f t="shared" si="52"/>
        <v>1220927.1989116922</v>
      </c>
      <c r="DB150" s="641">
        <f t="shared" si="52"/>
        <v>1220927.1989116922</v>
      </c>
      <c r="DC150" s="641">
        <f t="shared" si="52"/>
        <v>1220927.1989116922</v>
      </c>
      <c r="DD150" s="641">
        <f t="shared" si="52"/>
        <v>1220927.1989116922</v>
      </c>
      <c r="DE150" s="641">
        <f t="shared" si="52"/>
        <v>1220927.1989116922</v>
      </c>
      <c r="DF150" s="641">
        <f t="shared" si="52"/>
        <v>1220927.1989116922</v>
      </c>
      <c r="DG150" s="641">
        <f t="shared" si="52"/>
        <v>1220927.1989116922</v>
      </c>
      <c r="DH150" s="641">
        <f t="shared" si="52"/>
        <v>1220927.1989116922</v>
      </c>
      <c r="DI150" s="641">
        <f t="shared" si="53"/>
        <v>1220927.1989116922</v>
      </c>
      <c r="DJ150" s="641">
        <f t="shared" si="53"/>
        <v>1220927.1989116922</v>
      </c>
      <c r="DK150" s="641">
        <f t="shared" si="53"/>
        <v>1220927.1989116922</v>
      </c>
      <c r="DL150" s="641">
        <f t="shared" si="53"/>
        <v>1220927.1989116922</v>
      </c>
      <c r="DM150" s="641">
        <f t="shared" si="53"/>
        <v>1220927.1989116922</v>
      </c>
      <c r="DN150" s="641">
        <f t="shared" si="53"/>
        <v>1220927.1989116922</v>
      </c>
      <c r="DO150" s="641">
        <f t="shared" si="53"/>
        <v>1220927.1989116922</v>
      </c>
      <c r="DP150" s="641">
        <f t="shared" si="53"/>
        <v>1220927.1989116922</v>
      </c>
      <c r="DQ150" s="641">
        <f t="shared" si="53"/>
        <v>1220927.1989116922</v>
      </c>
      <c r="DR150" s="641">
        <f t="shared" si="53"/>
        <v>1220927.1989116922</v>
      </c>
      <c r="DS150" s="641">
        <f t="shared" si="54"/>
        <v>1220927.1989116922</v>
      </c>
      <c r="DT150" s="641">
        <f t="shared" si="54"/>
        <v>1220927.1989116922</v>
      </c>
      <c r="DU150" s="641">
        <f t="shared" si="54"/>
        <v>1220927.1989116922</v>
      </c>
      <c r="DV150" s="641">
        <f t="shared" si="54"/>
        <v>1220927.1989116922</v>
      </c>
      <c r="DW150" s="641">
        <f t="shared" si="54"/>
        <v>1220927.1989116922</v>
      </c>
      <c r="DX150" s="641">
        <f t="shared" si="54"/>
        <v>1220927.1989116922</v>
      </c>
      <c r="DY150" s="641">
        <f t="shared" si="54"/>
        <v>1220927.1989116922</v>
      </c>
      <c r="DZ150" s="641">
        <f t="shared" si="54"/>
        <v>1220927.1989116922</v>
      </c>
      <c r="EA150" s="641">
        <f t="shared" si="54"/>
        <v>1220927.1989116922</v>
      </c>
      <c r="EB150" s="641">
        <f t="shared" si="54"/>
        <v>1220927.1989116922</v>
      </c>
      <c r="EC150" s="641">
        <f t="shared" si="54"/>
        <v>1220927.1989116922</v>
      </c>
    </row>
    <row r="151" spans="20:133" ht="15.5">
      <c r="T151" s="126">
        <f t="shared" si="36"/>
        <v>90</v>
      </c>
      <c r="U151" s="29">
        <f t="shared" si="43"/>
        <v>0</v>
      </c>
      <c r="V151" s="29">
        <f t="shared" si="43"/>
        <v>0</v>
      </c>
      <c r="W151" s="29">
        <f t="shared" si="43"/>
        <v>0</v>
      </c>
      <c r="X151" s="29">
        <f t="shared" si="43"/>
        <v>0</v>
      </c>
      <c r="Y151" s="29"/>
      <c r="AB151" s="5">
        <f t="shared" si="44"/>
        <v>0</v>
      </c>
      <c r="AC151" s="128">
        <v>8</v>
      </c>
      <c r="AD151" s="129">
        <f t="shared" si="55"/>
        <v>1105187.7373732307</v>
      </c>
      <c r="AE151" s="1108"/>
      <c r="AF151" s="128">
        <v>8</v>
      </c>
      <c r="AG151" s="641">
        <f t="shared" si="45"/>
        <v>1602032.7373732307</v>
      </c>
      <c r="AH151" s="641">
        <f t="shared" si="45"/>
        <v>1539080.7373732307</v>
      </c>
      <c r="AI151" s="641">
        <f t="shared" si="45"/>
        <v>1476128.7373732307</v>
      </c>
      <c r="AJ151" s="641">
        <f t="shared" si="45"/>
        <v>1413176.7373732307</v>
      </c>
      <c r="AK151" s="641">
        <f t="shared" si="45"/>
        <v>1350224.7373732307</v>
      </c>
      <c r="AL151" s="641">
        <f t="shared" si="45"/>
        <v>1287272.7373732307</v>
      </c>
      <c r="AM151" s="641">
        <f t="shared" si="45"/>
        <v>1225357.7373732307</v>
      </c>
      <c r="AN151" s="641">
        <f t="shared" si="45"/>
        <v>1172897.7373732307</v>
      </c>
      <c r="AO151" s="641">
        <f t="shared" si="45"/>
        <v>1120437.7373732307</v>
      </c>
      <c r="AP151" s="641">
        <f t="shared" si="45"/>
        <v>1105187.7373732307</v>
      </c>
      <c r="AQ151" s="641">
        <f t="shared" si="46"/>
        <v>1105187.7373732307</v>
      </c>
      <c r="AR151" s="641">
        <f t="shared" si="46"/>
        <v>1105187.7373732307</v>
      </c>
      <c r="AS151" s="641">
        <f t="shared" si="46"/>
        <v>1105187.7373732307</v>
      </c>
      <c r="AT151" s="641">
        <f t="shared" si="46"/>
        <v>1105187.7373732307</v>
      </c>
      <c r="AU151" s="641">
        <f t="shared" si="46"/>
        <v>1105187.7373732307</v>
      </c>
      <c r="AV151" s="641">
        <f t="shared" si="46"/>
        <v>1105187.7373732307</v>
      </c>
      <c r="AW151" s="641">
        <f t="shared" si="46"/>
        <v>1105187.7373732307</v>
      </c>
      <c r="AX151" s="641">
        <f t="shared" si="46"/>
        <v>1105187.7373732307</v>
      </c>
      <c r="AY151" s="641">
        <f t="shared" si="46"/>
        <v>1105187.7373732307</v>
      </c>
      <c r="AZ151" s="641">
        <f t="shared" si="46"/>
        <v>1105187.7373732307</v>
      </c>
      <c r="BA151" s="641">
        <f t="shared" si="47"/>
        <v>1105187.7373732307</v>
      </c>
      <c r="BB151" s="641">
        <f t="shared" si="47"/>
        <v>1105187.7373732307</v>
      </c>
      <c r="BC151" s="641">
        <f t="shared" si="47"/>
        <v>1105187.7373732307</v>
      </c>
      <c r="BD151" s="641">
        <f t="shared" si="47"/>
        <v>1105187.7373732307</v>
      </c>
      <c r="BE151" s="641">
        <f t="shared" si="47"/>
        <v>1105187.7373732307</v>
      </c>
      <c r="BF151" s="641">
        <f t="shared" si="47"/>
        <v>1105187.7373732307</v>
      </c>
      <c r="BG151" s="641">
        <f t="shared" si="47"/>
        <v>1105187.7373732307</v>
      </c>
      <c r="BH151" s="641">
        <f t="shared" si="47"/>
        <v>1105187.7373732307</v>
      </c>
      <c r="BI151" s="641">
        <f t="shared" si="47"/>
        <v>1105187.7373732307</v>
      </c>
      <c r="BJ151" s="641">
        <f t="shared" si="47"/>
        <v>1105187.7373732307</v>
      </c>
      <c r="BK151" s="641">
        <f t="shared" si="48"/>
        <v>1105187.7373732307</v>
      </c>
      <c r="BL151" s="641">
        <f t="shared" si="48"/>
        <v>1105187.7373732307</v>
      </c>
      <c r="BM151" s="641">
        <f t="shared" si="48"/>
        <v>1105187.7373732307</v>
      </c>
      <c r="BN151" s="641">
        <f t="shared" si="48"/>
        <v>1105187.7373732307</v>
      </c>
      <c r="BO151" s="641">
        <f t="shared" si="48"/>
        <v>1105187.7373732307</v>
      </c>
      <c r="BP151" s="641">
        <f t="shared" si="48"/>
        <v>1105187.7373732307</v>
      </c>
      <c r="BQ151" s="641">
        <f t="shared" si="48"/>
        <v>1105187.7373732307</v>
      </c>
      <c r="BR151" s="641">
        <f t="shared" si="48"/>
        <v>1105187.7373732307</v>
      </c>
      <c r="BS151" s="641">
        <f t="shared" si="48"/>
        <v>1105187.7373732307</v>
      </c>
      <c r="BT151" s="641">
        <f t="shared" si="48"/>
        <v>1105187.7373732307</v>
      </c>
      <c r="BU151" s="641">
        <f t="shared" si="49"/>
        <v>1105187.7373732307</v>
      </c>
      <c r="BV151" s="641">
        <f t="shared" si="49"/>
        <v>1105187.7373732307</v>
      </c>
      <c r="BW151" s="641">
        <f t="shared" si="49"/>
        <v>1105187.7373732307</v>
      </c>
      <c r="BX151" s="641">
        <f t="shared" si="49"/>
        <v>1105187.7373732307</v>
      </c>
      <c r="BY151" s="641">
        <f t="shared" si="49"/>
        <v>1105187.7373732307</v>
      </c>
      <c r="BZ151" s="641">
        <f t="shared" si="49"/>
        <v>1105187.7373732307</v>
      </c>
      <c r="CA151" s="641">
        <f t="shared" si="49"/>
        <v>1105187.7373732307</v>
      </c>
      <c r="CB151" s="641">
        <f t="shared" si="49"/>
        <v>1105187.7373732307</v>
      </c>
      <c r="CC151" s="641">
        <f t="shared" si="49"/>
        <v>1105187.7373732307</v>
      </c>
      <c r="CD151" s="641">
        <f t="shared" si="49"/>
        <v>1105187.7373732307</v>
      </c>
      <c r="CE151" s="641">
        <f t="shared" si="50"/>
        <v>1105187.7373732307</v>
      </c>
      <c r="CF151" s="641">
        <f t="shared" si="50"/>
        <v>1105187.7373732307</v>
      </c>
      <c r="CG151" s="641">
        <f t="shared" si="50"/>
        <v>1105187.7373732307</v>
      </c>
      <c r="CH151" s="641">
        <f t="shared" si="50"/>
        <v>1105187.7373732307</v>
      </c>
      <c r="CI151" s="641">
        <f t="shared" si="50"/>
        <v>1105187.7373732307</v>
      </c>
      <c r="CJ151" s="641">
        <f t="shared" si="50"/>
        <v>1105187.7373732307</v>
      </c>
      <c r="CK151" s="641">
        <f t="shared" si="50"/>
        <v>1105187.7373732307</v>
      </c>
      <c r="CL151" s="641">
        <f t="shared" si="50"/>
        <v>1105187.7373732307</v>
      </c>
      <c r="CM151" s="641">
        <f t="shared" si="50"/>
        <v>1105187.7373732307</v>
      </c>
      <c r="CN151" s="641">
        <f t="shared" si="50"/>
        <v>1105187.7373732307</v>
      </c>
      <c r="CO151" s="641">
        <f t="shared" si="51"/>
        <v>1105187.7373732307</v>
      </c>
      <c r="CP151" s="641">
        <f t="shared" si="51"/>
        <v>1105187.7373732307</v>
      </c>
      <c r="CQ151" s="641">
        <f t="shared" si="51"/>
        <v>1105187.7373732307</v>
      </c>
      <c r="CR151" s="641">
        <f t="shared" si="51"/>
        <v>1105187.7373732307</v>
      </c>
      <c r="CS151" s="641">
        <f t="shared" si="51"/>
        <v>1105187.7373732307</v>
      </c>
      <c r="CT151" s="641">
        <f t="shared" si="51"/>
        <v>1105187.7373732307</v>
      </c>
      <c r="CU151" s="641">
        <f t="shared" si="51"/>
        <v>1105187.7373732307</v>
      </c>
      <c r="CV151" s="641">
        <f t="shared" si="51"/>
        <v>1105187.7373732307</v>
      </c>
      <c r="CW151" s="641">
        <f t="shared" si="51"/>
        <v>1105187.7373732307</v>
      </c>
      <c r="CX151" s="641">
        <f t="shared" si="51"/>
        <v>1105187.7373732307</v>
      </c>
      <c r="CY151" s="641">
        <f t="shared" si="52"/>
        <v>1105187.7373732307</v>
      </c>
      <c r="CZ151" s="641">
        <f t="shared" si="52"/>
        <v>1105187.7373732307</v>
      </c>
      <c r="DA151" s="641">
        <f t="shared" si="52"/>
        <v>1105187.7373732307</v>
      </c>
      <c r="DB151" s="641">
        <f t="shared" si="52"/>
        <v>1105187.7373732307</v>
      </c>
      <c r="DC151" s="641">
        <f t="shared" si="52"/>
        <v>1105187.7373732307</v>
      </c>
      <c r="DD151" s="641">
        <f t="shared" si="52"/>
        <v>1105187.7373732307</v>
      </c>
      <c r="DE151" s="641">
        <f t="shared" si="52"/>
        <v>1105187.7373732307</v>
      </c>
      <c r="DF151" s="641">
        <f t="shared" si="52"/>
        <v>1105187.7373732307</v>
      </c>
      <c r="DG151" s="641">
        <f t="shared" si="52"/>
        <v>1105187.7373732307</v>
      </c>
      <c r="DH151" s="641">
        <f t="shared" si="52"/>
        <v>1105187.7373732307</v>
      </c>
      <c r="DI151" s="641">
        <f t="shared" si="53"/>
        <v>1105187.7373732307</v>
      </c>
      <c r="DJ151" s="641">
        <f t="shared" si="53"/>
        <v>1105187.7373732307</v>
      </c>
      <c r="DK151" s="641">
        <f t="shared" si="53"/>
        <v>1105187.7373732307</v>
      </c>
      <c r="DL151" s="641">
        <f t="shared" si="53"/>
        <v>1105187.7373732307</v>
      </c>
      <c r="DM151" s="641">
        <f t="shared" si="53"/>
        <v>1105187.7373732307</v>
      </c>
      <c r="DN151" s="641">
        <f t="shared" si="53"/>
        <v>1105187.7373732307</v>
      </c>
      <c r="DO151" s="641">
        <f t="shared" si="53"/>
        <v>1105187.7373732307</v>
      </c>
      <c r="DP151" s="641">
        <f t="shared" si="53"/>
        <v>1105187.7373732307</v>
      </c>
      <c r="DQ151" s="641">
        <f t="shared" si="53"/>
        <v>1105187.7373732307</v>
      </c>
      <c r="DR151" s="641">
        <f t="shared" si="53"/>
        <v>1105187.7373732307</v>
      </c>
      <c r="DS151" s="641">
        <f t="shared" si="54"/>
        <v>1105187.7373732307</v>
      </c>
      <c r="DT151" s="641">
        <f t="shared" si="54"/>
        <v>1105187.7373732307</v>
      </c>
      <c r="DU151" s="641">
        <f t="shared" si="54"/>
        <v>1105187.7373732307</v>
      </c>
      <c r="DV151" s="641">
        <f t="shared" si="54"/>
        <v>1105187.7373732307</v>
      </c>
      <c r="DW151" s="641">
        <f t="shared" si="54"/>
        <v>1105187.7373732307</v>
      </c>
      <c r="DX151" s="641">
        <f t="shared" si="54"/>
        <v>1105187.7373732307</v>
      </c>
      <c r="DY151" s="641">
        <f t="shared" si="54"/>
        <v>1105187.7373732307</v>
      </c>
      <c r="DZ151" s="641">
        <f t="shared" si="54"/>
        <v>1105187.7373732307</v>
      </c>
      <c r="EA151" s="641">
        <f t="shared" si="54"/>
        <v>1105187.7373732307</v>
      </c>
      <c r="EB151" s="641">
        <f t="shared" si="54"/>
        <v>1105187.7373732307</v>
      </c>
      <c r="EC151" s="641">
        <f t="shared" si="54"/>
        <v>1105187.7373732307</v>
      </c>
    </row>
    <row r="152" spans="20:133" ht="15.5">
      <c r="T152" s="126">
        <f t="shared" si="36"/>
        <v>91</v>
      </c>
      <c r="U152" s="29">
        <f t="shared" si="43"/>
        <v>0</v>
      </c>
      <c r="V152" s="29">
        <f t="shared" si="43"/>
        <v>0</v>
      </c>
      <c r="W152" s="29">
        <f t="shared" si="43"/>
        <v>0</v>
      </c>
      <c r="X152" s="29">
        <f t="shared" si="43"/>
        <v>0</v>
      </c>
      <c r="Y152" s="29"/>
      <c r="AB152" s="5">
        <f t="shared" si="44"/>
        <v>0</v>
      </c>
      <c r="AC152" s="128">
        <v>9</v>
      </c>
      <c r="AD152" s="129">
        <f t="shared" si="55"/>
        <v>989448.27583476913</v>
      </c>
      <c r="AE152" s="1108"/>
      <c r="AF152" s="128">
        <v>9</v>
      </c>
      <c r="AG152" s="641">
        <f t="shared" si="45"/>
        <v>1486293.275834769</v>
      </c>
      <c r="AH152" s="641">
        <f t="shared" si="45"/>
        <v>1423341.275834769</v>
      </c>
      <c r="AI152" s="641">
        <f t="shared" si="45"/>
        <v>1360389.275834769</v>
      </c>
      <c r="AJ152" s="641">
        <f t="shared" si="45"/>
        <v>1297437.275834769</v>
      </c>
      <c r="AK152" s="641">
        <f t="shared" si="45"/>
        <v>1234485.275834769</v>
      </c>
      <c r="AL152" s="641">
        <f t="shared" si="45"/>
        <v>1171533.275834769</v>
      </c>
      <c r="AM152" s="641">
        <f t="shared" si="45"/>
        <v>1109618.275834769</v>
      </c>
      <c r="AN152" s="641">
        <f t="shared" si="45"/>
        <v>1057158.275834769</v>
      </c>
      <c r="AO152" s="641">
        <f t="shared" si="45"/>
        <v>1004698.2758347691</v>
      </c>
      <c r="AP152" s="641">
        <f t="shared" si="45"/>
        <v>989448.27583476913</v>
      </c>
      <c r="AQ152" s="641">
        <f t="shared" si="46"/>
        <v>989448.27583476913</v>
      </c>
      <c r="AR152" s="641">
        <f t="shared" si="46"/>
        <v>989448.27583476913</v>
      </c>
      <c r="AS152" s="641">
        <f t="shared" si="46"/>
        <v>989448.27583476913</v>
      </c>
      <c r="AT152" s="641">
        <f t="shared" si="46"/>
        <v>989448.27583476913</v>
      </c>
      <c r="AU152" s="641">
        <f t="shared" si="46"/>
        <v>989448.27583476913</v>
      </c>
      <c r="AV152" s="641">
        <f t="shared" si="46"/>
        <v>989448.27583476913</v>
      </c>
      <c r="AW152" s="641">
        <f t="shared" si="46"/>
        <v>989448.27583476913</v>
      </c>
      <c r="AX152" s="641">
        <f t="shared" si="46"/>
        <v>989448.27583476913</v>
      </c>
      <c r="AY152" s="641">
        <f t="shared" si="46"/>
        <v>989448.27583476913</v>
      </c>
      <c r="AZ152" s="641">
        <f t="shared" si="46"/>
        <v>989448.27583476913</v>
      </c>
      <c r="BA152" s="641">
        <f t="shared" si="47"/>
        <v>989448.27583476913</v>
      </c>
      <c r="BB152" s="641">
        <f t="shared" si="47"/>
        <v>989448.27583476913</v>
      </c>
      <c r="BC152" s="641">
        <f t="shared" si="47"/>
        <v>989448.27583476913</v>
      </c>
      <c r="BD152" s="641">
        <f t="shared" si="47"/>
        <v>989448.27583476913</v>
      </c>
      <c r="BE152" s="641">
        <f t="shared" si="47"/>
        <v>989448.27583476913</v>
      </c>
      <c r="BF152" s="641">
        <f t="shared" si="47"/>
        <v>989448.27583476913</v>
      </c>
      <c r="BG152" s="641">
        <f t="shared" si="47"/>
        <v>989448.27583476913</v>
      </c>
      <c r="BH152" s="641">
        <f t="shared" si="47"/>
        <v>989448.27583476913</v>
      </c>
      <c r="BI152" s="641">
        <f t="shared" si="47"/>
        <v>989448.27583476913</v>
      </c>
      <c r="BJ152" s="641">
        <f t="shared" si="47"/>
        <v>989448.27583476913</v>
      </c>
      <c r="BK152" s="641">
        <f t="shared" si="48"/>
        <v>989448.27583476913</v>
      </c>
      <c r="BL152" s="641">
        <f t="shared" si="48"/>
        <v>989448.27583476913</v>
      </c>
      <c r="BM152" s="641">
        <f t="shared" si="48"/>
        <v>989448.27583476913</v>
      </c>
      <c r="BN152" s="641">
        <f t="shared" si="48"/>
        <v>989448.27583476913</v>
      </c>
      <c r="BO152" s="641">
        <f t="shared" si="48"/>
        <v>989448.27583476913</v>
      </c>
      <c r="BP152" s="641">
        <f t="shared" si="48"/>
        <v>989448.27583476913</v>
      </c>
      <c r="BQ152" s="641">
        <f t="shared" si="48"/>
        <v>989448.27583476913</v>
      </c>
      <c r="BR152" s="641">
        <f t="shared" si="48"/>
        <v>989448.27583476913</v>
      </c>
      <c r="BS152" s="641">
        <f t="shared" si="48"/>
        <v>989448.27583476913</v>
      </c>
      <c r="BT152" s="641">
        <f t="shared" si="48"/>
        <v>989448.27583476913</v>
      </c>
      <c r="BU152" s="641">
        <f t="shared" si="49"/>
        <v>989448.27583476913</v>
      </c>
      <c r="BV152" s="641">
        <f t="shared" si="49"/>
        <v>989448.27583476913</v>
      </c>
      <c r="BW152" s="641">
        <f t="shared" si="49"/>
        <v>989448.27583476913</v>
      </c>
      <c r="BX152" s="641">
        <f t="shared" si="49"/>
        <v>989448.27583476913</v>
      </c>
      <c r="BY152" s="641">
        <f t="shared" si="49"/>
        <v>989448.27583476913</v>
      </c>
      <c r="BZ152" s="641">
        <f t="shared" si="49"/>
        <v>989448.27583476913</v>
      </c>
      <c r="CA152" s="641">
        <f t="shared" si="49"/>
        <v>989448.27583476913</v>
      </c>
      <c r="CB152" s="641">
        <f t="shared" si="49"/>
        <v>989448.27583476913</v>
      </c>
      <c r="CC152" s="641">
        <f t="shared" si="49"/>
        <v>989448.27583476913</v>
      </c>
      <c r="CD152" s="641">
        <f t="shared" si="49"/>
        <v>989448.27583476913</v>
      </c>
      <c r="CE152" s="641">
        <f t="shared" si="50"/>
        <v>989448.27583476913</v>
      </c>
      <c r="CF152" s="641">
        <f t="shared" si="50"/>
        <v>989448.27583476913</v>
      </c>
      <c r="CG152" s="641">
        <f t="shared" si="50"/>
        <v>989448.27583476913</v>
      </c>
      <c r="CH152" s="641">
        <f t="shared" si="50"/>
        <v>989448.27583476913</v>
      </c>
      <c r="CI152" s="641">
        <f t="shared" si="50"/>
        <v>989448.27583476913</v>
      </c>
      <c r="CJ152" s="641">
        <f t="shared" si="50"/>
        <v>989448.27583476913</v>
      </c>
      <c r="CK152" s="641">
        <f t="shared" si="50"/>
        <v>989448.27583476913</v>
      </c>
      <c r="CL152" s="641">
        <f t="shared" si="50"/>
        <v>989448.27583476913</v>
      </c>
      <c r="CM152" s="641">
        <f t="shared" si="50"/>
        <v>989448.27583476913</v>
      </c>
      <c r="CN152" s="641">
        <f t="shared" si="50"/>
        <v>989448.27583476913</v>
      </c>
      <c r="CO152" s="641">
        <f t="shared" si="51"/>
        <v>989448.27583476913</v>
      </c>
      <c r="CP152" s="641">
        <f t="shared" si="51"/>
        <v>989448.27583476913</v>
      </c>
      <c r="CQ152" s="641">
        <f t="shared" si="51"/>
        <v>989448.27583476913</v>
      </c>
      <c r="CR152" s="641">
        <f t="shared" si="51"/>
        <v>989448.27583476913</v>
      </c>
      <c r="CS152" s="641">
        <f t="shared" si="51"/>
        <v>989448.27583476913</v>
      </c>
      <c r="CT152" s="641">
        <f t="shared" si="51"/>
        <v>989448.27583476913</v>
      </c>
      <c r="CU152" s="641">
        <f t="shared" si="51"/>
        <v>989448.27583476913</v>
      </c>
      <c r="CV152" s="641">
        <f t="shared" si="51"/>
        <v>989448.27583476913</v>
      </c>
      <c r="CW152" s="641">
        <f t="shared" si="51"/>
        <v>989448.27583476913</v>
      </c>
      <c r="CX152" s="641">
        <f t="shared" si="51"/>
        <v>989448.27583476913</v>
      </c>
      <c r="CY152" s="641">
        <f t="shared" si="52"/>
        <v>989448.27583476913</v>
      </c>
      <c r="CZ152" s="641">
        <f t="shared" si="52"/>
        <v>989448.27583476913</v>
      </c>
      <c r="DA152" s="641">
        <f t="shared" si="52"/>
        <v>989448.27583476913</v>
      </c>
      <c r="DB152" s="641">
        <f t="shared" si="52"/>
        <v>989448.27583476913</v>
      </c>
      <c r="DC152" s="641">
        <f t="shared" si="52"/>
        <v>989448.27583476913</v>
      </c>
      <c r="DD152" s="641">
        <f t="shared" si="52"/>
        <v>989448.27583476913</v>
      </c>
      <c r="DE152" s="641">
        <f t="shared" si="52"/>
        <v>989448.27583476913</v>
      </c>
      <c r="DF152" s="641">
        <f t="shared" si="52"/>
        <v>989448.27583476913</v>
      </c>
      <c r="DG152" s="641">
        <f t="shared" si="52"/>
        <v>989448.27583476913</v>
      </c>
      <c r="DH152" s="641">
        <f t="shared" si="52"/>
        <v>989448.27583476913</v>
      </c>
      <c r="DI152" s="641">
        <f t="shared" si="53"/>
        <v>989448.27583476913</v>
      </c>
      <c r="DJ152" s="641">
        <f t="shared" si="53"/>
        <v>989448.27583476913</v>
      </c>
      <c r="DK152" s="641">
        <f t="shared" si="53"/>
        <v>989448.27583476913</v>
      </c>
      <c r="DL152" s="641">
        <f t="shared" si="53"/>
        <v>989448.27583476913</v>
      </c>
      <c r="DM152" s="641">
        <f t="shared" si="53"/>
        <v>989448.27583476913</v>
      </c>
      <c r="DN152" s="641">
        <f t="shared" si="53"/>
        <v>989448.27583476913</v>
      </c>
      <c r="DO152" s="641">
        <f t="shared" si="53"/>
        <v>989448.27583476913</v>
      </c>
      <c r="DP152" s="641">
        <f t="shared" si="53"/>
        <v>989448.27583476913</v>
      </c>
      <c r="DQ152" s="641">
        <f t="shared" si="53"/>
        <v>989448.27583476913</v>
      </c>
      <c r="DR152" s="641">
        <f t="shared" si="53"/>
        <v>989448.27583476913</v>
      </c>
      <c r="DS152" s="641">
        <f t="shared" si="54"/>
        <v>989448.27583476913</v>
      </c>
      <c r="DT152" s="641">
        <f t="shared" si="54"/>
        <v>989448.27583476913</v>
      </c>
      <c r="DU152" s="641">
        <f t="shared" si="54"/>
        <v>989448.27583476913</v>
      </c>
      <c r="DV152" s="641">
        <f t="shared" si="54"/>
        <v>989448.27583476913</v>
      </c>
      <c r="DW152" s="641">
        <f t="shared" si="54"/>
        <v>989448.27583476913</v>
      </c>
      <c r="DX152" s="641">
        <f t="shared" si="54"/>
        <v>989448.27583476913</v>
      </c>
      <c r="DY152" s="641">
        <f t="shared" si="54"/>
        <v>989448.27583476913</v>
      </c>
      <c r="DZ152" s="641">
        <f t="shared" si="54"/>
        <v>989448.27583476913</v>
      </c>
      <c r="EA152" s="641">
        <f t="shared" si="54"/>
        <v>989448.27583476913</v>
      </c>
      <c r="EB152" s="641">
        <f t="shared" si="54"/>
        <v>989448.27583476913</v>
      </c>
      <c r="EC152" s="641">
        <f t="shared" si="54"/>
        <v>989448.27583476913</v>
      </c>
    </row>
    <row r="153" spans="20:133" ht="15.5">
      <c r="T153" s="126">
        <f t="shared" si="36"/>
        <v>92</v>
      </c>
      <c r="U153" s="29">
        <f t="shared" si="43"/>
        <v>0</v>
      </c>
      <c r="V153" s="29">
        <f t="shared" si="43"/>
        <v>0</v>
      </c>
      <c r="W153" s="29">
        <f t="shared" si="43"/>
        <v>0</v>
      </c>
      <c r="X153" s="29">
        <f t="shared" si="43"/>
        <v>0</v>
      </c>
      <c r="Y153" s="29"/>
      <c r="AB153" s="5">
        <f t="shared" si="44"/>
        <v>0</v>
      </c>
      <c r="AC153" s="128">
        <v>10</v>
      </c>
      <c r="AD153" s="129">
        <f t="shared" si="55"/>
        <v>873708.81429630762</v>
      </c>
      <c r="AE153" s="1108"/>
      <c r="AF153" s="128">
        <v>10</v>
      </c>
      <c r="AG153" s="641">
        <f t="shared" ref="AG153:AP162" si="56">IF(VLOOKUP($AF153,$T$61:$X$161,2)+VLOOKUP(AG$142,$T$61:$X$161,$AF$141)+VLOOKUP(0,$T$61:$X$161,$AF$140)+VLOOKUP(0,$T$61:$X$161,5)+$Y$51+$Z$44-$U$17&lt;0,999999999,VLOOKUP($AF153,$T$61:$X$161,2)+VLOOKUP(AG$142,$T$61:$X$161,$AF$141)+VLOOKUP(0,$T$61:$X$161,$AF$140)+VLOOKUP(0,$T$61:$X$161,5)+$Y$51+$Z$44-$U$17)</f>
        <v>1370553.8142963075</v>
      </c>
      <c r="AH153" s="641">
        <f t="shared" si="56"/>
        <v>1307601.8142963075</v>
      </c>
      <c r="AI153" s="641">
        <f t="shared" si="56"/>
        <v>1244649.8142963075</v>
      </c>
      <c r="AJ153" s="641">
        <f t="shared" si="56"/>
        <v>1181697.8142963075</v>
      </c>
      <c r="AK153" s="641">
        <f t="shared" si="56"/>
        <v>1118745.8142963075</v>
      </c>
      <c r="AL153" s="641">
        <f t="shared" si="56"/>
        <v>1055793.8142963075</v>
      </c>
      <c r="AM153" s="641">
        <f t="shared" si="56"/>
        <v>993878.81429630762</v>
      </c>
      <c r="AN153" s="641">
        <f t="shared" si="56"/>
        <v>941418.81429630762</v>
      </c>
      <c r="AO153" s="641">
        <f t="shared" si="56"/>
        <v>888958.81429630762</v>
      </c>
      <c r="AP153" s="641">
        <f t="shared" si="56"/>
        <v>873708.81429630762</v>
      </c>
      <c r="AQ153" s="641">
        <f t="shared" ref="AQ153:AZ162" si="57">IF(VLOOKUP($AF153,$T$61:$X$161,2)+VLOOKUP(AQ$142,$T$61:$X$161,$AF$141)+VLOOKUP(0,$T$61:$X$161,$AF$140)+VLOOKUP(0,$T$61:$X$161,5)+$Y$51+$Z$44-$U$17&lt;0,999999999,VLOOKUP($AF153,$T$61:$X$161,2)+VLOOKUP(AQ$142,$T$61:$X$161,$AF$141)+VLOOKUP(0,$T$61:$X$161,$AF$140)+VLOOKUP(0,$T$61:$X$161,5)+$Y$51+$Z$44-$U$17)</f>
        <v>873708.81429630762</v>
      </c>
      <c r="AR153" s="641">
        <f t="shared" si="57"/>
        <v>873708.81429630762</v>
      </c>
      <c r="AS153" s="641">
        <f t="shared" si="57"/>
        <v>873708.81429630762</v>
      </c>
      <c r="AT153" s="641">
        <f t="shared" si="57"/>
        <v>873708.81429630762</v>
      </c>
      <c r="AU153" s="641">
        <f t="shared" si="57"/>
        <v>873708.81429630762</v>
      </c>
      <c r="AV153" s="641">
        <f t="shared" si="57"/>
        <v>873708.81429630762</v>
      </c>
      <c r="AW153" s="641">
        <f t="shared" si="57"/>
        <v>873708.81429630762</v>
      </c>
      <c r="AX153" s="641">
        <f t="shared" si="57"/>
        <v>873708.81429630762</v>
      </c>
      <c r="AY153" s="641">
        <f t="shared" si="57"/>
        <v>873708.81429630762</v>
      </c>
      <c r="AZ153" s="641">
        <f t="shared" si="57"/>
        <v>873708.81429630762</v>
      </c>
      <c r="BA153" s="641">
        <f t="shared" ref="BA153:BJ162" si="58">IF(VLOOKUP($AF153,$T$61:$X$161,2)+VLOOKUP(BA$142,$T$61:$X$161,$AF$141)+VLOOKUP(0,$T$61:$X$161,$AF$140)+VLOOKUP(0,$T$61:$X$161,5)+$Y$51+$Z$44-$U$17&lt;0,999999999,VLOOKUP($AF153,$T$61:$X$161,2)+VLOOKUP(BA$142,$T$61:$X$161,$AF$141)+VLOOKUP(0,$T$61:$X$161,$AF$140)+VLOOKUP(0,$T$61:$X$161,5)+$Y$51+$Z$44-$U$17)</f>
        <v>873708.81429630762</v>
      </c>
      <c r="BB153" s="641">
        <f t="shared" si="58"/>
        <v>873708.81429630762</v>
      </c>
      <c r="BC153" s="641">
        <f t="shared" si="58"/>
        <v>873708.81429630762</v>
      </c>
      <c r="BD153" s="641">
        <f t="shared" si="58"/>
        <v>873708.81429630762</v>
      </c>
      <c r="BE153" s="641">
        <f t="shared" si="58"/>
        <v>873708.81429630762</v>
      </c>
      <c r="BF153" s="641">
        <f t="shared" si="58"/>
        <v>873708.81429630762</v>
      </c>
      <c r="BG153" s="641">
        <f t="shared" si="58"/>
        <v>873708.81429630762</v>
      </c>
      <c r="BH153" s="641">
        <f t="shared" si="58"/>
        <v>873708.81429630762</v>
      </c>
      <c r="BI153" s="641">
        <f t="shared" si="58"/>
        <v>873708.81429630762</v>
      </c>
      <c r="BJ153" s="641">
        <f t="shared" si="58"/>
        <v>873708.81429630762</v>
      </c>
      <c r="BK153" s="641">
        <f t="shared" ref="BK153:BT162" si="59">IF(VLOOKUP($AF153,$T$61:$X$161,2)+VLOOKUP(BK$142,$T$61:$X$161,$AF$141)+VLOOKUP(0,$T$61:$X$161,$AF$140)+VLOOKUP(0,$T$61:$X$161,5)+$Y$51+$Z$44-$U$17&lt;0,999999999,VLOOKUP($AF153,$T$61:$X$161,2)+VLOOKUP(BK$142,$T$61:$X$161,$AF$141)+VLOOKUP(0,$T$61:$X$161,$AF$140)+VLOOKUP(0,$T$61:$X$161,5)+$Y$51+$Z$44-$U$17)</f>
        <v>873708.81429630762</v>
      </c>
      <c r="BL153" s="641">
        <f t="shared" si="59"/>
        <v>873708.81429630762</v>
      </c>
      <c r="BM153" s="641">
        <f t="shared" si="59"/>
        <v>873708.81429630762</v>
      </c>
      <c r="BN153" s="641">
        <f t="shared" si="59"/>
        <v>873708.81429630762</v>
      </c>
      <c r="BO153" s="641">
        <f t="shared" si="59"/>
        <v>873708.81429630762</v>
      </c>
      <c r="BP153" s="641">
        <f t="shared" si="59"/>
        <v>873708.81429630762</v>
      </c>
      <c r="BQ153" s="641">
        <f t="shared" si="59"/>
        <v>873708.81429630762</v>
      </c>
      <c r="BR153" s="641">
        <f t="shared" si="59"/>
        <v>873708.81429630762</v>
      </c>
      <c r="BS153" s="641">
        <f t="shared" si="59"/>
        <v>873708.81429630762</v>
      </c>
      <c r="BT153" s="641">
        <f t="shared" si="59"/>
        <v>873708.81429630762</v>
      </c>
      <c r="BU153" s="641">
        <f t="shared" ref="BU153:CD162" si="60">IF(VLOOKUP($AF153,$T$61:$X$161,2)+VLOOKUP(BU$142,$T$61:$X$161,$AF$141)+VLOOKUP(0,$T$61:$X$161,$AF$140)+VLOOKUP(0,$T$61:$X$161,5)+$Y$51+$Z$44-$U$17&lt;0,999999999,VLOOKUP($AF153,$T$61:$X$161,2)+VLOOKUP(BU$142,$T$61:$X$161,$AF$141)+VLOOKUP(0,$T$61:$X$161,$AF$140)+VLOOKUP(0,$T$61:$X$161,5)+$Y$51+$Z$44-$U$17)</f>
        <v>873708.81429630762</v>
      </c>
      <c r="BV153" s="641">
        <f t="shared" si="60"/>
        <v>873708.81429630762</v>
      </c>
      <c r="BW153" s="641">
        <f t="shared" si="60"/>
        <v>873708.81429630762</v>
      </c>
      <c r="BX153" s="641">
        <f t="shared" si="60"/>
        <v>873708.81429630762</v>
      </c>
      <c r="BY153" s="641">
        <f t="shared" si="60"/>
        <v>873708.81429630762</v>
      </c>
      <c r="BZ153" s="641">
        <f t="shared" si="60"/>
        <v>873708.81429630762</v>
      </c>
      <c r="CA153" s="641">
        <f t="shared" si="60"/>
        <v>873708.81429630762</v>
      </c>
      <c r="CB153" s="641">
        <f t="shared" si="60"/>
        <v>873708.81429630762</v>
      </c>
      <c r="CC153" s="641">
        <f t="shared" si="60"/>
        <v>873708.81429630762</v>
      </c>
      <c r="CD153" s="641">
        <f t="shared" si="60"/>
        <v>873708.81429630762</v>
      </c>
      <c r="CE153" s="641">
        <f t="shared" ref="CE153:CN162" si="61">IF(VLOOKUP($AF153,$T$61:$X$161,2)+VLOOKUP(CE$142,$T$61:$X$161,$AF$141)+VLOOKUP(0,$T$61:$X$161,$AF$140)+VLOOKUP(0,$T$61:$X$161,5)+$Y$51+$Z$44-$U$17&lt;0,999999999,VLOOKUP($AF153,$T$61:$X$161,2)+VLOOKUP(CE$142,$T$61:$X$161,$AF$141)+VLOOKUP(0,$T$61:$X$161,$AF$140)+VLOOKUP(0,$T$61:$X$161,5)+$Y$51+$Z$44-$U$17)</f>
        <v>873708.81429630762</v>
      </c>
      <c r="CF153" s="641">
        <f t="shared" si="61"/>
        <v>873708.81429630762</v>
      </c>
      <c r="CG153" s="641">
        <f t="shared" si="61"/>
        <v>873708.81429630762</v>
      </c>
      <c r="CH153" s="641">
        <f t="shared" si="61"/>
        <v>873708.81429630762</v>
      </c>
      <c r="CI153" s="641">
        <f t="shared" si="61"/>
        <v>873708.81429630762</v>
      </c>
      <c r="CJ153" s="641">
        <f t="shared" si="61"/>
        <v>873708.81429630762</v>
      </c>
      <c r="CK153" s="641">
        <f t="shared" si="61"/>
        <v>873708.81429630762</v>
      </c>
      <c r="CL153" s="641">
        <f t="shared" si="61"/>
        <v>873708.81429630762</v>
      </c>
      <c r="CM153" s="641">
        <f t="shared" si="61"/>
        <v>873708.81429630762</v>
      </c>
      <c r="CN153" s="641">
        <f t="shared" si="61"/>
        <v>873708.81429630762</v>
      </c>
      <c r="CO153" s="641">
        <f t="shared" ref="CO153:CX162" si="62">IF(VLOOKUP($AF153,$T$61:$X$161,2)+VLOOKUP(CO$142,$T$61:$X$161,$AF$141)+VLOOKUP(0,$T$61:$X$161,$AF$140)+VLOOKUP(0,$T$61:$X$161,5)+$Y$51+$Z$44-$U$17&lt;0,999999999,VLOOKUP($AF153,$T$61:$X$161,2)+VLOOKUP(CO$142,$T$61:$X$161,$AF$141)+VLOOKUP(0,$T$61:$X$161,$AF$140)+VLOOKUP(0,$T$61:$X$161,5)+$Y$51+$Z$44-$U$17)</f>
        <v>873708.81429630762</v>
      </c>
      <c r="CP153" s="641">
        <f t="shared" si="62"/>
        <v>873708.81429630762</v>
      </c>
      <c r="CQ153" s="641">
        <f t="shared" si="62"/>
        <v>873708.81429630762</v>
      </c>
      <c r="CR153" s="641">
        <f t="shared" si="62"/>
        <v>873708.81429630762</v>
      </c>
      <c r="CS153" s="641">
        <f t="shared" si="62"/>
        <v>873708.81429630762</v>
      </c>
      <c r="CT153" s="641">
        <f t="shared" si="62"/>
        <v>873708.81429630762</v>
      </c>
      <c r="CU153" s="641">
        <f t="shared" si="62"/>
        <v>873708.81429630762</v>
      </c>
      <c r="CV153" s="641">
        <f t="shared" si="62"/>
        <v>873708.81429630762</v>
      </c>
      <c r="CW153" s="641">
        <f t="shared" si="62"/>
        <v>873708.81429630762</v>
      </c>
      <c r="CX153" s="641">
        <f t="shared" si="62"/>
        <v>873708.81429630762</v>
      </c>
      <c r="CY153" s="641">
        <f t="shared" ref="CY153:DH162" si="63">IF(VLOOKUP($AF153,$T$61:$X$161,2)+VLOOKUP(CY$142,$T$61:$X$161,$AF$141)+VLOOKUP(0,$T$61:$X$161,$AF$140)+VLOOKUP(0,$T$61:$X$161,5)+$Y$51+$Z$44-$U$17&lt;0,999999999,VLOOKUP($AF153,$T$61:$X$161,2)+VLOOKUP(CY$142,$T$61:$X$161,$AF$141)+VLOOKUP(0,$T$61:$X$161,$AF$140)+VLOOKUP(0,$T$61:$X$161,5)+$Y$51+$Z$44-$U$17)</f>
        <v>873708.81429630762</v>
      </c>
      <c r="CZ153" s="641">
        <f t="shared" si="63"/>
        <v>873708.81429630762</v>
      </c>
      <c r="DA153" s="641">
        <f t="shared" si="63"/>
        <v>873708.81429630762</v>
      </c>
      <c r="DB153" s="641">
        <f t="shared" si="63"/>
        <v>873708.81429630762</v>
      </c>
      <c r="DC153" s="641">
        <f t="shared" si="63"/>
        <v>873708.81429630762</v>
      </c>
      <c r="DD153" s="641">
        <f t="shared" si="63"/>
        <v>873708.81429630762</v>
      </c>
      <c r="DE153" s="641">
        <f t="shared" si="63"/>
        <v>873708.81429630762</v>
      </c>
      <c r="DF153" s="641">
        <f t="shared" si="63"/>
        <v>873708.81429630762</v>
      </c>
      <c r="DG153" s="641">
        <f t="shared" si="63"/>
        <v>873708.81429630762</v>
      </c>
      <c r="DH153" s="641">
        <f t="shared" si="63"/>
        <v>873708.81429630762</v>
      </c>
      <c r="DI153" s="641">
        <f t="shared" ref="DI153:DR162" si="64">IF(VLOOKUP($AF153,$T$61:$X$161,2)+VLOOKUP(DI$142,$T$61:$X$161,$AF$141)+VLOOKUP(0,$T$61:$X$161,$AF$140)+VLOOKUP(0,$T$61:$X$161,5)+$Y$51+$Z$44-$U$17&lt;0,999999999,VLOOKUP($AF153,$T$61:$X$161,2)+VLOOKUP(DI$142,$T$61:$X$161,$AF$141)+VLOOKUP(0,$T$61:$X$161,$AF$140)+VLOOKUP(0,$T$61:$X$161,5)+$Y$51+$Z$44-$U$17)</f>
        <v>873708.81429630762</v>
      </c>
      <c r="DJ153" s="641">
        <f t="shared" si="64"/>
        <v>873708.81429630762</v>
      </c>
      <c r="DK153" s="641">
        <f t="shared" si="64"/>
        <v>873708.81429630762</v>
      </c>
      <c r="DL153" s="641">
        <f t="shared" si="64"/>
        <v>873708.81429630762</v>
      </c>
      <c r="DM153" s="641">
        <f t="shared" si="64"/>
        <v>873708.81429630762</v>
      </c>
      <c r="DN153" s="641">
        <f t="shared" si="64"/>
        <v>873708.81429630762</v>
      </c>
      <c r="DO153" s="641">
        <f t="shared" si="64"/>
        <v>873708.81429630762</v>
      </c>
      <c r="DP153" s="641">
        <f t="shared" si="64"/>
        <v>873708.81429630762</v>
      </c>
      <c r="DQ153" s="641">
        <f t="shared" si="64"/>
        <v>873708.81429630762</v>
      </c>
      <c r="DR153" s="641">
        <f t="shared" si="64"/>
        <v>873708.81429630762</v>
      </c>
      <c r="DS153" s="641">
        <f t="shared" ref="DS153:EC162" si="65">IF(VLOOKUP($AF153,$T$61:$X$161,2)+VLOOKUP(DS$142,$T$61:$X$161,$AF$141)+VLOOKUP(0,$T$61:$X$161,$AF$140)+VLOOKUP(0,$T$61:$X$161,5)+$Y$51+$Z$44-$U$17&lt;0,999999999,VLOOKUP($AF153,$T$61:$X$161,2)+VLOOKUP(DS$142,$T$61:$X$161,$AF$141)+VLOOKUP(0,$T$61:$X$161,$AF$140)+VLOOKUP(0,$T$61:$X$161,5)+$Y$51+$Z$44-$U$17)</f>
        <v>873708.81429630762</v>
      </c>
      <c r="DT153" s="641">
        <f t="shared" si="65"/>
        <v>873708.81429630762</v>
      </c>
      <c r="DU153" s="641">
        <f t="shared" si="65"/>
        <v>873708.81429630762</v>
      </c>
      <c r="DV153" s="641">
        <f t="shared" si="65"/>
        <v>873708.81429630762</v>
      </c>
      <c r="DW153" s="641">
        <f t="shared" si="65"/>
        <v>873708.81429630762</v>
      </c>
      <c r="DX153" s="641">
        <f t="shared" si="65"/>
        <v>873708.81429630762</v>
      </c>
      <c r="DY153" s="641">
        <f t="shared" si="65"/>
        <v>873708.81429630762</v>
      </c>
      <c r="DZ153" s="641">
        <f t="shared" si="65"/>
        <v>873708.81429630762</v>
      </c>
      <c r="EA153" s="641">
        <f t="shared" si="65"/>
        <v>873708.81429630762</v>
      </c>
      <c r="EB153" s="641">
        <f t="shared" si="65"/>
        <v>873708.81429630762</v>
      </c>
      <c r="EC153" s="641">
        <f t="shared" si="65"/>
        <v>873708.81429630762</v>
      </c>
    </row>
    <row r="154" spans="20:133" ht="15.5">
      <c r="T154" s="126">
        <f t="shared" si="36"/>
        <v>93</v>
      </c>
      <c r="U154" s="29">
        <f t="shared" si="43"/>
        <v>0</v>
      </c>
      <c r="V154" s="29">
        <f t="shared" si="43"/>
        <v>0</v>
      </c>
      <c r="W154" s="29">
        <f t="shared" si="43"/>
        <v>0</v>
      </c>
      <c r="X154" s="29">
        <f t="shared" si="43"/>
        <v>0</v>
      </c>
      <c r="Y154" s="29"/>
      <c r="AB154" s="5">
        <f t="shared" si="44"/>
        <v>0</v>
      </c>
      <c r="AC154" s="128">
        <v>11</v>
      </c>
      <c r="AD154" s="129">
        <f t="shared" si="55"/>
        <v>757969.35275784612</v>
      </c>
      <c r="AE154" s="1108"/>
      <c r="AF154" s="128">
        <v>11</v>
      </c>
      <c r="AG154" s="641">
        <f t="shared" si="56"/>
        <v>1254814.352757846</v>
      </c>
      <c r="AH154" s="641">
        <f t="shared" si="56"/>
        <v>1191862.352757846</v>
      </c>
      <c r="AI154" s="641">
        <f t="shared" si="56"/>
        <v>1128910.352757846</v>
      </c>
      <c r="AJ154" s="641">
        <f t="shared" si="56"/>
        <v>1065958.352757846</v>
      </c>
      <c r="AK154" s="641">
        <f t="shared" si="56"/>
        <v>1003006.3527578461</v>
      </c>
      <c r="AL154" s="641">
        <f t="shared" si="56"/>
        <v>940054.35275784612</v>
      </c>
      <c r="AM154" s="641">
        <f t="shared" si="56"/>
        <v>878139.35275784612</v>
      </c>
      <c r="AN154" s="641">
        <f t="shared" si="56"/>
        <v>825679.35275784612</v>
      </c>
      <c r="AO154" s="641">
        <f t="shared" si="56"/>
        <v>773219.35275784612</v>
      </c>
      <c r="AP154" s="641">
        <f t="shared" si="56"/>
        <v>757969.35275784612</v>
      </c>
      <c r="AQ154" s="641">
        <f t="shared" si="57"/>
        <v>757969.35275784612</v>
      </c>
      <c r="AR154" s="641">
        <f t="shared" si="57"/>
        <v>757969.35275784612</v>
      </c>
      <c r="AS154" s="641">
        <f t="shared" si="57"/>
        <v>757969.35275784612</v>
      </c>
      <c r="AT154" s="641">
        <f t="shared" si="57"/>
        <v>757969.35275784612</v>
      </c>
      <c r="AU154" s="641">
        <f t="shared" si="57"/>
        <v>757969.35275784612</v>
      </c>
      <c r="AV154" s="641">
        <f t="shared" si="57"/>
        <v>757969.35275784612</v>
      </c>
      <c r="AW154" s="641">
        <f t="shared" si="57"/>
        <v>757969.35275784612</v>
      </c>
      <c r="AX154" s="641">
        <f t="shared" si="57"/>
        <v>757969.35275784612</v>
      </c>
      <c r="AY154" s="641">
        <f t="shared" si="57"/>
        <v>757969.35275784612</v>
      </c>
      <c r="AZ154" s="641">
        <f t="shared" si="57"/>
        <v>757969.35275784612</v>
      </c>
      <c r="BA154" s="641">
        <f t="shared" si="58"/>
        <v>757969.35275784612</v>
      </c>
      <c r="BB154" s="641">
        <f t="shared" si="58"/>
        <v>757969.35275784612</v>
      </c>
      <c r="BC154" s="641">
        <f t="shared" si="58"/>
        <v>757969.35275784612</v>
      </c>
      <c r="BD154" s="641">
        <f t="shared" si="58"/>
        <v>757969.35275784612</v>
      </c>
      <c r="BE154" s="641">
        <f t="shared" si="58"/>
        <v>757969.35275784612</v>
      </c>
      <c r="BF154" s="641">
        <f t="shared" si="58"/>
        <v>757969.35275784612</v>
      </c>
      <c r="BG154" s="641">
        <f t="shared" si="58"/>
        <v>757969.35275784612</v>
      </c>
      <c r="BH154" s="641">
        <f t="shared" si="58"/>
        <v>757969.35275784612</v>
      </c>
      <c r="BI154" s="641">
        <f t="shared" si="58"/>
        <v>757969.35275784612</v>
      </c>
      <c r="BJ154" s="641">
        <f t="shared" si="58"/>
        <v>757969.35275784612</v>
      </c>
      <c r="BK154" s="641">
        <f t="shared" si="59"/>
        <v>757969.35275784612</v>
      </c>
      <c r="BL154" s="641">
        <f t="shared" si="59"/>
        <v>757969.35275784612</v>
      </c>
      <c r="BM154" s="641">
        <f t="shared" si="59"/>
        <v>757969.35275784612</v>
      </c>
      <c r="BN154" s="641">
        <f t="shared" si="59"/>
        <v>757969.35275784612</v>
      </c>
      <c r="BO154" s="641">
        <f t="shared" si="59"/>
        <v>757969.35275784612</v>
      </c>
      <c r="BP154" s="641">
        <f t="shared" si="59"/>
        <v>757969.35275784612</v>
      </c>
      <c r="BQ154" s="641">
        <f t="shared" si="59"/>
        <v>757969.35275784612</v>
      </c>
      <c r="BR154" s="641">
        <f t="shared" si="59"/>
        <v>757969.35275784612</v>
      </c>
      <c r="BS154" s="641">
        <f t="shared" si="59"/>
        <v>757969.35275784612</v>
      </c>
      <c r="BT154" s="641">
        <f t="shared" si="59"/>
        <v>757969.35275784612</v>
      </c>
      <c r="BU154" s="641">
        <f t="shared" si="60"/>
        <v>757969.35275784612</v>
      </c>
      <c r="BV154" s="641">
        <f t="shared" si="60"/>
        <v>757969.35275784612</v>
      </c>
      <c r="BW154" s="641">
        <f t="shared" si="60"/>
        <v>757969.35275784612</v>
      </c>
      <c r="BX154" s="641">
        <f t="shared" si="60"/>
        <v>757969.35275784612</v>
      </c>
      <c r="BY154" s="641">
        <f t="shared" si="60"/>
        <v>757969.35275784612</v>
      </c>
      <c r="BZ154" s="641">
        <f t="shared" si="60"/>
        <v>757969.35275784612</v>
      </c>
      <c r="CA154" s="641">
        <f t="shared" si="60"/>
        <v>757969.35275784612</v>
      </c>
      <c r="CB154" s="641">
        <f t="shared" si="60"/>
        <v>757969.35275784612</v>
      </c>
      <c r="CC154" s="641">
        <f t="shared" si="60"/>
        <v>757969.35275784612</v>
      </c>
      <c r="CD154" s="641">
        <f t="shared" si="60"/>
        <v>757969.35275784612</v>
      </c>
      <c r="CE154" s="641">
        <f t="shared" si="61"/>
        <v>757969.35275784612</v>
      </c>
      <c r="CF154" s="641">
        <f t="shared" si="61"/>
        <v>757969.35275784612</v>
      </c>
      <c r="CG154" s="641">
        <f t="shared" si="61"/>
        <v>757969.35275784612</v>
      </c>
      <c r="CH154" s="641">
        <f t="shared" si="61"/>
        <v>757969.35275784612</v>
      </c>
      <c r="CI154" s="641">
        <f t="shared" si="61"/>
        <v>757969.35275784612</v>
      </c>
      <c r="CJ154" s="641">
        <f t="shared" si="61"/>
        <v>757969.35275784612</v>
      </c>
      <c r="CK154" s="641">
        <f t="shared" si="61"/>
        <v>757969.35275784612</v>
      </c>
      <c r="CL154" s="641">
        <f t="shared" si="61"/>
        <v>757969.35275784612</v>
      </c>
      <c r="CM154" s="641">
        <f t="shared" si="61"/>
        <v>757969.35275784612</v>
      </c>
      <c r="CN154" s="641">
        <f t="shared" si="61"/>
        <v>757969.35275784612</v>
      </c>
      <c r="CO154" s="641">
        <f t="shared" si="62"/>
        <v>757969.35275784612</v>
      </c>
      <c r="CP154" s="641">
        <f t="shared" si="62"/>
        <v>757969.35275784612</v>
      </c>
      <c r="CQ154" s="641">
        <f t="shared" si="62"/>
        <v>757969.35275784612</v>
      </c>
      <c r="CR154" s="641">
        <f t="shared" si="62"/>
        <v>757969.35275784612</v>
      </c>
      <c r="CS154" s="641">
        <f t="shared" si="62"/>
        <v>757969.35275784612</v>
      </c>
      <c r="CT154" s="641">
        <f t="shared" si="62"/>
        <v>757969.35275784612</v>
      </c>
      <c r="CU154" s="641">
        <f t="shared" si="62"/>
        <v>757969.35275784612</v>
      </c>
      <c r="CV154" s="641">
        <f t="shared" si="62"/>
        <v>757969.35275784612</v>
      </c>
      <c r="CW154" s="641">
        <f t="shared" si="62"/>
        <v>757969.35275784612</v>
      </c>
      <c r="CX154" s="641">
        <f t="shared" si="62"/>
        <v>757969.35275784612</v>
      </c>
      <c r="CY154" s="641">
        <f t="shared" si="63"/>
        <v>757969.35275784612</v>
      </c>
      <c r="CZ154" s="641">
        <f t="shared" si="63"/>
        <v>757969.35275784612</v>
      </c>
      <c r="DA154" s="641">
        <f t="shared" si="63"/>
        <v>757969.35275784612</v>
      </c>
      <c r="DB154" s="641">
        <f t="shared" si="63"/>
        <v>757969.35275784612</v>
      </c>
      <c r="DC154" s="641">
        <f t="shared" si="63"/>
        <v>757969.35275784612</v>
      </c>
      <c r="DD154" s="641">
        <f t="shared" si="63"/>
        <v>757969.35275784612</v>
      </c>
      <c r="DE154" s="641">
        <f t="shared" si="63"/>
        <v>757969.35275784612</v>
      </c>
      <c r="DF154" s="641">
        <f t="shared" si="63"/>
        <v>757969.35275784612</v>
      </c>
      <c r="DG154" s="641">
        <f t="shared" si="63"/>
        <v>757969.35275784612</v>
      </c>
      <c r="DH154" s="641">
        <f t="shared" si="63"/>
        <v>757969.35275784612</v>
      </c>
      <c r="DI154" s="641">
        <f t="shared" si="64"/>
        <v>757969.35275784612</v>
      </c>
      <c r="DJ154" s="641">
        <f t="shared" si="64"/>
        <v>757969.35275784612</v>
      </c>
      <c r="DK154" s="641">
        <f t="shared" si="64"/>
        <v>757969.35275784612</v>
      </c>
      <c r="DL154" s="641">
        <f t="shared" si="64"/>
        <v>757969.35275784612</v>
      </c>
      <c r="DM154" s="641">
        <f t="shared" si="64"/>
        <v>757969.35275784612</v>
      </c>
      <c r="DN154" s="641">
        <f t="shared" si="64"/>
        <v>757969.35275784612</v>
      </c>
      <c r="DO154" s="641">
        <f t="shared" si="64"/>
        <v>757969.35275784612</v>
      </c>
      <c r="DP154" s="641">
        <f t="shared" si="64"/>
        <v>757969.35275784612</v>
      </c>
      <c r="DQ154" s="641">
        <f t="shared" si="64"/>
        <v>757969.35275784612</v>
      </c>
      <c r="DR154" s="641">
        <f t="shared" si="64"/>
        <v>757969.35275784612</v>
      </c>
      <c r="DS154" s="641">
        <f t="shared" si="65"/>
        <v>757969.35275784612</v>
      </c>
      <c r="DT154" s="641">
        <f t="shared" si="65"/>
        <v>757969.35275784612</v>
      </c>
      <c r="DU154" s="641">
        <f t="shared" si="65"/>
        <v>757969.35275784612</v>
      </c>
      <c r="DV154" s="641">
        <f t="shared" si="65"/>
        <v>757969.35275784612</v>
      </c>
      <c r="DW154" s="641">
        <f t="shared" si="65"/>
        <v>757969.35275784612</v>
      </c>
      <c r="DX154" s="641">
        <f t="shared" si="65"/>
        <v>757969.35275784612</v>
      </c>
      <c r="DY154" s="641">
        <f t="shared" si="65"/>
        <v>757969.35275784612</v>
      </c>
      <c r="DZ154" s="641">
        <f t="shared" si="65"/>
        <v>757969.35275784612</v>
      </c>
      <c r="EA154" s="641">
        <f t="shared" si="65"/>
        <v>757969.35275784612</v>
      </c>
      <c r="EB154" s="641">
        <f t="shared" si="65"/>
        <v>757969.35275784612</v>
      </c>
      <c r="EC154" s="641">
        <f t="shared" si="65"/>
        <v>757969.35275784612</v>
      </c>
    </row>
    <row r="155" spans="20:133" ht="15.5">
      <c r="T155" s="126">
        <f t="shared" si="36"/>
        <v>94</v>
      </c>
      <c r="U155" s="29">
        <f t="shared" si="43"/>
        <v>0</v>
      </c>
      <c r="V155" s="29">
        <f t="shared" si="43"/>
        <v>0</v>
      </c>
      <c r="W155" s="29">
        <f t="shared" si="43"/>
        <v>0</v>
      </c>
      <c r="X155" s="29">
        <f t="shared" si="43"/>
        <v>0</v>
      </c>
      <c r="Y155" s="29"/>
      <c r="AB155" s="5">
        <f t="shared" si="44"/>
        <v>0</v>
      </c>
      <c r="AC155" s="128">
        <v>12</v>
      </c>
      <c r="AD155" s="129">
        <f t="shared" si="55"/>
        <v>642229.89121938462</v>
      </c>
      <c r="AE155" s="1108"/>
      <c r="AF155" s="128">
        <v>12</v>
      </c>
      <c r="AG155" s="641">
        <f t="shared" si="56"/>
        <v>1139074.8912193845</v>
      </c>
      <c r="AH155" s="641">
        <f t="shared" si="56"/>
        <v>1076122.8912193845</v>
      </c>
      <c r="AI155" s="641">
        <f t="shared" si="56"/>
        <v>1013170.8912193846</v>
      </c>
      <c r="AJ155" s="641">
        <f t="shared" si="56"/>
        <v>950218.89121938462</v>
      </c>
      <c r="AK155" s="641">
        <f t="shared" si="56"/>
        <v>887266.89121938462</v>
      </c>
      <c r="AL155" s="641">
        <f t="shared" si="56"/>
        <v>824314.89121938462</v>
      </c>
      <c r="AM155" s="641">
        <f t="shared" si="56"/>
        <v>762399.89121938462</v>
      </c>
      <c r="AN155" s="641">
        <f t="shared" si="56"/>
        <v>709939.89121938462</v>
      </c>
      <c r="AO155" s="641">
        <f t="shared" si="56"/>
        <v>657479.89121938462</v>
      </c>
      <c r="AP155" s="641">
        <f t="shared" si="56"/>
        <v>642229.89121938462</v>
      </c>
      <c r="AQ155" s="641">
        <f t="shared" si="57"/>
        <v>642229.89121938462</v>
      </c>
      <c r="AR155" s="641">
        <f t="shared" si="57"/>
        <v>642229.89121938462</v>
      </c>
      <c r="AS155" s="641">
        <f t="shared" si="57"/>
        <v>642229.89121938462</v>
      </c>
      <c r="AT155" s="641">
        <f t="shared" si="57"/>
        <v>642229.89121938462</v>
      </c>
      <c r="AU155" s="641">
        <f t="shared" si="57"/>
        <v>642229.89121938462</v>
      </c>
      <c r="AV155" s="641">
        <f t="shared" si="57"/>
        <v>642229.89121938462</v>
      </c>
      <c r="AW155" s="641">
        <f t="shared" si="57"/>
        <v>642229.89121938462</v>
      </c>
      <c r="AX155" s="641">
        <f t="shared" si="57"/>
        <v>642229.89121938462</v>
      </c>
      <c r="AY155" s="641">
        <f t="shared" si="57"/>
        <v>642229.89121938462</v>
      </c>
      <c r="AZ155" s="641">
        <f t="shared" si="57"/>
        <v>642229.89121938462</v>
      </c>
      <c r="BA155" s="641">
        <f t="shared" si="58"/>
        <v>642229.89121938462</v>
      </c>
      <c r="BB155" s="641">
        <f t="shared" si="58"/>
        <v>642229.89121938462</v>
      </c>
      <c r="BC155" s="641">
        <f t="shared" si="58"/>
        <v>642229.89121938462</v>
      </c>
      <c r="BD155" s="641">
        <f t="shared" si="58"/>
        <v>642229.89121938462</v>
      </c>
      <c r="BE155" s="641">
        <f t="shared" si="58"/>
        <v>642229.89121938462</v>
      </c>
      <c r="BF155" s="641">
        <f t="shared" si="58"/>
        <v>642229.89121938462</v>
      </c>
      <c r="BG155" s="641">
        <f t="shared" si="58"/>
        <v>642229.89121938462</v>
      </c>
      <c r="BH155" s="641">
        <f t="shared" si="58"/>
        <v>642229.89121938462</v>
      </c>
      <c r="BI155" s="641">
        <f t="shared" si="58"/>
        <v>642229.89121938462</v>
      </c>
      <c r="BJ155" s="641">
        <f t="shared" si="58"/>
        <v>642229.89121938462</v>
      </c>
      <c r="BK155" s="641">
        <f t="shared" si="59"/>
        <v>642229.89121938462</v>
      </c>
      <c r="BL155" s="641">
        <f t="shared" si="59"/>
        <v>642229.89121938462</v>
      </c>
      <c r="BM155" s="641">
        <f t="shared" si="59"/>
        <v>642229.89121938462</v>
      </c>
      <c r="BN155" s="641">
        <f t="shared" si="59"/>
        <v>642229.89121938462</v>
      </c>
      <c r="BO155" s="641">
        <f t="shared" si="59"/>
        <v>642229.89121938462</v>
      </c>
      <c r="BP155" s="641">
        <f t="shared" si="59"/>
        <v>642229.89121938462</v>
      </c>
      <c r="BQ155" s="641">
        <f t="shared" si="59"/>
        <v>642229.89121938462</v>
      </c>
      <c r="BR155" s="641">
        <f t="shared" si="59"/>
        <v>642229.89121938462</v>
      </c>
      <c r="BS155" s="641">
        <f t="shared" si="59"/>
        <v>642229.89121938462</v>
      </c>
      <c r="BT155" s="641">
        <f t="shared" si="59"/>
        <v>642229.89121938462</v>
      </c>
      <c r="BU155" s="641">
        <f t="shared" si="60"/>
        <v>642229.89121938462</v>
      </c>
      <c r="BV155" s="641">
        <f t="shared" si="60"/>
        <v>642229.89121938462</v>
      </c>
      <c r="BW155" s="641">
        <f t="shared" si="60"/>
        <v>642229.89121938462</v>
      </c>
      <c r="BX155" s="641">
        <f t="shared" si="60"/>
        <v>642229.89121938462</v>
      </c>
      <c r="BY155" s="641">
        <f t="shared" si="60"/>
        <v>642229.89121938462</v>
      </c>
      <c r="BZ155" s="641">
        <f t="shared" si="60"/>
        <v>642229.89121938462</v>
      </c>
      <c r="CA155" s="641">
        <f t="shared" si="60"/>
        <v>642229.89121938462</v>
      </c>
      <c r="CB155" s="641">
        <f t="shared" si="60"/>
        <v>642229.89121938462</v>
      </c>
      <c r="CC155" s="641">
        <f t="shared" si="60"/>
        <v>642229.89121938462</v>
      </c>
      <c r="CD155" s="641">
        <f t="shared" si="60"/>
        <v>642229.89121938462</v>
      </c>
      <c r="CE155" s="641">
        <f t="shared" si="61"/>
        <v>642229.89121938462</v>
      </c>
      <c r="CF155" s="641">
        <f t="shared" si="61"/>
        <v>642229.89121938462</v>
      </c>
      <c r="CG155" s="641">
        <f t="shared" si="61"/>
        <v>642229.89121938462</v>
      </c>
      <c r="CH155" s="641">
        <f t="shared" si="61"/>
        <v>642229.89121938462</v>
      </c>
      <c r="CI155" s="641">
        <f t="shared" si="61"/>
        <v>642229.89121938462</v>
      </c>
      <c r="CJ155" s="641">
        <f t="shared" si="61"/>
        <v>642229.89121938462</v>
      </c>
      <c r="CK155" s="641">
        <f t="shared" si="61"/>
        <v>642229.89121938462</v>
      </c>
      <c r="CL155" s="641">
        <f t="shared" si="61"/>
        <v>642229.89121938462</v>
      </c>
      <c r="CM155" s="641">
        <f t="shared" si="61"/>
        <v>642229.89121938462</v>
      </c>
      <c r="CN155" s="641">
        <f t="shared" si="61"/>
        <v>642229.89121938462</v>
      </c>
      <c r="CO155" s="641">
        <f t="shared" si="62"/>
        <v>642229.89121938462</v>
      </c>
      <c r="CP155" s="641">
        <f t="shared" si="62"/>
        <v>642229.89121938462</v>
      </c>
      <c r="CQ155" s="641">
        <f t="shared" si="62"/>
        <v>642229.89121938462</v>
      </c>
      <c r="CR155" s="641">
        <f t="shared" si="62"/>
        <v>642229.89121938462</v>
      </c>
      <c r="CS155" s="641">
        <f t="shared" si="62"/>
        <v>642229.89121938462</v>
      </c>
      <c r="CT155" s="641">
        <f t="shared" si="62"/>
        <v>642229.89121938462</v>
      </c>
      <c r="CU155" s="641">
        <f t="shared" si="62"/>
        <v>642229.89121938462</v>
      </c>
      <c r="CV155" s="641">
        <f t="shared" si="62"/>
        <v>642229.89121938462</v>
      </c>
      <c r="CW155" s="641">
        <f t="shared" si="62"/>
        <v>642229.89121938462</v>
      </c>
      <c r="CX155" s="641">
        <f t="shared" si="62"/>
        <v>642229.89121938462</v>
      </c>
      <c r="CY155" s="641">
        <f t="shared" si="63"/>
        <v>642229.89121938462</v>
      </c>
      <c r="CZ155" s="641">
        <f t="shared" si="63"/>
        <v>642229.89121938462</v>
      </c>
      <c r="DA155" s="641">
        <f t="shared" si="63"/>
        <v>642229.89121938462</v>
      </c>
      <c r="DB155" s="641">
        <f t="shared" si="63"/>
        <v>642229.89121938462</v>
      </c>
      <c r="DC155" s="641">
        <f t="shared" si="63"/>
        <v>642229.89121938462</v>
      </c>
      <c r="DD155" s="641">
        <f t="shared" si="63"/>
        <v>642229.89121938462</v>
      </c>
      <c r="DE155" s="641">
        <f t="shared" si="63"/>
        <v>642229.89121938462</v>
      </c>
      <c r="DF155" s="641">
        <f t="shared" si="63"/>
        <v>642229.89121938462</v>
      </c>
      <c r="DG155" s="641">
        <f t="shared" si="63"/>
        <v>642229.89121938462</v>
      </c>
      <c r="DH155" s="641">
        <f t="shared" si="63"/>
        <v>642229.89121938462</v>
      </c>
      <c r="DI155" s="641">
        <f t="shared" si="64"/>
        <v>642229.89121938462</v>
      </c>
      <c r="DJ155" s="641">
        <f t="shared" si="64"/>
        <v>642229.89121938462</v>
      </c>
      <c r="DK155" s="641">
        <f t="shared" si="64"/>
        <v>642229.89121938462</v>
      </c>
      <c r="DL155" s="641">
        <f t="shared" si="64"/>
        <v>642229.89121938462</v>
      </c>
      <c r="DM155" s="641">
        <f t="shared" si="64"/>
        <v>642229.89121938462</v>
      </c>
      <c r="DN155" s="641">
        <f t="shared" si="64"/>
        <v>642229.89121938462</v>
      </c>
      <c r="DO155" s="641">
        <f t="shared" si="64"/>
        <v>642229.89121938462</v>
      </c>
      <c r="DP155" s="641">
        <f t="shared" si="64"/>
        <v>642229.89121938462</v>
      </c>
      <c r="DQ155" s="641">
        <f t="shared" si="64"/>
        <v>642229.89121938462</v>
      </c>
      <c r="DR155" s="641">
        <f t="shared" si="64"/>
        <v>642229.89121938462</v>
      </c>
      <c r="DS155" s="641">
        <f t="shared" si="65"/>
        <v>642229.89121938462</v>
      </c>
      <c r="DT155" s="641">
        <f t="shared" si="65"/>
        <v>642229.89121938462</v>
      </c>
      <c r="DU155" s="641">
        <f t="shared" si="65"/>
        <v>642229.89121938462</v>
      </c>
      <c r="DV155" s="641">
        <f t="shared" si="65"/>
        <v>642229.89121938462</v>
      </c>
      <c r="DW155" s="641">
        <f t="shared" si="65"/>
        <v>642229.89121938462</v>
      </c>
      <c r="DX155" s="641">
        <f t="shared" si="65"/>
        <v>642229.89121938462</v>
      </c>
      <c r="DY155" s="641">
        <f t="shared" si="65"/>
        <v>642229.89121938462</v>
      </c>
      <c r="DZ155" s="641">
        <f t="shared" si="65"/>
        <v>642229.89121938462</v>
      </c>
      <c r="EA155" s="641">
        <f t="shared" si="65"/>
        <v>642229.89121938462</v>
      </c>
      <c r="EB155" s="641">
        <f t="shared" si="65"/>
        <v>642229.89121938462</v>
      </c>
      <c r="EC155" s="641">
        <f t="shared" si="65"/>
        <v>642229.89121938462</v>
      </c>
    </row>
    <row r="156" spans="20:133" ht="15.5">
      <c r="T156" s="126">
        <f t="shared" si="36"/>
        <v>95</v>
      </c>
      <c r="U156" s="29">
        <f t="shared" si="43"/>
        <v>0</v>
      </c>
      <c r="V156" s="29">
        <f t="shared" si="43"/>
        <v>0</v>
      </c>
      <c r="W156" s="29">
        <f t="shared" si="43"/>
        <v>0</v>
      </c>
      <c r="X156" s="29">
        <f t="shared" si="43"/>
        <v>0</v>
      </c>
      <c r="Y156" s="29"/>
      <c r="AB156" s="5">
        <f t="shared" si="44"/>
        <v>0</v>
      </c>
      <c r="AC156" s="128">
        <v>13</v>
      </c>
      <c r="AD156" s="129">
        <f t="shared" si="55"/>
        <v>551265.52583476924</v>
      </c>
      <c r="AE156" s="1108"/>
      <c r="AF156" s="128">
        <v>13</v>
      </c>
      <c r="AG156" s="641">
        <f t="shared" si="56"/>
        <v>1048110.5258347692</v>
      </c>
      <c r="AH156" s="641">
        <f t="shared" si="56"/>
        <v>985158.52583476924</v>
      </c>
      <c r="AI156" s="641">
        <f t="shared" si="56"/>
        <v>922206.52583476924</v>
      </c>
      <c r="AJ156" s="641">
        <f t="shared" si="56"/>
        <v>859254.52583476924</v>
      </c>
      <c r="AK156" s="641">
        <f t="shared" si="56"/>
        <v>796302.52583476924</v>
      </c>
      <c r="AL156" s="641">
        <f t="shared" si="56"/>
        <v>733350.52583476924</v>
      </c>
      <c r="AM156" s="641">
        <f t="shared" si="56"/>
        <v>671435.52583476924</v>
      </c>
      <c r="AN156" s="641">
        <f t="shared" si="56"/>
        <v>618975.52583476924</v>
      </c>
      <c r="AO156" s="641">
        <f t="shared" si="56"/>
        <v>566515.52583476924</v>
      </c>
      <c r="AP156" s="641">
        <f t="shared" si="56"/>
        <v>551265.52583476924</v>
      </c>
      <c r="AQ156" s="641">
        <f t="shared" si="57"/>
        <v>551265.52583476924</v>
      </c>
      <c r="AR156" s="641">
        <f t="shared" si="57"/>
        <v>551265.52583476924</v>
      </c>
      <c r="AS156" s="641">
        <f t="shared" si="57"/>
        <v>551265.52583476924</v>
      </c>
      <c r="AT156" s="641">
        <f t="shared" si="57"/>
        <v>551265.52583476924</v>
      </c>
      <c r="AU156" s="641">
        <f t="shared" si="57"/>
        <v>551265.52583476924</v>
      </c>
      <c r="AV156" s="641">
        <f t="shared" si="57"/>
        <v>551265.52583476924</v>
      </c>
      <c r="AW156" s="641">
        <f t="shared" si="57"/>
        <v>551265.52583476924</v>
      </c>
      <c r="AX156" s="641">
        <f t="shared" si="57"/>
        <v>551265.52583476924</v>
      </c>
      <c r="AY156" s="641">
        <f t="shared" si="57"/>
        <v>551265.52583476924</v>
      </c>
      <c r="AZ156" s="641">
        <f t="shared" si="57"/>
        <v>551265.52583476924</v>
      </c>
      <c r="BA156" s="641">
        <f t="shared" si="58"/>
        <v>551265.52583476924</v>
      </c>
      <c r="BB156" s="641">
        <f t="shared" si="58"/>
        <v>551265.52583476924</v>
      </c>
      <c r="BC156" s="641">
        <f t="shared" si="58"/>
        <v>551265.52583476924</v>
      </c>
      <c r="BD156" s="641">
        <f t="shared" si="58"/>
        <v>551265.52583476924</v>
      </c>
      <c r="BE156" s="641">
        <f t="shared" si="58"/>
        <v>551265.52583476924</v>
      </c>
      <c r="BF156" s="641">
        <f t="shared" si="58"/>
        <v>551265.52583476924</v>
      </c>
      <c r="BG156" s="641">
        <f t="shared" si="58"/>
        <v>551265.52583476924</v>
      </c>
      <c r="BH156" s="641">
        <f t="shared" si="58"/>
        <v>551265.52583476924</v>
      </c>
      <c r="BI156" s="641">
        <f t="shared" si="58"/>
        <v>551265.52583476924</v>
      </c>
      <c r="BJ156" s="641">
        <f t="shared" si="58"/>
        <v>551265.52583476924</v>
      </c>
      <c r="BK156" s="641">
        <f t="shared" si="59"/>
        <v>551265.52583476924</v>
      </c>
      <c r="BL156" s="641">
        <f t="shared" si="59"/>
        <v>551265.52583476924</v>
      </c>
      <c r="BM156" s="641">
        <f t="shared" si="59"/>
        <v>551265.52583476924</v>
      </c>
      <c r="BN156" s="641">
        <f t="shared" si="59"/>
        <v>551265.52583476924</v>
      </c>
      <c r="BO156" s="641">
        <f t="shared" si="59"/>
        <v>551265.52583476924</v>
      </c>
      <c r="BP156" s="641">
        <f t="shared" si="59"/>
        <v>551265.52583476924</v>
      </c>
      <c r="BQ156" s="641">
        <f t="shared" si="59"/>
        <v>551265.52583476924</v>
      </c>
      <c r="BR156" s="641">
        <f t="shared" si="59"/>
        <v>551265.52583476924</v>
      </c>
      <c r="BS156" s="641">
        <f t="shared" si="59"/>
        <v>551265.52583476924</v>
      </c>
      <c r="BT156" s="641">
        <f t="shared" si="59"/>
        <v>551265.52583476924</v>
      </c>
      <c r="BU156" s="641">
        <f t="shared" si="60"/>
        <v>551265.52583476924</v>
      </c>
      <c r="BV156" s="641">
        <f t="shared" si="60"/>
        <v>551265.52583476924</v>
      </c>
      <c r="BW156" s="641">
        <f t="shared" si="60"/>
        <v>551265.52583476924</v>
      </c>
      <c r="BX156" s="641">
        <f t="shared" si="60"/>
        <v>551265.52583476924</v>
      </c>
      <c r="BY156" s="641">
        <f t="shared" si="60"/>
        <v>551265.52583476924</v>
      </c>
      <c r="BZ156" s="641">
        <f t="shared" si="60"/>
        <v>551265.52583476924</v>
      </c>
      <c r="CA156" s="641">
        <f t="shared" si="60"/>
        <v>551265.52583476924</v>
      </c>
      <c r="CB156" s="641">
        <f t="shared" si="60"/>
        <v>551265.52583476924</v>
      </c>
      <c r="CC156" s="641">
        <f t="shared" si="60"/>
        <v>551265.52583476924</v>
      </c>
      <c r="CD156" s="641">
        <f t="shared" si="60"/>
        <v>551265.52583476924</v>
      </c>
      <c r="CE156" s="641">
        <f t="shared" si="61"/>
        <v>551265.52583476924</v>
      </c>
      <c r="CF156" s="641">
        <f t="shared" si="61"/>
        <v>551265.52583476924</v>
      </c>
      <c r="CG156" s="641">
        <f t="shared" si="61"/>
        <v>551265.52583476924</v>
      </c>
      <c r="CH156" s="641">
        <f t="shared" si="61"/>
        <v>551265.52583476924</v>
      </c>
      <c r="CI156" s="641">
        <f t="shared" si="61"/>
        <v>551265.52583476924</v>
      </c>
      <c r="CJ156" s="641">
        <f t="shared" si="61"/>
        <v>551265.52583476924</v>
      </c>
      <c r="CK156" s="641">
        <f t="shared" si="61"/>
        <v>551265.52583476924</v>
      </c>
      <c r="CL156" s="641">
        <f t="shared" si="61"/>
        <v>551265.52583476924</v>
      </c>
      <c r="CM156" s="641">
        <f t="shared" si="61"/>
        <v>551265.52583476924</v>
      </c>
      <c r="CN156" s="641">
        <f t="shared" si="61"/>
        <v>551265.52583476924</v>
      </c>
      <c r="CO156" s="641">
        <f t="shared" si="62"/>
        <v>551265.52583476924</v>
      </c>
      <c r="CP156" s="641">
        <f t="shared" si="62"/>
        <v>551265.52583476924</v>
      </c>
      <c r="CQ156" s="641">
        <f t="shared" si="62"/>
        <v>551265.52583476924</v>
      </c>
      <c r="CR156" s="641">
        <f t="shared" si="62"/>
        <v>551265.52583476924</v>
      </c>
      <c r="CS156" s="641">
        <f t="shared" si="62"/>
        <v>551265.52583476924</v>
      </c>
      <c r="CT156" s="641">
        <f t="shared" si="62"/>
        <v>551265.52583476924</v>
      </c>
      <c r="CU156" s="641">
        <f t="shared" si="62"/>
        <v>551265.52583476924</v>
      </c>
      <c r="CV156" s="641">
        <f t="shared" si="62"/>
        <v>551265.52583476924</v>
      </c>
      <c r="CW156" s="641">
        <f t="shared" si="62"/>
        <v>551265.52583476924</v>
      </c>
      <c r="CX156" s="641">
        <f t="shared" si="62"/>
        <v>551265.52583476924</v>
      </c>
      <c r="CY156" s="641">
        <f t="shared" si="63"/>
        <v>551265.52583476924</v>
      </c>
      <c r="CZ156" s="641">
        <f t="shared" si="63"/>
        <v>551265.52583476924</v>
      </c>
      <c r="DA156" s="641">
        <f t="shared" si="63"/>
        <v>551265.52583476924</v>
      </c>
      <c r="DB156" s="641">
        <f t="shared" si="63"/>
        <v>551265.52583476924</v>
      </c>
      <c r="DC156" s="641">
        <f t="shared" si="63"/>
        <v>551265.52583476924</v>
      </c>
      <c r="DD156" s="641">
        <f t="shared" si="63"/>
        <v>551265.52583476924</v>
      </c>
      <c r="DE156" s="641">
        <f t="shared" si="63"/>
        <v>551265.52583476924</v>
      </c>
      <c r="DF156" s="641">
        <f t="shared" si="63"/>
        <v>551265.52583476924</v>
      </c>
      <c r="DG156" s="641">
        <f t="shared" si="63"/>
        <v>551265.52583476924</v>
      </c>
      <c r="DH156" s="641">
        <f t="shared" si="63"/>
        <v>551265.52583476924</v>
      </c>
      <c r="DI156" s="641">
        <f t="shared" si="64"/>
        <v>551265.52583476924</v>
      </c>
      <c r="DJ156" s="641">
        <f t="shared" si="64"/>
        <v>551265.52583476924</v>
      </c>
      <c r="DK156" s="641">
        <f t="shared" si="64"/>
        <v>551265.52583476924</v>
      </c>
      <c r="DL156" s="641">
        <f t="shared" si="64"/>
        <v>551265.52583476924</v>
      </c>
      <c r="DM156" s="641">
        <f t="shared" si="64"/>
        <v>551265.52583476924</v>
      </c>
      <c r="DN156" s="641">
        <f t="shared" si="64"/>
        <v>551265.52583476924</v>
      </c>
      <c r="DO156" s="641">
        <f t="shared" si="64"/>
        <v>551265.52583476924</v>
      </c>
      <c r="DP156" s="641">
        <f t="shared" si="64"/>
        <v>551265.52583476924</v>
      </c>
      <c r="DQ156" s="641">
        <f t="shared" si="64"/>
        <v>551265.52583476924</v>
      </c>
      <c r="DR156" s="641">
        <f t="shared" si="64"/>
        <v>551265.52583476924</v>
      </c>
      <c r="DS156" s="641">
        <f t="shared" si="65"/>
        <v>551265.52583476924</v>
      </c>
      <c r="DT156" s="641">
        <f t="shared" si="65"/>
        <v>551265.52583476924</v>
      </c>
      <c r="DU156" s="641">
        <f t="shared" si="65"/>
        <v>551265.52583476924</v>
      </c>
      <c r="DV156" s="641">
        <f t="shared" si="65"/>
        <v>551265.52583476924</v>
      </c>
      <c r="DW156" s="641">
        <f t="shared" si="65"/>
        <v>551265.52583476924</v>
      </c>
      <c r="DX156" s="641">
        <f t="shared" si="65"/>
        <v>551265.52583476924</v>
      </c>
      <c r="DY156" s="641">
        <f t="shared" si="65"/>
        <v>551265.52583476924</v>
      </c>
      <c r="DZ156" s="641">
        <f t="shared" si="65"/>
        <v>551265.52583476924</v>
      </c>
      <c r="EA156" s="641">
        <f t="shared" si="65"/>
        <v>551265.52583476924</v>
      </c>
      <c r="EB156" s="641">
        <f t="shared" si="65"/>
        <v>551265.52583476924</v>
      </c>
      <c r="EC156" s="641">
        <f t="shared" si="65"/>
        <v>551265.52583476924</v>
      </c>
    </row>
    <row r="157" spans="20:133" ht="15.5">
      <c r="T157" s="126">
        <f t="shared" si="36"/>
        <v>96</v>
      </c>
      <c r="U157" s="29">
        <f t="shared" si="43"/>
        <v>0</v>
      </c>
      <c r="V157" s="29">
        <f t="shared" si="43"/>
        <v>0</v>
      </c>
      <c r="W157" s="29">
        <f t="shared" si="43"/>
        <v>0</v>
      </c>
      <c r="X157" s="29">
        <f t="shared" si="43"/>
        <v>0</v>
      </c>
      <c r="Y157" s="29"/>
      <c r="AB157" s="5">
        <f t="shared" si="44"/>
        <v>0</v>
      </c>
      <c r="AC157" s="128">
        <v>14</v>
      </c>
      <c r="AD157" s="129">
        <f t="shared" si="55"/>
        <v>488134.91045015381</v>
      </c>
      <c r="AE157" s="1108"/>
      <c r="AF157" s="128">
        <v>14</v>
      </c>
      <c r="AG157" s="641">
        <f t="shared" si="56"/>
        <v>984979.91045015375</v>
      </c>
      <c r="AH157" s="641">
        <f t="shared" si="56"/>
        <v>922027.91045015375</v>
      </c>
      <c r="AI157" s="641">
        <f t="shared" si="56"/>
        <v>859075.91045015375</v>
      </c>
      <c r="AJ157" s="641">
        <f t="shared" si="56"/>
        <v>796123.91045015375</v>
      </c>
      <c r="AK157" s="641">
        <f t="shared" si="56"/>
        <v>733171.91045015375</v>
      </c>
      <c r="AL157" s="641">
        <f t="shared" si="56"/>
        <v>670219.91045015375</v>
      </c>
      <c r="AM157" s="641">
        <f t="shared" si="56"/>
        <v>608304.91045015375</v>
      </c>
      <c r="AN157" s="641">
        <f t="shared" si="56"/>
        <v>555844.91045015375</v>
      </c>
      <c r="AO157" s="641">
        <f t="shared" si="56"/>
        <v>503384.91045015375</v>
      </c>
      <c r="AP157" s="641">
        <f t="shared" si="56"/>
        <v>488134.91045015381</v>
      </c>
      <c r="AQ157" s="641">
        <f t="shared" si="57"/>
        <v>488134.91045015381</v>
      </c>
      <c r="AR157" s="641">
        <f t="shared" si="57"/>
        <v>488134.91045015381</v>
      </c>
      <c r="AS157" s="641">
        <f t="shared" si="57"/>
        <v>488134.91045015381</v>
      </c>
      <c r="AT157" s="641">
        <f t="shared" si="57"/>
        <v>488134.91045015381</v>
      </c>
      <c r="AU157" s="641">
        <f t="shared" si="57"/>
        <v>488134.91045015381</v>
      </c>
      <c r="AV157" s="641">
        <f t="shared" si="57"/>
        <v>488134.91045015381</v>
      </c>
      <c r="AW157" s="641">
        <f t="shared" si="57"/>
        <v>488134.91045015381</v>
      </c>
      <c r="AX157" s="641">
        <f t="shared" si="57"/>
        <v>488134.91045015381</v>
      </c>
      <c r="AY157" s="641">
        <f t="shared" si="57"/>
        <v>488134.91045015381</v>
      </c>
      <c r="AZ157" s="641">
        <f t="shared" si="57"/>
        <v>488134.91045015381</v>
      </c>
      <c r="BA157" s="641">
        <f t="shared" si="58"/>
        <v>488134.91045015381</v>
      </c>
      <c r="BB157" s="641">
        <f t="shared" si="58"/>
        <v>488134.91045015381</v>
      </c>
      <c r="BC157" s="641">
        <f t="shared" si="58"/>
        <v>488134.91045015381</v>
      </c>
      <c r="BD157" s="641">
        <f t="shared" si="58"/>
        <v>488134.91045015381</v>
      </c>
      <c r="BE157" s="641">
        <f t="shared" si="58"/>
        <v>488134.91045015381</v>
      </c>
      <c r="BF157" s="641">
        <f t="shared" si="58"/>
        <v>488134.91045015381</v>
      </c>
      <c r="BG157" s="641">
        <f t="shared" si="58"/>
        <v>488134.91045015381</v>
      </c>
      <c r="BH157" s="641">
        <f t="shared" si="58"/>
        <v>488134.91045015381</v>
      </c>
      <c r="BI157" s="641">
        <f t="shared" si="58"/>
        <v>488134.91045015381</v>
      </c>
      <c r="BJ157" s="641">
        <f t="shared" si="58"/>
        <v>488134.91045015381</v>
      </c>
      <c r="BK157" s="641">
        <f t="shared" si="59"/>
        <v>488134.91045015381</v>
      </c>
      <c r="BL157" s="641">
        <f t="shared" si="59"/>
        <v>488134.91045015381</v>
      </c>
      <c r="BM157" s="641">
        <f t="shared" si="59"/>
        <v>488134.91045015381</v>
      </c>
      <c r="BN157" s="641">
        <f t="shared" si="59"/>
        <v>488134.91045015381</v>
      </c>
      <c r="BO157" s="641">
        <f t="shared" si="59"/>
        <v>488134.91045015381</v>
      </c>
      <c r="BP157" s="641">
        <f t="shared" si="59"/>
        <v>488134.91045015381</v>
      </c>
      <c r="BQ157" s="641">
        <f t="shared" si="59"/>
        <v>488134.91045015381</v>
      </c>
      <c r="BR157" s="641">
        <f t="shared" si="59"/>
        <v>488134.91045015381</v>
      </c>
      <c r="BS157" s="641">
        <f t="shared" si="59"/>
        <v>488134.91045015381</v>
      </c>
      <c r="BT157" s="641">
        <f t="shared" si="59"/>
        <v>488134.91045015381</v>
      </c>
      <c r="BU157" s="641">
        <f t="shared" si="60"/>
        <v>488134.91045015381</v>
      </c>
      <c r="BV157" s="641">
        <f t="shared" si="60"/>
        <v>488134.91045015381</v>
      </c>
      <c r="BW157" s="641">
        <f t="shared" si="60"/>
        <v>488134.91045015381</v>
      </c>
      <c r="BX157" s="641">
        <f t="shared" si="60"/>
        <v>488134.91045015381</v>
      </c>
      <c r="BY157" s="641">
        <f t="shared" si="60"/>
        <v>488134.91045015381</v>
      </c>
      <c r="BZ157" s="641">
        <f t="shared" si="60"/>
        <v>488134.91045015381</v>
      </c>
      <c r="CA157" s="641">
        <f t="shared" si="60"/>
        <v>488134.91045015381</v>
      </c>
      <c r="CB157" s="641">
        <f t="shared" si="60"/>
        <v>488134.91045015381</v>
      </c>
      <c r="CC157" s="641">
        <f t="shared" si="60"/>
        <v>488134.91045015381</v>
      </c>
      <c r="CD157" s="641">
        <f t="shared" si="60"/>
        <v>488134.91045015381</v>
      </c>
      <c r="CE157" s="641">
        <f t="shared" si="61"/>
        <v>488134.91045015381</v>
      </c>
      <c r="CF157" s="641">
        <f t="shared" si="61"/>
        <v>488134.91045015381</v>
      </c>
      <c r="CG157" s="641">
        <f t="shared" si="61"/>
        <v>488134.91045015381</v>
      </c>
      <c r="CH157" s="641">
        <f t="shared" si="61"/>
        <v>488134.91045015381</v>
      </c>
      <c r="CI157" s="641">
        <f t="shared" si="61"/>
        <v>488134.91045015381</v>
      </c>
      <c r="CJ157" s="641">
        <f t="shared" si="61"/>
        <v>488134.91045015381</v>
      </c>
      <c r="CK157" s="641">
        <f t="shared" si="61"/>
        <v>488134.91045015381</v>
      </c>
      <c r="CL157" s="641">
        <f t="shared" si="61"/>
        <v>488134.91045015381</v>
      </c>
      <c r="CM157" s="641">
        <f t="shared" si="61"/>
        <v>488134.91045015381</v>
      </c>
      <c r="CN157" s="641">
        <f t="shared" si="61"/>
        <v>488134.91045015381</v>
      </c>
      <c r="CO157" s="641">
        <f t="shared" si="62"/>
        <v>488134.91045015381</v>
      </c>
      <c r="CP157" s="641">
        <f t="shared" si="62"/>
        <v>488134.91045015381</v>
      </c>
      <c r="CQ157" s="641">
        <f t="shared" si="62"/>
        <v>488134.91045015381</v>
      </c>
      <c r="CR157" s="641">
        <f t="shared" si="62"/>
        <v>488134.91045015381</v>
      </c>
      <c r="CS157" s="641">
        <f t="shared" si="62"/>
        <v>488134.91045015381</v>
      </c>
      <c r="CT157" s="641">
        <f t="shared" si="62"/>
        <v>488134.91045015381</v>
      </c>
      <c r="CU157" s="641">
        <f t="shared" si="62"/>
        <v>488134.91045015381</v>
      </c>
      <c r="CV157" s="641">
        <f t="shared" si="62"/>
        <v>488134.91045015381</v>
      </c>
      <c r="CW157" s="641">
        <f t="shared" si="62"/>
        <v>488134.91045015381</v>
      </c>
      <c r="CX157" s="641">
        <f t="shared" si="62"/>
        <v>488134.91045015381</v>
      </c>
      <c r="CY157" s="641">
        <f t="shared" si="63"/>
        <v>488134.91045015381</v>
      </c>
      <c r="CZ157" s="641">
        <f t="shared" si="63"/>
        <v>488134.91045015381</v>
      </c>
      <c r="DA157" s="641">
        <f t="shared" si="63"/>
        <v>488134.91045015381</v>
      </c>
      <c r="DB157" s="641">
        <f t="shared" si="63"/>
        <v>488134.91045015381</v>
      </c>
      <c r="DC157" s="641">
        <f t="shared" si="63"/>
        <v>488134.91045015381</v>
      </c>
      <c r="DD157" s="641">
        <f t="shared" si="63"/>
        <v>488134.91045015381</v>
      </c>
      <c r="DE157" s="641">
        <f t="shared" si="63"/>
        <v>488134.91045015381</v>
      </c>
      <c r="DF157" s="641">
        <f t="shared" si="63"/>
        <v>488134.91045015381</v>
      </c>
      <c r="DG157" s="641">
        <f t="shared" si="63"/>
        <v>488134.91045015381</v>
      </c>
      <c r="DH157" s="641">
        <f t="shared" si="63"/>
        <v>488134.91045015381</v>
      </c>
      <c r="DI157" s="641">
        <f t="shared" si="64"/>
        <v>488134.91045015381</v>
      </c>
      <c r="DJ157" s="641">
        <f t="shared" si="64"/>
        <v>488134.91045015381</v>
      </c>
      <c r="DK157" s="641">
        <f t="shared" si="64"/>
        <v>488134.91045015381</v>
      </c>
      <c r="DL157" s="641">
        <f t="shared" si="64"/>
        <v>488134.91045015381</v>
      </c>
      <c r="DM157" s="641">
        <f t="shared" si="64"/>
        <v>488134.91045015381</v>
      </c>
      <c r="DN157" s="641">
        <f t="shared" si="64"/>
        <v>488134.91045015381</v>
      </c>
      <c r="DO157" s="641">
        <f t="shared" si="64"/>
        <v>488134.91045015381</v>
      </c>
      <c r="DP157" s="641">
        <f t="shared" si="64"/>
        <v>488134.91045015381</v>
      </c>
      <c r="DQ157" s="641">
        <f t="shared" si="64"/>
        <v>488134.91045015381</v>
      </c>
      <c r="DR157" s="641">
        <f t="shared" si="64"/>
        <v>488134.91045015381</v>
      </c>
      <c r="DS157" s="641">
        <f t="shared" si="65"/>
        <v>488134.91045015381</v>
      </c>
      <c r="DT157" s="641">
        <f t="shared" si="65"/>
        <v>488134.91045015381</v>
      </c>
      <c r="DU157" s="641">
        <f t="shared" si="65"/>
        <v>488134.91045015381</v>
      </c>
      <c r="DV157" s="641">
        <f t="shared" si="65"/>
        <v>488134.91045015381</v>
      </c>
      <c r="DW157" s="641">
        <f t="shared" si="65"/>
        <v>488134.91045015381</v>
      </c>
      <c r="DX157" s="641">
        <f t="shared" si="65"/>
        <v>488134.91045015381</v>
      </c>
      <c r="DY157" s="641">
        <f t="shared" si="65"/>
        <v>488134.91045015381</v>
      </c>
      <c r="DZ157" s="641">
        <f t="shared" si="65"/>
        <v>488134.91045015381</v>
      </c>
      <c r="EA157" s="641">
        <f t="shared" si="65"/>
        <v>488134.91045015381</v>
      </c>
      <c r="EB157" s="641">
        <f t="shared" si="65"/>
        <v>488134.91045015381</v>
      </c>
      <c r="EC157" s="641">
        <f t="shared" si="65"/>
        <v>488134.91045015381</v>
      </c>
    </row>
    <row r="158" spans="20:133" ht="15.5">
      <c r="T158" s="126">
        <f t="shared" si="36"/>
        <v>97</v>
      </c>
      <c r="U158" s="29">
        <f t="shared" si="43"/>
        <v>0</v>
      </c>
      <c r="V158" s="29">
        <f t="shared" si="43"/>
        <v>0</v>
      </c>
      <c r="W158" s="29">
        <f t="shared" si="43"/>
        <v>0</v>
      </c>
      <c r="X158" s="29">
        <f t="shared" si="43"/>
        <v>0</v>
      </c>
      <c r="Y158" s="29"/>
      <c r="AB158" s="5">
        <f t="shared" si="44"/>
        <v>0</v>
      </c>
      <c r="AC158" s="128">
        <v>15</v>
      </c>
      <c r="AD158" s="129">
        <f t="shared" si="55"/>
        <v>425004.29506553843</v>
      </c>
      <c r="AE158" s="1108"/>
      <c r="AF158" s="128">
        <v>15</v>
      </c>
      <c r="AG158" s="641">
        <f t="shared" si="56"/>
        <v>921849.29506553849</v>
      </c>
      <c r="AH158" s="641">
        <f t="shared" si="56"/>
        <v>858897.29506553849</v>
      </c>
      <c r="AI158" s="641">
        <f t="shared" si="56"/>
        <v>795945.29506553849</v>
      </c>
      <c r="AJ158" s="641">
        <f t="shared" si="56"/>
        <v>732993.29506553849</v>
      </c>
      <c r="AK158" s="641">
        <f t="shared" si="56"/>
        <v>670041.29506553849</v>
      </c>
      <c r="AL158" s="641">
        <f t="shared" si="56"/>
        <v>607089.29506553849</v>
      </c>
      <c r="AM158" s="641">
        <f t="shared" si="56"/>
        <v>545174.29506553849</v>
      </c>
      <c r="AN158" s="641">
        <f t="shared" si="56"/>
        <v>492714.29506553843</v>
      </c>
      <c r="AO158" s="641">
        <f t="shared" si="56"/>
        <v>440254.29506553843</v>
      </c>
      <c r="AP158" s="641">
        <f t="shared" si="56"/>
        <v>425004.29506553843</v>
      </c>
      <c r="AQ158" s="641">
        <f t="shared" si="57"/>
        <v>425004.29506553843</v>
      </c>
      <c r="AR158" s="641">
        <f t="shared" si="57"/>
        <v>425004.29506553843</v>
      </c>
      <c r="AS158" s="641">
        <f t="shared" si="57"/>
        <v>425004.29506553843</v>
      </c>
      <c r="AT158" s="641">
        <f t="shared" si="57"/>
        <v>425004.29506553843</v>
      </c>
      <c r="AU158" s="641">
        <f t="shared" si="57"/>
        <v>425004.29506553843</v>
      </c>
      <c r="AV158" s="641">
        <f t="shared" si="57"/>
        <v>425004.29506553843</v>
      </c>
      <c r="AW158" s="641">
        <f t="shared" si="57"/>
        <v>425004.29506553843</v>
      </c>
      <c r="AX158" s="641">
        <f t="shared" si="57"/>
        <v>425004.29506553843</v>
      </c>
      <c r="AY158" s="641">
        <f t="shared" si="57"/>
        <v>425004.29506553843</v>
      </c>
      <c r="AZ158" s="641">
        <f t="shared" si="57"/>
        <v>425004.29506553843</v>
      </c>
      <c r="BA158" s="641">
        <f t="shared" si="58"/>
        <v>425004.29506553843</v>
      </c>
      <c r="BB158" s="641">
        <f t="shared" si="58"/>
        <v>425004.29506553843</v>
      </c>
      <c r="BC158" s="641">
        <f t="shared" si="58"/>
        <v>425004.29506553843</v>
      </c>
      <c r="BD158" s="641">
        <f t="shared" si="58"/>
        <v>425004.29506553843</v>
      </c>
      <c r="BE158" s="641">
        <f t="shared" si="58"/>
        <v>425004.29506553843</v>
      </c>
      <c r="BF158" s="641">
        <f t="shared" si="58"/>
        <v>425004.29506553843</v>
      </c>
      <c r="BG158" s="641">
        <f t="shared" si="58"/>
        <v>425004.29506553843</v>
      </c>
      <c r="BH158" s="641">
        <f t="shared" si="58"/>
        <v>425004.29506553843</v>
      </c>
      <c r="BI158" s="641">
        <f t="shared" si="58"/>
        <v>425004.29506553843</v>
      </c>
      <c r="BJ158" s="641">
        <f t="shared" si="58"/>
        <v>425004.29506553843</v>
      </c>
      <c r="BK158" s="641">
        <f t="shared" si="59"/>
        <v>425004.29506553843</v>
      </c>
      <c r="BL158" s="641">
        <f t="shared" si="59"/>
        <v>425004.29506553843</v>
      </c>
      <c r="BM158" s="641">
        <f t="shared" si="59"/>
        <v>425004.29506553843</v>
      </c>
      <c r="BN158" s="641">
        <f t="shared" si="59"/>
        <v>425004.29506553843</v>
      </c>
      <c r="BO158" s="641">
        <f t="shared" si="59"/>
        <v>425004.29506553843</v>
      </c>
      <c r="BP158" s="641">
        <f t="shared" si="59"/>
        <v>425004.29506553843</v>
      </c>
      <c r="BQ158" s="641">
        <f t="shared" si="59"/>
        <v>425004.29506553843</v>
      </c>
      <c r="BR158" s="641">
        <f t="shared" si="59"/>
        <v>425004.29506553843</v>
      </c>
      <c r="BS158" s="641">
        <f t="shared" si="59"/>
        <v>425004.29506553843</v>
      </c>
      <c r="BT158" s="641">
        <f t="shared" si="59"/>
        <v>425004.29506553843</v>
      </c>
      <c r="BU158" s="641">
        <f t="shared" si="60"/>
        <v>425004.29506553843</v>
      </c>
      <c r="BV158" s="641">
        <f t="shared" si="60"/>
        <v>425004.29506553843</v>
      </c>
      <c r="BW158" s="641">
        <f t="shared" si="60"/>
        <v>425004.29506553843</v>
      </c>
      <c r="BX158" s="641">
        <f t="shared" si="60"/>
        <v>425004.29506553843</v>
      </c>
      <c r="BY158" s="641">
        <f t="shared" si="60"/>
        <v>425004.29506553843</v>
      </c>
      <c r="BZ158" s="641">
        <f t="shared" si="60"/>
        <v>425004.29506553843</v>
      </c>
      <c r="CA158" s="641">
        <f t="shared" si="60"/>
        <v>425004.29506553843</v>
      </c>
      <c r="CB158" s="641">
        <f t="shared" si="60"/>
        <v>425004.29506553843</v>
      </c>
      <c r="CC158" s="641">
        <f t="shared" si="60"/>
        <v>425004.29506553843</v>
      </c>
      <c r="CD158" s="641">
        <f t="shared" si="60"/>
        <v>425004.29506553843</v>
      </c>
      <c r="CE158" s="641">
        <f t="shared" si="61"/>
        <v>425004.29506553843</v>
      </c>
      <c r="CF158" s="641">
        <f t="shared" si="61"/>
        <v>425004.29506553843</v>
      </c>
      <c r="CG158" s="641">
        <f t="shared" si="61"/>
        <v>425004.29506553843</v>
      </c>
      <c r="CH158" s="641">
        <f t="shared" si="61"/>
        <v>425004.29506553843</v>
      </c>
      <c r="CI158" s="641">
        <f t="shared" si="61"/>
        <v>425004.29506553843</v>
      </c>
      <c r="CJ158" s="641">
        <f t="shared" si="61"/>
        <v>425004.29506553843</v>
      </c>
      <c r="CK158" s="641">
        <f t="shared" si="61"/>
        <v>425004.29506553843</v>
      </c>
      <c r="CL158" s="641">
        <f t="shared" si="61"/>
        <v>425004.29506553843</v>
      </c>
      <c r="CM158" s="641">
        <f t="shared" si="61"/>
        <v>425004.29506553843</v>
      </c>
      <c r="CN158" s="641">
        <f t="shared" si="61"/>
        <v>425004.29506553843</v>
      </c>
      <c r="CO158" s="641">
        <f t="shared" si="62"/>
        <v>425004.29506553843</v>
      </c>
      <c r="CP158" s="641">
        <f t="shared" si="62"/>
        <v>425004.29506553843</v>
      </c>
      <c r="CQ158" s="641">
        <f t="shared" si="62"/>
        <v>425004.29506553843</v>
      </c>
      <c r="CR158" s="641">
        <f t="shared" si="62"/>
        <v>425004.29506553843</v>
      </c>
      <c r="CS158" s="641">
        <f t="shared" si="62"/>
        <v>425004.29506553843</v>
      </c>
      <c r="CT158" s="641">
        <f t="shared" si="62"/>
        <v>425004.29506553843</v>
      </c>
      <c r="CU158" s="641">
        <f t="shared" si="62"/>
        <v>425004.29506553843</v>
      </c>
      <c r="CV158" s="641">
        <f t="shared" si="62"/>
        <v>425004.29506553843</v>
      </c>
      <c r="CW158" s="641">
        <f t="shared" si="62"/>
        <v>425004.29506553843</v>
      </c>
      <c r="CX158" s="641">
        <f t="shared" si="62"/>
        <v>425004.29506553843</v>
      </c>
      <c r="CY158" s="641">
        <f t="shared" si="63"/>
        <v>425004.29506553843</v>
      </c>
      <c r="CZ158" s="641">
        <f t="shared" si="63"/>
        <v>425004.29506553843</v>
      </c>
      <c r="DA158" s="641">
        <f t="shared" si="63"/>
        <v>425004.29506553843</v>
      </c>
      <c r="DB158" s="641">
        <f t="shared" si="63"/>
        <v>425004.29506553843</v>
      </c>
      <c r="DC158" s="641">
        <f t="shared" si="63"/>
        <v>425004.29506553843</v>
      </c>
      <c r="DD158" s="641">
        <f t="shared" si="63"/>
        <v>425004.29506553843</v>
      </c>
      <c r="DE158" s="641">
        <f t="shared" si="63"/>
        <v>425004.29506553843</v>
      </c>
      <c r="DF158" s="641">
        <f t="shared" si="63"/>
        <v>425004.29506553843</v>
      </c>
      <c r="DG158" s="641">
        <f t="shared" si="63"/>
        <v>425004.29506553843</v>
      </c>
      <c r="DH158" s="641">
        <f t="shared" si="63"/>
        <v>425004.29506553843</v>
      </c>
      <c r="DI158" s="641">
        <f t="shared" si="64"/>
        <v>425004.29506553843</v>
      </c>
      <c r="DJ158" s="641">
        <f t="shared" si="64"/>
        <v>425004.29506553843</v>
      </c>
      <c r="DK158" s="641">
        <f t="shared" si="64"/>
        <v>425004.29506553843</v>
      </c>
      <c r="DL158" s="641">
        <f t="shared" si="64"/>
        <v>425004.29506553843</v>
      </c>
      <c r="DM158" s="641">
        <f t="shared" si="64"/>
        <v>425004.29506553843</v>
      </c>
      <c r="DN158" s="641">
        <f t="shared" si="64"/>
        <v>425004.29506553843</v>
      </c>
      <c r="DO158" s="641">
        <f t="shared" si="64"/>
        <v>425004.29506553843</v>
      </c>
      <c r="DP158" s="641">
        <f t="shared" si="64"/>
        <v>425004.29506553843</v>
      </c>
      <c r="DQ158" s="641">
        <f t="shared" si="64"/>
        <v>425004.29506553843</v>
      </c>
      <c r="DR158" s="641">
        <f t="shared" si="64"/>
        <v>425004.29506553843</v>
      </c>
      <c r="DS158" s="641">
        <f t="shared" si="65"/>
        <v>425004.29506553843</v>
      </c>
      <c r="DT158" s="641">
        <f t="shared" si="65"/>
        <v>425004.29506553843</v>
      </c>
      <c r="DU158" s="641">
        <f t="shared" si="65"/>
        <v>425004.29506553843</v>
      </c>
      <c r="DV158" s="641">
        <f t="shared" si="65"/>
        <v>425004.29506553843</v>
      </c>
      <c r="DW158" s="641">
        <f t="shared" si="65"/>
        <v>425004.29506553843</v>
      </c>
      <c r="DX158" s="641">
        <f t="shared" si="65"/>
        <v>425004.29506553843</v>
      </c>
      <c r="DY158" s="641">
        <f t="shared" si="65"/>
        <v>425004.29506553843</v>
      </c>
      <c r="DZ158" s="641">
        <f t="shared" si="65"/>
        <v>425004.29506553843</v>
      </c>
      <c r="EA158" s="641">
        <f t="shared" si="65"/>
        <v>425004.29506553843</v>
      </c>
      <c r="EB158" s="641">
        <f t="shared" si="65"/>
        <v>425004.29506553843</v>
      </c>
      <c r="EC158" s="641">
        <f t="shared" si="65"/>
        <v>425004.29506553843</v>
      </c>
    </row>
    <row r="159" spans="20:133" ht="15.5">
      <c r="T159" s="126">
        <f t="shared" si="36"/>
        <v>98</v>
      </c>
      <c r="U159" s="29">
        <f t="shared" si="43"/>
        <v>0</v>
      </c>
      <c r="V159" s="29">
        <f t="shared" si="43"/>
        <v>0</v>
      </c>
      <c r="W159" s="29">
        <f t="shared" si="43"/>
        <v>0</v>
      </c>
      <c r="X159" s="29">
        <f t="shared" si="43"/>
        <v>0</v>
      </c>
      <c r="Y159" s="29"/>
      <c r="AB159" s="5">
        <f t="shared" si="44"/>
        <v>0</v>
      </c>
      <c r="AC159" s="128">
        <v>16</v>
      </c>
      <c r="AD159" s="129">
        <f t="shared" si="55"/>
        <v>361873.67968092306</v>
      </c>
      <c r="AE159" s="1108"/>
      <c r="AF159" s="128">
        <v>16</v>
      </c>
      <c r="AG159" s="641">
        <f t="shared" si="56"/>
        <v>858718.679680923</v>
      </c>
      <c r="AH159" s="641">
        <f t="shared" si="56"/>
        <v>795766.679680923</v>
      </c>
      <c r="AI159" s="641">
        <f t="shared" si="56"/>
        <v>732814.679680923</v>
      </c>
      <c r="AJ159" s="641">
        <f t="shared" si="56"/>
        <v>669862.679680923</v>
      </c>
      <c r="AK159" s="641">
        <f t="shared" si="56"/>
        <v>606910.679680923</v>
      </c>
      <c r="AL159" s="641">
        <f t="shared" si="56"/>
        <v>543958.679680923</v>
      </c>
      <c r="AM159" s="641">
        <f t="shared" si="56"/>
        <v>482043.67968092306</v>
      </c>
      <c r="AN159" s="641">
        <f t="shared" si="56"/>
        <v>429583.67968092306</v>
      </c>
      <c r="AO159" s="641">
        <f t="shared" si="56"/>
        <v>377123.67968092306</v>
      </c>
      <c r="AP159" s="641">
        <f t="shared" si="56"/>
        <v>361873.67968092306</v>
      </c>
      <c r="AQ159" s="641">
        <f t="shared" si="57"/>
        <v>361873.67968092306</v>
      </c>
      <c r="AR159" s="641">
        <f t="shared" si="57"/>
        <v>361873.67968092306</v>
      </c>
      <c r="AS159" s="641">
        <f t="shared" si="57"/>
        <v>361873.67968092306</v>
      </c>
      <c r="AT159" s="641">
        <f t="shared" si="57"/>
        <v>361873.67968092306</v>
      </c>
      <c r="AU159" s="641">
        <f t="shared" si="57"/>
        <v>361873.67968092306</v>
      </c>
      <c r="AV159" s="641">
        <f t="shared" si="57"/>
        <v>361873.67968092306</v>
      </c>
      <c r="AW159" s="641">
        <f t="shared" si="57"/>
        <v>361873.67968092306</v>
      </c>
      <c r="AX159" s="641">
        <f t="shared" si="57"/>
        <v>361873.67968092306</v>
      </c>
      <c r="AY159" s="641">
        <f t="shared" si="57"/>
        <v>361873.67968092306</v>
      </c>
      <c r="AZ159" s="641">
        <f t="shared" si="57"/>
        <v>361873.67968092306</v>
      </c>
      <c r="BA159" s="641">
        <f t="shared" si="58"/>
        <v>361873.67968092306</v>
      </c>
      <c r="BB159" s="641">
        <f t="shared" si="58"/>
        <v>361873.67968092306</v>
      </c>
      <c r="BC159" s="641">
        <f t="shared" si="58"/>
        <v>361873.67968092306</v>
      </c>
      <c r="BD159" s="641">
        <f t="shared" si="58"/>
        <v>361873.67968092306</v>
      </c>
      <c r="BE159" s="641">
        <f t="shared" si="58"/>
        <v>361873.67968092306</v>
      </c>
      <c r="BF159" s="641">
        <f t="shared" si="58"/>
        <v>361873.67968092306</v>
      </c>
      <c r="BG159" s="641">
        <f t="shared" si="58"/>
        <v>361873.67968092306</v>
      </c>
      <c r="BH159" s="641">
        <f t="shared" si="58"/>
        <v>361873.67968092306</v>
      </c>
      <c r="BI159" s="641">
        <f t="shared" si="58"/>
        <v>361873.67968092306</v>
      </c>
      <c r="BJ159" s="641">
        <f t="shared" si="58"/>
        <v>361873.67968092306</v>
      </c>
      <c r="BK159" s="641">
        <f t="shared" si="59"/>
        <v>361873.67968092306</v>
      </c>
      <c r="BL159" s="641">
        <f t="shared" si="59"/>
        <v>361873.67968092306</v>
      </c>
      <c r="BM159" s="641">
        <f t="shared" si="59"/>
        <v>361873.67968092306</v>
      </c>
      <c r="BN159" s="641">
        <f t="shared" si="59"/>
        <v>361873.67968092306</v>
      </c>
      <c r="BO159" s="641">
        <f t="shared" si="59"/>
        <v>361873.67968092306</v>
      </c>
      <c r="BP159" s="641">
        <f t="shared" si="59"/>
        <v>361873.67968092306</v>
      </c>
      <c r="BQ159" s="641">
        <f t="shared" si="59"/>
        <v>361873.67968092306</v>
      </c>
      <c r="BR159" s="641">
        <f t="shared" si="59"/>
        <v>361873.67968092306</v>
      </c>
      <c r="BS159" s="641">
        <f t="shared" si="59"/>
        <v>361873.67968092306</v>
      </c>
      <c r="BT159" s="641">
        <f t="shared" si="59"/>
        <v>361873.67968092306</v>
      </c>
      <c r="BU159" s="641">
        <f t="shared" si="60"/>
        <v>361873.67968092306</v>
      </c>
      <c r="BV159" s="641">
        <f t="shared" si="60"/>
        <v>361873.67968092306</v>
      </c>
      <c r="BW159" s="641">
        <f t="shared" si="60"/>
        <v>361873.67968092306</v>
      </c>
      <c r="BX159" s="641">
        <f t="shared" si="60"/>
        <v>361873.67968092306</v>
      </c>
      <c r="BY159" s="641">
        <f t="shared" si="60"/>
        <v>361873.67968092306</v>
      </c>
      <c r="BZ159" s="641">
        <f t="shared" si="60"/>
        <v>361873.67968092306</v>
      </c>
      <c r="CA159" s="641">
        <f t="shared" si="60"/>
        <v>361873.67968092306</v>
      </c>
      <c r="CB159" s="641">
        <f t="shared" si="60"/>
        <v>361873.67968092306</v>
      </c>
      <c r="CC159" s="641">
        <f t="shared" si="60"/>
        <v>361873.67968092306</v>
      </c>
      <c r="CD159" s="641">
        <f t="shared" si="60"/>
        <v>361873.67968092306</v>
      </c>
      <c r="CE159" s="641">
        <f t="shared" si="61"/>
        <v>361873.67968092306</v>
      </c>
      <c r="CF159" s="641">
        <f t="shared" si="61"/>
        <v>361873.67968092306</v>
      </c>
      <c r="CG159" s="641">
        <f t="shared" si="61"/>
        <v>361873.67968092306</v>
      </c>
      <c r="CH159" s="641">
        <f t="shared" si="61"/>
        <v>361873.67968092306</v>
      </c>
      <c r="CI159" s="641">
        <f t="shared" si="61"/>
        <v>361873.67968092306</v>
      </c>
      <c r="CJ159" s="641">
        <f t="shared" si="61"/>
        <v>361873.67968092306</v>
      </c>
      <c r="CK159" s="641">
        <f t="shared" si="61"/>
        <v>361873.67968092306</v>
      </c>
      <c r="CL159" s="641">
        <f t="shared" si="61"/>
        <v>361873.67968092306</v>
      </c>
      <c r="CM159" s="641">
        <f t="shared" si="61"/>
        <v>361873.67968092306</v>
      </c>
      <c r="CN159" s="641">
        <f t="shared" si="61"/>
        <v>361873.67968092306</v>
      </c>
      <c r="CO159" s="641">
        <f t="shared" si="62"/>
        <v>361873.67968092306</v>
      </c>
      <c r="CP159" s="641">
        <f t="shared" si="62"/>
        <v>361873.67968092306</v>
      </c>
      <c r="CQ159" s="641">
        <f t="shared" si="62"/>
        <v>361873.67968092306</v>
      </c>
      <c r="CR159" s="641">
        <f t="shared" si="62"/>
        <v>361873.67968092306</v>
      </c>
      <c r="CS159" s="641">
        <f t="shared" si="62"/>
        <v>361873.67968092306</v>
      </c>
      <c r="CT159" s="641">
        <f t="shared" si="62"/>
        <v>361873.67968092306</v>
      </c>
      <c r="CU159" s="641">
        <f t="shared" si="62"/>
        <v>361873.67968092306</v>
      </c>
      <c r="CV159" s="641">
        <f t="shared" si="62"/>
        <v>361873.67968092306</v>
      </c>
      <c r="CW159" s="641">
        <f t="shared" si="62"/>
        <v>361873.67968092306</v>
      </c>
      <c r="CX159" s="641">
        <f t="shared" si="62"/>
        <v>361873.67968092306</v>
      </c>
      <c r="CY159" s="641">
        <f t="shared" si="63"/>
        <v>361873.67968092306</v>
      </c>
      <c r="CZ159" s="641">
        <f t="shared" si="63"/>
        <v>361873.67968092306</v>
      </c>
      <c r="DA159" s="641">
        <f t="shared" si="63"/>
        <v>361873.67968092306</v>
      </c>
      <c r="DB159" s="641">
        <f t="shared" si="63"/>
        <v>361873.67968092306</v>
      </c>
      <c r="DC159" s="641">
        <f t="shared" si="63"/>
        <v>361873.67968092306</v>
      </c>
      <c r="DD159" s="641">
        <f t="shared" si="63"/>
        <v>361873.67968092306</v>
      </c>
      <c r="DE159" s="641">
        <f t="shared" si="63"/>
        <v>361873.67968092306</v>
      </c>
      <c r="DF159" s="641">
        <f t="shared" si="63"/>
        <v>361873.67968092306</v>
      </c>
      <c r="DG159" s="641">
        <f t="shared" si="63"/>
        <v>361873.67968092306</v>
      </c>
      <c r="DH159" s="641">
        <f t="shared" si="63"/>
        <v>361873.67968092306</v>
      </c>
      <c r="DI159" s="641">
        <f t="shared" si="64"/>
        <v>361873.67968092306</v>
      </c>
      <c r="DJ159" s="641">
        <f t="shared" si="64"/>
        <v>361873.67968092306</v>
      </c>
      <c r="DK159" s="641">
        <f t="shared" si="64"/>
        <v>361873.67968092306</v>
      </c>
      <c r="DL159" s="641">
        <f t="shared" si="64"/>
        <v>361873.67968092306</v>
      </c>
      <c r="DM159" s="641">
        <f t="shared" si="64"/>
        <v>361873.67968092306</v>
      </c>
      <c r="DN159" s="641">
        <f t="shared" si="64"/>
        <v>361873.67968092306</v>
      </c>
      <c r="DO159" s="641">
        <f t="shared" si="64"/>
        <v>361873.67968092306</v>
      </c>
      <c r="DP159" s="641">
        <f t="shared" si="64"/>
        <v>361873.67968092306</v>
      </c>
      <c r="DQ159" s="641">
        <f t="shared" si="64"/>
        <v>361873.67968092306</v>
      </c>
      <c r="DR159" s="641">
        <f t="shared" si="64"/>
        <v>361873.67968092306</v>
      </c>
      <c r="DS159" s="641">
        <f t="shared" si="65"/>
        <v>361873.67968092306</v>
      </c>
      <c r="DT159" s="641">
        <f t="shared" si="65"/>
        <v>361873.67968092306</v>
      </c>
      <c r="DU159" s="641">
        <f t="shared" si="65"/>
        <v>361873.67968092306</v>
      </c>
      <c r="DV159" s="641">
        <f t="shared" si="65"/>
        <v>361873.67968092306</v>
      </c>
      <c r="DW159" s="641">
        <f t="shared" si="65"/>
        <v>361873.67968092306</v>
      </c>
      <c r="DX159" s="641">
        <f t="shared" si="65"/>
        <v>361873.67968092306</v>
      </c>
      <c r="DY159" s="641">
        <f t="shared" si="65"/>
        <v>361873.67968092306</v>
      </c>
      <c r="DZ159" s="641">
        <f t="shared" si="65"/>
        <v>361873.67968092306</v>
      </c>
      <c r="EA159" s="641">
        <f t="shared" si="65"/>
        <v>361873.67968092306</v>
      </c>
      <c r="EB159" s="641">
        <f t="shared" si="65"/>
        <v>361873.67968092306</v>
      </c>
      <c r="EC159" s="641">
        <f t="shared" si="65"/>
        <v>361873.67968092306</v>
      </c>
    </row>
    <row r="160" spans="20:133" ht="15.5">
      <c r="T160" s="126">
        <f t="shared" si="36"/>
        <v>99</v>
      </c>
      <c r="U160" s="29">
        <f t="shared" si="43"/>
        <v>0</v>
      </c>
      <c r="V160" s="29">
        <f t="shared" si="43"/>
        <v>0</v>
      </c>
      <c r="W160" s="29">
        <f t="shared" si="43"/>
        <v>0</v>
      </c>
      <c r="X160" s="29">
        <f t="shared" si="43"/>
        <v>0</v>
      </c>
      <c r="Y160" s="29"/>
      <c r="AB160" s="5">
        <f t="shared" si="44"/>
        <v>0</v>
      </c>
      <c r="AC160" s="128">
        <v>17</v>
      </c>
      <c r="AD160" s="129">
        <f t="shared" si="55"/>
        <v>298743.06429630768</v>
      </c>
      <c r="AE160" s="1108"/>
      <c r="AF160" s="128">
        <v>17</v>
      </c>
      <c r="AG160" s="641">
        <f t="shared" si="56"/>
        <v>795588.06429630774</v>
      </c>
      <c r="AH160" s="641">
        <f t="shared" si="56"/>
        <v>732636.06429630774</v>
      </c>
      <c r="AI160" s="641">
        <f t="shared" si="56"/>
        <v>669684.06429630774</v>
      </c>
      <c r="AJ160" s="641">
        <f t="shared" si="56"/>
        <v>606732.06429630774</v>
      </c>
      <c r="AK160" s="641">
        <f t="shared" si="56"/>
        <v>543780.06429630774</v>
      </c>
      <c r="AL160" s="641">
        <f t="shared" si="56"/>
        <v>480828.06429630768</v>
      </c>
      <c r="AM160" s="641">
        <f t="shared" si="56"/>
        <v>418913.06429630768</v>
      </c>
      <c r="AN160" s="641">
        <f t="shared" si="56"/>
        <v>366453.06429630768</v>
      </c>
      <c r="AO160" s="641">
        <f t="shared" si="56"/>
        <v>313993.06429630768</v>
      </c>
      <c r="AP160" s="641">
        <f t="shared" si="56"/>
        <v>298743.06429630768</v>
      </c>
      <c r="AQ160" s="641">
        <f t="shared" si="57"/>
        <v>298743.06429630768</v>
      </c>
      <c r="AR160" s="641">
        <f t="shared" si="57"/>
        <v>298743.06429630768</v>
      </c>
      <c r="AS160" s="641">
        <f t="shared" si="57"/>
        <v>298743.06429630768</v>
      </c>
      <c r="AT160" s="641">
        <f t="shared" si="57"/>
        <v>298743.06429630768</v>
      </c>
      <c r="AU160" s="641">
        <f t="shared" si="57"/>
        <v>298743.06429630768</v>
      </c>
      <c r="AV160" s="641">
        <f t="shared" si="57"/>
        <v>298743.06429630768</v>
      </c>
      <c r="AW160" s="641">
        <f t="shared" si="57"/>
        <v>298743.06429630768</v>
      </c>
      <c r="AX160" s="641">
        <f t="shared" si="57"/>
        <v>298743.06429630768</v>
      </c>
      <c r="AY160" s="641">
        <f t="shared" si="57"/>
        <v>298743.06429630768</v>
      </c>
      <c r="AZ160" s="641">
        <f t="shared" si="57"/>
        <v>298743.06429630768</v>
      </c>
      <c r="BA160" s="641">
        <f t="shared" si="58"/>
        <v>298743.06429630768</v>
      </c>
      <c r="BB160" s="641">
        <f t="shared" si="58"/>
        <v>298743.06429630768</v>
      </c>
      <c r="BC160" s="641">
        <f t="shared" si="58"/>
        <v>298743.06429630768</v>
      </c>
      <c r="BD160" s="641">
        <f t="shared" si="58"/>
        <v>298743.06429630768</v>
      </c>
      <c r="BE160" s="641">
        <f t="shared" si="58"/>
        <v>298743.06429630768</v>
      </c>
      <c r="BF160" s="641">
        <f t="shared" si="58"/>
        <v>298743.06429630768</v>
      </c>
      <c r="BG160" s="641">
        <f t="shared" si="58"/>
        <v>298743.06429630768</v>
      </c>
      <c r="BH160" s="641">
        <f t="shared" si="58"/>
        <v>298743.06429630768</v>
      </c>
      <c r="BI160" s="641">
        <f t="shared" si="58"/>
        <v>298743.06429630768</v>
      </c>
      <c r="BJ160" s="641">
        <f t="shared" si="58"/>
        <v>298743.06429630768</v>
      </c>
      <c r="BK160" s="641">
        <f t="shared" si="59"/>
        <v>298743.06429630768</v>
      </c>
      <c r="BL160" s="641">
        <f t="shared" si="59"/>
        <v>298743.06429630768</v>
      </c>
      <c r="BM160" s="641">
        <f t="shared" si="59"/>
        <v>298743.06429630768</v>
      </c>
      <c r="BN160" s="641">
        <f t="shared" si="59"/>
        <v>298743.06429630768</v>
      </c>
      <c r="BO160" s="641">
        <f t="shared" si="59"/>
        <v>298743.06429630768</v>
      </c>
      <c r="BP160" s="641">
        <f t="shared" si="59"/>
        <v>298743.06429630768</v>
      </c>
      <c r="BQ160" s="641">
        <f t="shared" si="59"/>
        <v>298743.06429630768</v>
      </c>
      <c r="BR160" s="641">
        <f t="shared" si="59"/>
        <v>298743.06429630768</v>
      </c>
      <c r="BS160" s="641">
        <f t="shared" si="59"/>
        <v>298743.06429630768</v>
      </c>
      <c r="BT160" s="641">
        <f t="shared" si="59"/>
        <v>298743.06429630768</v>
      </c>
      <c r="BU160" s="641">
        <f t="shared" si="60"/>
        <v>298743.06429630768</v>
      </c>
      <c r="BV160" s="641">
        <f t="shared" si="60"/>
        <v>298743.06429630768</v>
      </c>
      <c r="BW160" s="641">
        <f t="shared" si="60"/>
        <v>298743.06429630768</v>
      </c>
      <c r="BX160" s="641">
        <f t="shared" si="60"/>
        <v>298743.06429630768</v>
      </c>
      <c r="BY160" s="641">
        <f t="shared" si="60"/>
        <v>298743.06429630768</v>
      </c>
      <c r="BZ160" s="641">
        <f t="shared" si="60"/>
        <v>298743.06429630768</v>
      </c>
      <c r="CA160" s="641">
        <f t="shared" si="60"/>
        <v>298743.06429630768</v>
      </c>
      <c r="CB160" s="641">
        <f t="shared" si="60"/>
        <v>298743.06429630768</v>
      </c>
      <c r="CC160" s="641">
        <f t="shared" si="60"/>
        <v>298743.06429630768</v>
      </c>
      <c r="CD160" s="641">
        <f t="shared" si="60"/>
        <v>298743.06429630768</v>
      </c>
      <c r="CE160" s="641">
        <f t="shared" si="61"/>
        <v>298743.06429630768</v>
      </c>
      <c r="CF160" s="641">
        <f t="shared" si="61"/>
        <v>298743.06429630768</v>
      </c>
      <c r="CG160" s="641">
        <f t="shared" si="61"/>
        <v>298743.06429630768</v>
      </c>
      <c r="CH160" s="641">
        <f t="shared" si="61"/>
        <v>298743.06429630768</v>
      </c>
      <c r="CI160" s="641">
        <f t="shared" si="61"/>
        <v>298743.06429630768</v>
      </c>
      <c r="CJ160" s="641">
        <f t="shared" si="61"/>
        <v>298743.06429630768</v>
      </c>
      <c r="CK160" s="641">
        <f t="shared" si="61"/>
        <v>298743.06429630768</v>
      </c>
      <c r="CL160" s="641">
        <f t="shared" si="61"/>
        <v>298743.06429630768</v>
      </c>
      <c r="CM160" s="641">
        <f t="shared" si="61"/>
        <v>298743.06429630768</v>
      </c>
      <c r="CN160" s="641">
        <f t="shared" si="61"/>
        <v>298743.06429630768</v>
      </c>
      <c r="CO160" s="641">
        <f t="shared" si="62"/>
        <v>298743.06429630768</v>
      </c>
      <c r="CP160" s="641">
        <f t="shared" si="62"/>
        <v>298743.06429630768</v>
      </c>
      <c r="CQ160" s="641">
        <f t="shared" si="62"/>
        <v>298743.06429630768</v>
      </c>
      <c r="CR160" s="641">
        <f t="shared" si="62"/>
        <v>298743.06429630768</v>
      </c>
      <c r="CS160" s="641">
        <f t="shared" si="62"/>
        <v>298743.06429630768</v>
      </c>
      <c r="CT160" s="641">
        <f t="shared" si="62"/>
        <v>298743.06429630768</v>
      </c>
      <c r="CU160" s="641">
        <f t="shared" si="62"/>
        <v>298743.06429630768</v>
      </c>
      <c r="CV160" s="641">
        <f t="shared" si="62"/>
        <v>298743.06429630768</v>
      </c>
      <c r="CW160" s="641">
        <f t="shared" si="62"/>
        <v>298743.06429630768</v>
      </c>
      <c r="CX160" s="641">
        <f t="shared" si="62"/>
        <v>298743.06429630768</v>
      </c>
      <c r="CY160" s="641">
        <f t="shared" si="63"/>
        <v>298743.06429630768</v>
      </c>
      <c r="CZ160" s="641">
        <f t="shared" si="63"/>
        <v>298743.06429630768</v>
      </c>
      <c r="DA160" s="641">
        <f t="shared" si="63"/>
        <v>298743.06429630768</v>
      </c>
      <c r="DB160" s="641">
        <f t="shared" si="63"/>
        <v>298743.06429630768</v>
      </c>
      <c r="DC160" s="641">
        <f t="shared" si="63"/>
        <v>298743.06429630768</v>
      </c>
      <c r="DD160" s="641">
        <f t="shared" si="63"/>
        <v>298743.06429630768</v>
      </c>
      <c r="DE160" s="641">
        <f t="shared" si="63"/>
        <v>298743.06429630768</v>
      </c>
      <c r="DF160" s="641">
        <f t="shared" si="63"/>
        <v>298743.06429630768</v>
      </c>
      <c r="DG160" s="641">
        <f t="shared" si="63"/>
        <v>298743.06429630768</v>
      </c>
      <c r="DH160" s="641">
        <f t="shared" si="63"/>
        <v>298743.06429630768</v>
      </c>
      <c r="DI160" s="641">
        <f t="shared" si="64"/>
        <v>298743.06429630768</v>
      </c>
      <c r="DJ160" s="641">
        <f t="shared" si="64"/>
        <v>298743.06429630768</v>
      </c>
      <c r="DK160" s="641">
        <f t="shared" si="64"/>
        <v>298743.06429630768</v>
      </c>
      <c r="DL160" s="641">
        <f t="shared" si="64"/>
        <v>298743.06429630768</v>
      </c>
      <c r="DM160" s="641">
        <f t="shared" si="64"/>
        <v>298743.06429630768</v>
      </c>
      <c r="DN160" s="641">
        <f t="shared" si="64"/>
        <v>298743.06429630768</v>
      </c>
      <c r="DO160" s="641">
        <f t="shared" si="64"/>
        <v>298743.06429630768</v>
      </c>
      <c r="DP160" s="641">
        <f t="shared" si="64"/>
        <v>298743.06429630768</v>
      </c>
      <c r="DQ160" s="641">
        <f t="shared" si="64"/>
        <v>298743.06429630768</v>
      </c>
      <c r="DR160" s="641">
        <f t="shared" si="64"/>
        <v>298743.06429630768</v>
      </c>
      <c r="DS160" s="641">
        <f t="shared" si="65"/>
        <v>298743.06429630768</v>
      </c>
      <c r="DT160" s="641">
        <f t="shared" si="65"/>
        <v>298743.06429630768</v>
      </c>
      <c r="DU160" s="641">
        <f t="shared" si="65"/>
        <v>298743.06429630768</v>
      </c>
      <c r="DV160" s="641">
        <f t="shared" si="65"/>
        <v>298743.06429630768</v>
      </c>
      <c r="DW160" s="641">
        <f t="shared" si="65"/>
        <v>298743.06429630768</v>
      </c>
      <c r="DX160" s="641">
        <f t="shared" si="65"/>
        <v>298743.06429630768</v>
      </c>
      <c r="DY160" s="641">
        <f t="shared" si="65"/>
        <v>298743.06429630768</v>
      </c>
      <c r="DZ160" s="641">
        <f t="shared" si="65"/>
        <v>298743.06429630768</v>
      </c>
      <c r="EA160" s="641">
        <f t="shared" si="65"/>
        <v>298743.06429630768</v>
      </c>
      <c r="EB160" s="641">
        <f t="shared" si="65"/>
        <v>298743.06429630768</v>
      </c>
      <c r="EC160" s="641">
        <f t="shared" si="65"/>
        <v>298743.06429630768</v>
      </c>
    </row>
    <row r="161" spans="12:133" ht="15.5">
      <c r="T161" s="126">
        <f t="shared" si="36"/>
        <v>100</v>
      </c>
      <c r="U161" s="29">
        <f t="shared" si="43"/>
        <v>0</v>
      </c>
      <c r="V161" s="29">
        <f t="shared" si="43"/>
        <v>0</v>
      </c>
      <c r="W161" s="29">
        <f t="shared" si="43"/>
        <v>0</v>
      </c>
      <c r="X161" s="29">
        <f t="shared" si="43"/>
        <v>0</v>
      </c>
      <c r="AB161" s="5">
        <f t="shared" si="44"/>
        <v>0</v>
      </c>
      <c r="AC161" s="128">
        <v>18</v>
      </c>
      <c r="AD161" s="129">
        <f t="shared" si="55"/>
        <v>235612.44891169228</v>
      </c>
      <c r="AE161" s="1108"/>
      <c r="AF161" s="128">
        <v>18</v>
      </c>
      <c r="AG161" s="641">
        <f t="shared" si="56"/>
        <v>732457.44891169225</v>
      </c>
      <c r="AH161" s="641">
        <f t="shared" si="56"/>
        <v>669505.44891169225</v>
      </c>
      <c r="AI161" s="641">
        <f t="shared" si="56"/>
        <v>606553.44891169225</v>
      </c>
      <c r="AJ161" s="641">
        <f t="shared" si="56"/>
        <v>543601.44891169225</v>
      </c>
      <c r="AK161" s="641">
        <f t="shared" si="56"/>
        <v>480649.44891169225</v>
      </c>
      <c r="AL161" s="641">
        <f t="shared" si="56"/>
        <v>417697.44891169225</v>
      </c>
      <c r="AM161" s="641">
        <f t="shared" si="56"/>
        <v>355782.44891169225</v>
      </c>
      <c r="AN161" s="641">
        <f t="shared" si="56"/>
        <v>303322.44891169225</v>
      </c>
      <c r="AO161" s="641">
        <f t="shared" si="56"/>
        <v>250862.44891169225</v>
      </c>
      <c r="AP161" s="641">
        <f t="shared" si="56"/>
        <v>235612.44891169228</v>
      </c>
      <c r="AQ161" s="641">
        <f t="shared" si="57"/>
        <v>235612.44891169228</v>
      </c>
      <c r="AR161" s="641">
        <f t="shared" si="57"/>
        <v>235612.44891169228</v>
      </c>
      <c r="AS161" s="641">
        <f t="shared" si="57"/>
        <v>235612.44891169228</v>
      </c>
      <c r="AT161" s="641">
        <f t="shared" si="57"/>
        <v>235612.44891169228</v>
      </c>
      <c r="AU161" s="641">
        <f t="shared" si="57"/>
        <v>235612.44891169228</v>
      </c>
      <c r="AV161" s="641">
        <f t="shared" si="57"/>
        <v>235612.44891169228</v>
      </c>
      <c r="AW161" s="641">
        <f t="shared" si="57"/>
        <v>235612.44891169228</v>
      </c>
      <c r="AX161" s="641">
        <f t="shared" si="57"/>
        <v>235612.44891169228</v>
      </c>
      <c r="AY161" s="641">
        <f t="shared" si="57"/>
        <v>235612.44891169228</v>
      </c>
      <c r="AZ161" s="641">
        <f t="shared" si="57"/>
        <v>235612.44891169228</v>
      </c>
      <c r="BA161" s="641">
        <f t="shared" si="58"/>
        <v>235612.44891169228</v>
      </c>
      <c r="BB161" s="641">
        <f t="shared" si="58"/>
        <v>235612.44891169228</v>
      </c>
      <c r="BC161" s="641">
        <f t="shared" si="58"/>
        <v>235612.44891169228</v>
      </c>
      <c r="BD161" s="641">
        <f t="shared" si="58"/>
        <v>235612.44891169228</v>
      </c>
      <c r="BE161" s="641">
        <f t="shared" si="58"/>
        <v>235612.44891169228</v>
      </c>
      <c r="BF161" s="641">
        <f t="shared" si="58"/>
        <v>235612.44891169228</v>
      </c>
      <c r="BG161" s="641">
        <f t="shared" si="58"/>
        <v>235612.44891169228</v>
      </c>
      <c r="BH161" s="641">
        <f t="shared" si="58"/>
        <v>235612.44891169228</v>
      </c>
      <c r="BI161" s="641">
        <f t="shared" si="58"/>
        <v>235612.44891169228</v>
      </c>
      <c r="BJ161" s="641">
        <f t="shared" si="58"/>
        <v>235612.44891169228</v>
      </c>
      <c r="BK161" s="641">
        <f t="shared" si="59"/>
        <v>235612.44891169228</v>
      </c>
      <c r="BL161" s="641">
        <f t="shared" si="59"/>
        <v>235612.44891169228</v>
      </c>
      <c r="BM161" s="641">
        <f t="shared" si="59"/>
        <v>235612.44891169228</v>
      </c>
      <c r="BN161" s="641">
        <f t="shared" si="59"/>
        <v>235612.44891169228</v>
      </c>
      <c r="BO161" s="641">
        <f t="shared" si="59"/>
        <v>235612.44891169228</v>
      </c>
      <c r="BP161" s="641">
        <f t="shared" si="59"/>
        <v>235612.44891169228</v>
      </c>
      <c r="BQ161" s="641">
        <f t="shared" si="59"/>
        <v>235612.44891169228</v>
      </c>
      <c r="BR161" s="641">
        <f t="shared" si="59"/>
        <v>235612.44891169228</v>
      </c>
      <c r="BS161" s="641">
        <f t="shared" si="59"/>
        <v>235612.44891169228</v>
      </c>
      <c r="BT161" s="641">
        <f t="shared" si="59"/>
        <v>235612.44891169228</v>
      </c>
      <c r="BU161" s="641">
        <f t="shared" si="60"/>
        <v>235612.44891169228</v>
      </c>
      <c r="BV161" s="641">
        <f t="shared" si="60"/>
        <v>235612.44891169228</v>
      </c>
      <c r="BW161" s="641">
        <f t="shared" si="60"/>
        <v>235612.44891169228</v>
      </c>
      <c r="BX161" s="641">
        <f t="shared" si="60"/>
        <v>235612.44891169228</v>
      </c>
      <c r="BY161" s="641">
        <f t="shared" si="60"/>
        <v>235612.44891169228</v>
      </c>
      <c r="BZ161" s="641">
        <f t="shared" si="60"/>
        <v>235612.44891169228</v>
      </c>
      <c r="CA161" s="641">
        <f t="shared" si="60"/>
        <v>235612.44891169228</v>
      </c>
      <c r="CB161" s="641">
        <f t="shared" si="60"/>
        <v>235612.44891169228</v>
      </c>
      <c r="CC161" s="641">
        <f t="shared" si="60"/>
        <v>235612.44891169228</v>
      </c>
      <c r="CD161" s="641">
        <f t="shared" si="60"/>
        <v>235612.44891169228</v>
      </c>
      <c r="CE161" s="641">
        <f t="shared" si="61"/>
        <v>235612.44891169228</v>
      </c>
      <c r="CF161" s="641">
        <f t="shared" si="61"/>
        <v>235612.44891169228</v>
      </c>
      <c r="CG161" s="641">
        <f t="shared" si="61"/>
        <v>235612.44891169228</v>
      </c>
      <c r="CH161" s="641">
        <f t="shared" si="61"/>
        <v>235612.44891169228</v>
      </c>
      <c r="CI161" s="641">
        <f t="shared" si="61"/>
        <v>235612.44891169228</v>
      </c>
      <c r="CJ161" s="641">
        <f t="shared" si="61"/>
        <v>235612.44891169228</v>
      </c>
      <c r="CK161" s="641">
        <f t="shared" si="61"/>
        <v>235612.44891169228</v>
      </c>
      <c r="CL161" s="641">
        <f t="shared" si="61"/>
        <v>235612.44891169228</v>
      </c>
      <c r="CM161" s="641">
        <f t="shared" si="61"/>
        <v>235612.44891169228</v>
      </c>
      <c r="CN161" s="641">
        <f t="shared" si="61"/>
        <v>235612.44891169228</v>
      </c>
      <c r="CO161" s="641">
        <f t="shared" si="62"/>
        <v>235612.44891169228</v>
      </c>
      <c r="CP161" s="641">
        <f t="shared" si="62"/>
        <v>235612.44891169228</v>
      </c>
      <c r="CQ161" s="641">
        <f t="shared" si="62"/>
        <v>235612.44891169228</v>
      </c>
      <c r="CR161" s="641">
        <f t="shared" si="62"/>
        <v>235612.44891169228</v>
      </c>
      <c r="CS161" s="641">
        <f t="shared" si="62"/>
        <v>235612.44891169228</v>
      </c>
      <c r="CT161" s="641">
        <f t="shared" si="62"/>
        <v>235612.44891169228</v>
      </c>
      <c r="CU161" s="641">
        <f t="shared" si="62"/>
        <v>235612.44891169228</v>
      </c>
      <c r="CV161" s="641">
        <f t="shared" si="62"/>
        <v>235612.44891169228</v>
      </c>
      <c r="CW161" s="641">
        <f t="shared" si="62"/>
        <v>235612.44891169228</v>
      </c>
      <c r="CX161" s="641">
        <f t="shared" si="62"/>
        <v>235612.44891169228</v>
      </c>
      <c r="CY161" s="641">
        <f t="shared" si="63"/>
        <v>235612.44891169228</v>
      </c>
      <c r="CZ161" s="641">
        <f t="shared" si="63"/>
        <v>235612.44891169228</v>
      </c>
      <c r="DA161" s="641">
        <f t="shared" si="63"/>
        <v>235612.44891169228</v>
      </c>
      <c r="DB161" s="641">
        <f t="shared" si="63"/>
        <v>235612.44891169228</v>
      </c>
      <c r="DC161" s="641">
        <f t="shared" si="63"/>
        <v>235612.44891169228</v>
      </c>
      <c r="DD161" s="641">
        <f t="shared" si="63"/>
        <v>235612.44891169228</v>
      </c>
      <c r="DE161" s="641">
        <f t="shared" si="63"/>
        <v>235612.44891169228</v>
      </c>
      <c r="DF161" s="641">
        <f t="shared" si="63"/>
        <v>235612.44891169228</v>
      </c>
      <c r="DG161" s="641">
        <f t="shared" si="63"/>
        <v>235612.44891169228</v>
      </c>
      <c r="DH161" s="641">
        <f t="shared" si="63"/>
        <v>235612.44891169228</v>
      </c>
      <c r="DI161" s="641">
        <f t="shared" si="64"/>
        <v>235612.44891169228</v>
      </c>
      <c r="DJ161" s="641">
        <f t="shared" si="64"/>
        <v>235612.44891169228</v>
      </c>
      <c r="DK161" s="641">
        <f t="shared" si="64"/>
        <v>235612.44891169228</v>
      </c>
      <c r="DL161" s="641">
        <f t="shared" si="64"/>
        <v>235612.44891169228</v>
      </c>
      <c r="DM161" s="641">
        <f t="shared" si="64"/>
        <v>235612.44891169228</v>
      </c>
      <c r="DN161" s="641">
        <f t="shared" si="64"/>
        <v>235612.44891169228</v>
      </c>
      <c r="DO161" s="641">
        <f t="shared" si="64"/>
        <v>235612.44891169228</v>
      </c>
      <c r="DP161" s="641">
        <f t="shared" si="64"/>
        <v>235612.44891169228</v>
      </c>
      <c r="DQ161" s="641">
        <f t="shared" si="64"/>
        <v>235612.44891169228</v>
      </c>
      <c r="DR161" s="641">
        <f t="shared" si="64"/>
        <v>235612.44891169228</v>
      </c>
      <c r="DS161" s="641">
        <f t="shared" si="65"/>
        <v>235612.44891169228</v>
      </c>
      <c r="DT161" s="641">
        <f t="shared" si="65"/>
        <v>235612.44891169228</v>
      </c>
      <c r="DU161" s="641">
        <f t="shared" si="65"/>
        <v>235612.44891169228</v>
      </c>
      <c r="DV161" s="641">
        <f t="shared" si="65"/>
        <v>235612.44891169228</v>
      </c>
      <c r="DW161" s="641">
        <f t="shared" si="65"/>
        <v>235612.44891169228</v>
      </c>
      <c r="DX161" s="641">
        <f t="shared" si="65"/>
        <v>235612.44891169228</v>
      </c>
      <c r="DY161" s="641">
        <f t="shared" si="65"/>
        <v>235612.44891169228</v>
      </c>
      <c r="DZ161" s="641">
        <f t="shared" si="65"/>
        <v>235612.44891169228</v>
      </c>
      <c r="EA161" s="641">
        <f t="shared" si="65"/>
        <v>235612.44891169228</v>
      </c>
      <c r="EB161" s="641">
        <f t="shared" si="65"/>
        <v>235612.44891169228</v>
      </c>
      <c r="EC161" s="641">
        <f t="shared" si="65"/>
        <v>235612.44891169228</v>
      </c>
    </row>
    <row r="162" spans="12:133" ht="15.5">
      <c r="Y162"/>
      <c r="AB162" s="5">
        <f t="shared" si="44"/>
        <v>0</v>
      </c>
      <c r="AC162" s="128">
        <v>19</v>
      </c>
      <c r="AD162" s="129">
        <f t="shared" si="55"/>
        <v>172481.8335270769</v>
      </c>
      <c r="AE162" s="1108"/>
      <c r="AF162" s="128">
        <v>19</v>
      </c>
      <c r="AG162" s="641">
        <f t="shared" si="56"/>
        <v>669326.83352707687</v>
      </c>
      <c r="AH162" s="641">
        <f t="shared" si="56"/>
        <v>606374.83352707687</v>
      </c>
      <c r="AI162" s="641">
        <f t="shared" si="56"/>
        <v>543422.83352707687</v>
      </c>
      <c r="AJ162" s="641">
        <f t="shared" si="56"/>
        <v>480470.83352707687</v>
      </c>
      <c r="AK162" s="641">
        <f t="shared" si="56"/>
        <v>417518.83352707687</v>
      </c>
      <c r="AL162" s="641">
        <f t="shared" si="56"/>
        <v>354566.83352707687</v>
      </c>
      <c r="AM162" s="641">
        <f t="shared" si="56"/>
        <v>292651.83352707687</v>
      </c>
      <c r="AN162" s="641">
        <f t="shared" si="56"/>
        <v>240191.83352707687</v>
      </c>
      <c r="AO162" s="641">
        <f t="shared" si="56"/>
        <v>187731.8335270769</v>
      </c>
      <c r="AP162" s="641">
        <f t="shared" si="56"/>
        <v>172481.8335270769</v>
      </c>
      <c r="AQ162" s="641">
        <f t="shared" si="57"/>
        <v>172481.8335270769</v>
      </c>
      <c r="AR162" s="641">
        <f t="shared" si="57"/>
        <v>172481.8335270769</v>
      </c>
      <c r="AS162" s="641">
        <f t="shared" si="57"/>
        <v>172481.8335270769</v>
      </c>
      <c r="AT162" s="641">
        <f t="shared" si="57"/>
        <v>172481.8335270769</v>
      </c>
      <c r="AU162" s="641">
        <f t="shared" si="57"/>
        <v>172481.8335270769</v>
      </c>
      <c r="AV162" s="641">
        <f t="shared" si="57"/>
        <v>172481.8335270769</v>
      </c>
      <c r="AW162" s="641">
        <f t="shared" si="57"/>
        <v>172481.8335270769</v>
      </c>
      <c r="AX162" s="641">
        <f t="shared" si="57"/>
        <v>172481.8335270769</v>
      </c>
      <c r="AY162" s="641">
        <f t="shared" si="57"/>
        <v>172481.8335270769</v>
      </c>
      <c r="AZ162" s="641">
        <f t="shared" si="57"/>
        <v>172481.8335270769</v>
      </c>
      <c r="BA162" s="641">
        <f t="shared" si="58"/>
        <v>172481.8335270769</v>
      </c>
      <c r="BB162" s="641">
        <f t="shared" si="58"/>
        <v>172481.8335270769</v>
      </c>
      <c r="BC162" s="641">
        <f t="shared" si="58"/>
        <v>172481.8335270769</v>
      </c>
      <c r="BD162" s="641">
        <f t="shared" si="58"/>
        <v>172481.8335270769</v>
      </c>
      <c r="BE162" s="641">
        <f t="shared" si="58"/>
        <v>172481.8335270769</v>
      </c>
      <c r="BF162" s="641">
        <f t="shared" si="58"/>
        <v>172481.8335270769</v>
      </c>
      <c r="BG162" s="641">
        <f t="shared" si="58"/>
        <v>172481.8335270769</v>
      </c>
      <c r="BH162" s="641">
        <f t="shared" si="58"/>
        <v>172481.8335270769</v>
      </c>
      <c r="BI162" s="641">
        <f t="shared" si="58"/>
        <v>172481.8335270769</v>
      </c>
      <c r="BJ162" s="641">
        <f t="shared" si="58"/>
        <v>172481.8335270769</v>
      </c>
      <c r="BK162" s="641">
        <f t="shared" si="59"/>
        <v>172481.8335270769</v>
      </c>
      <c r="BL162" s="641">
        <f t="shared" si="59"/>
        <v>172481.8335270769</v>
      </c>
      <c r="BM162" s="641">
        <f t="shared" si="59"/>
        <v>172481.8335270769</v>
      </c>
      <c r="BN162" s="641">
        <f t="shared" si="59"/>
        <v>172481.8335270769</v>
      </c>
      <c r="BO162" s="641">
        <f t="shared" si="59"/>
        <v>172481.8335270769</v>
      </c>
      <c r="BP162" s="641">
        <f t="shared" si="59"/>
        <v>172481.8335270769</v>
      </c>
      <c r="BQ162" s="641">
        <f t="shared" si="59"/>
        <v>172481.8335270769</v>
      </c>
      <c r="BR162" s="641">
        <f t="shared" si="59"/>
        <v>172481.8335270769</v>
      </c>
      <c r="BS162" s="641">
        <f t="shared" si="59"/>
        <v>172481.8335270769</v>
      </c>
      <c r="BT162" s="641">
        <f t="shared" si="59"/>
        <v>172481.8335270769</v>
      </c>
      <c r="BU162" s="641">
        <f t="shared" si="60"/>
        <v>172481.8335270769</v>
      </c>
      <c r="BV162" s="641">
        <f t="shared" si="60"/>
        <v>172481.8335270769</v>
      </c>
      <c r="BW162" s="641">
        <f t="shared" si="60"/>
        <v>172481.8335270769</v>
      </c>
      <c r="BX162" s="641">
        <f t="shared" si="60"/>
        <v>172481.8335270769</v>
      </c>
      <c r="BY162" s="641">
        <f t="shared" si="60"/>
        <v>172481.8335270769</v>
      </c>
      <c r="BZ162" s="641">
        <f t="shared" si="60"/>
        <v>172481.8335270769</v>
      </c>
      <c r="CA162" s="641">
        <f t="shared" si="60"/>
        <v>172481.8335270769</v>
      </c>
      <c r="CB162" s="641">
        <f t="shared" si="60"/>
        <v>172481.8335270769</v>
      </c>
      <c r="CC162" s="641">
        <f t="shared" si="60"/>
        <v>172481.8335270769</v>
      </c>
      <c r="CD162" s="641">
        <f t="shared" si="60"/>
        <v>172481.8335270769</v>
      </c>
      <c r="CE162" s="641">
        <f t="shared" si="61"/>
        <v>172481.8335270769</v>
      </c>
      <c r="CF162" s="641">
        <f t="shared" si="61"/>
        <v>172481.8335270769</v>
      </c>
      <c r="CG162" s="641">
        <f t="shared" si="61"/>
        <v>172481.8335270769</v>
      </c>
      <c r="CH162" s="641">
        <f t="shared" si="61"/>
        <v>172481.8335270769</v>
      </c>
      <c r="CI162" s="641">
        <f t="shared" si="61"/>
        <v>172481.8335270769</v>
      </c>
      <c r="CJ162" s="641">
        <f t="shared" si="61"/>
        <v>172481.8335270769</v>
      </c>
      <c r="CK162" s="641">
        <f t="shared" si="61"/>
        <v>172481.8335270769</v>
      </c>
      <c r="CL162" s="641">
        <f t="shared" si="61"/>
        <v>172481.8335270769</v>
      </c>
      <c r="CM162" s="641">
        <f t="shared" si="61"/>
        <v>172481.8335270769</v>
      </c>
      <c r="CN162" s="641">
        <f t="shared" si="61"/>
        <v>172481.8335270769</v>
      </c>
      <c r="CO162" s="641">
        <f t="shared" si="62"/>
        <v>172481.8335270769</v>
      </c>
      <c r="CP162" s="641">
        <f t="shared" si="62"/>
        <v>172481.8335270769</v>
      </c>
      <c r="CQ162" s="641">
        <f t="shared" si="62"/>
        <v>172481.8335270769</v>
      </c>
      <c r="CR162" s="641">
        <f t="shared" si="62"/>
        <v>172481.8335270769</v>
      </c>
      <c r="CS162" s="641">
        <f t="shared" si="62"/>
        <v>172481.8335270769</v>
      </c>
      <c r="CT162" s="641">
        <f t="shared" si="62"/>
        <v>172481.8335270769</v>
      </c>
      <c r="CU162" s="641">
        <f t="shared" si="62"/>
        <v>172481.8335270769</v>
      </c>
      <c r="CV162" s="641">
        <f t="shared" si="62"/>
        <v>172481.8335270769</v>
      </c>
      <c r="CW162" s="641">
        <f t="shared" si="62"/>
        <v>172481.8335270769</v>
      </c>
      <c r="CX162" s="641">
        <f t="shared" si="62"/>
        <v>172481.8335270769</v>
      </c>
      <c r="CY162" s="641">
        <f t="shared" si="63"/>
        <v>172481.8335270769</v>
      </c>
      <c r="CZ162" s="641">
        <f t="shared" si="63"/>
        <v>172481.8335270769</v>
      </c>
      <c r="DA162" s="641">
        <f t="shared" si="63"/>
        <v>172481.8335270769</v>
      </c>
      <c r="DB162" s="641">
        <f t="shared" si="63"/>
        <v>172481.8335270769</v>
      </c>
      <c r="DC162" s="641">
        <f t="shared" si="63"/>
        <v>172481.8335270769</v>
      </c>
      <c r="DD162" s="641">
        <f t="shared" si="63"/>
        <v>172481.8335270769</v>
      </c>
      <c r="DE162" s="641">
        <f t="shared" si="63"/>
        <v>172481.8335270769</v>
      </c>
      <c r="DF162" s="641">
        <f t="shared" si="63"/>
        <v>172481.8335270769</v>
      </c>
      <c r="DG162" s="641">
        <f t="shared" si="63"/>
        <v>172481.8335270769</v>
      </c>
      <c r="DH162" s="641">
        <f t="shared" si="63"/>
        <v>172481.8335270769</v>
      </c>
      <c r="DI162" s="641">
        <f t="shared" si="64"/>
        <v>172481.8335270769</v>
      </c>
      <c r="DJ162" s="641">
        <f t="shared" si="64"/>
        <v>172481.8335270769</v>
      </c>
      <c r="DK162" s="641">
        <f t="shared" si="64"/>
        <v>172481.8335270769</v>
      </c>
      <c r="DL162" s="641">
        <f t="shared" si="64"/>
        <v>172481.8335270769</v>
      </c>
      <c r="DM162" s="641">
        <f t="shared" si="64"/>
        <v>172481.8335270769</v>
      </c>
      <c r="DN162" s="641">
        <f t="shared" si="64"/>
        <v>172481.8335270769</v>
      </c>
      <c r="DO162" s="641">
        <f t="shared" si="64"/>
        <v>172481.8335270769</v>
      </c>
      <c r="DP162" s="641">
        <f t="shared" si="64"/>
        <v>172481.8335270769</v>
      </c>
      <c r="DQ162" s="641">
        <f t="shared" si="64"/>
        <v>172481.8335270769</v>
      </c>
      <c r="DR162" s="641">
        <f t="shared" si="64"/>
        <v>172481.8335270769</v>
      </c>
      <c r="DS162" s="641">
        <f t="shared" si="65"/>
        <v>172481.8335270769</v>
      </c>
      <c r="DT162" s="641">
        <f t="shared" si="65"/>
        <v>172481.8335270769</v>
      </c>
      <c r="DU162" s="641">
        <f t="shared" si="65"/>
        <v>172481.8335270769</v>
      </c>
      <c r="DV162" s="641">
        <f t="shared" si="65"/>
        <v>172481.8335270769</v>
      </c>
      <c r="DW162" s="641">
        <f t="shared" si="65"/>
        <v>172481.8335270769</v>
      </c>
      <c r="DX162" s="641">
        <f t="shared" si="65"/>
        <v>172481.8335270769</v>
      </c>
      <c r="DY162" s="641">
        <f t="shared" si="65"/>
        <v>172481.8335270769</v>
      </c>
      <c r="DZ162" s="641">
        <f t="shared" si="65"/>
        <v>172481.8335270769</v>
      </c>
      <c r="EA162" s="641">
        <f t="shared" si="65"/>
        <v>172481.8335270769</v>
      </c>
      <c r="EB162" s="641">
        <f t="shared" si="65"/>
        <v>172481.8335270769</v>
      </c>
      <c r="EC162" s="641">
        <f t="shared" si="65"/>
        <v>172481.8335270769</v>
      </c>
    </row>
    <row r="163" spans="12:133" ht="15.5">
      <c r="L163"/>
      <c r="M163"/>
      <c r="N163"/>
      <c r="O163"/>
      <c r="P163"/>
      <c r="Q163"/>
      <c r="R163"/>
      <c r="S163"/>
      <c r="Y163"/>
      <c r="Z163"/>
      <c r="AA163"/>
      <c r="AB163" s="5">
        <f t="shared" si="44"/>
        <v>0</v>
      </c>
      <c r="AC163" s="128">
        <v>20</v>
      </c>
      <c r="AD163" s="129">
        <f t="shared" si="55"/>
        <v>110880.54506553843</v>
      </c>
      <c r="AE163" s="1108"/>
      <c r="AF163" s="128">
        <v>20</v>
      </c>
      <c r="AG163" s="641">
        <f t="shared" ref="AG163:AP172" si="66">IF(VLOOKUP($AF163,$T$61:$X$161,2)+VLOOKUP(AG$142,$T$61:$X$161,$AF$141)+VLOOKUP(0,$T$61:$X$161,$AF$140)+VLOOKUP(0,$T$61:$X$161,5)+$Y$51+$Z$44-$U$17&lt;0,999999999,VLOOKUP($AF163,$T$61:$X$161,2)+VLOOKUP(AG$142,$T$61:$X$161,$AF$141)+VLOOKUP(0,$T$61:$X$161,$AF$140)+VLOOKUP(0,$T$61:$X$161,5)+$Y$51+$Z$44-$U$17)</f>
        <v>607725.54506553849</v>
      </c>
      <c r="AH163" s="641">
        <f t="shared" si="66"/>
        <v>544773.54506553849</v>
      </c>
      <c r="AI163" s="641">
        <f t="shared" si="66"/>
        <v>481821.54506553843</v>
      </c>
      <c r="AJ163" s="641">
        <f t="shared" si="66"/>
        <v>418869.54506553843</v>
      </c>
      <c r="AK163" s="641">
        <f t="shared" si="66"/>
        <v>355917.54506553843</v>
      </c>
      <c r="AL163" s="641">
        <f t="shared" si="66"/>
        <v>292965.54506553843</v>
      </c>
      <c r="AM163" s="641">
        <f t="shared" si="66"/>
        <v>231050.54506553843</v>
      </c>
      <c r="AN163" s="641">
        <f t="shared" si="66"/>
        <v>178590.54506553843</v>
      </c>
      <c r="AO163" s="641">
        <f t="shared" si="66"/>
        <v>126130.54506553843</v>
      </c>
      <c r="AP163" s="641">
        <f t="shared" si="66"/>
        <v>110880.54506553843</v>
      </c>
      <c r="AQ163" s="641">
        <f t="shared" ref="AQ163:AZ172" si="67">IF(VLOOKUP($AF163,$T$61:$X$161,2)+VLOOKUP(AQ$142,$T$61:$X$161,$AF$141)+VLOOKUP(0,$T$61:$X$161,$AF$140)+VLOOKUP(0,$T$61:$X$161,5)+$Y$51+$Z$44-$U$17&lt;0,999999999,VLOOKUP($AF163,$T$61:$X$161,2)+VLOOKUP(AQ$142,$T$61:$X$161,$AF$141)+VLOOKUP(0,$T$61:$X$161,$AF$140)+VLOOKUP(0,$T$61:$X$161,5)+$Y$51+$Z$44-$U$17)</f>
        <v>110880.54506553843</v>
      </c>
      <c r="AR163" s="641">
        <f t="shared" si="67"/>
        <v>110880.54506553843</v>
      </c>
      <c r="AS163" s="641">
        <f t="shared" si="67"/>
        <v>110880.54506553843</v>
      </c>
      <c r="AT163" s="641">
        <f t="shared" si="67"/>
        <v>110880.54506553843</v>
      </c>
      <c r="AU163" s="641">
        <f t="shared" si="67"/>
        <v>110880.54506553843</v>
      </c>
      <c r="AV163" s="641">
        <f t="shared" si="67"/>
        <v>110880.54506553843</v>
      </c>
      <c r="AW163" s="641">
        <f t="shared" si="67"/>
        <v>110880.54506553843</v>
      </c>
      <c r="AX163" s="641">
        <f t="shared" si="67"/>
        <v>110880.54506553843</v>
      </c>
      <c r="AY163" s="641">
        <f t="shared" si="67"/>
        <v>110880.54506553843</v>
      </c>
      <c r="AZ163" s="641">
        <f t="shared" si="67"/>
        <v>110880.54506553843</v>
      </c>
      <c r="BA163" s="641">
        <f t="shared" ref="BA163:BJ172" si="68">IF(VLOOKUP($AF163,$T$61:$X$161,2)+VLOOKUP(BA$142,$T$61:$X$161,$AF$141)+VLOOKUP(0,$T$61:$X$161,$AF$140)+VLOOKUP(0,$T$61:$X$161,5)+$Y$51+$Z$44-$U$17&lt;0,999999999,VLOOKUP($AF163,$T$61:$X$161,2)+VLOOKUP(BA$142,$T$61:$X$161,$AF$141)+VLOOKUP(0,$T$61:$X$161,$AF$140)+VLOOKUP(0,$T$61:$X$161,5)+$Y$51+$Z$44-$U$17)</f>
        <v>110880.54506553843</v>
      </c>
      <c r="BB163" s="641">
        <f t="shared" si="68"/>
        <v>110880.54506553843</v>
      </c>
      <c r="BC163" s="641">
        <f t="shared" si="68"/>
        <v>110880.54506553843</v>
      </c>
      <c r="BD163" s="641">
        <f t="shared" si="68"/>
        <v>110880.54506553843</v>
      </c>
      <c r="BE163" s="641">
        <f t="shared" si="68"/>
        <v>110880.54506553843</v>
      </c>
      <c r="BF163" s="641">
        <f t="shared" si="68"/>
        <v>110880.54506553843</v>
      </c>
      <c r="BG163" s="641">
        <f t="shared" si="68"/>
        <v>110880.54506553843</v>
      </c>
      <c r="BH163" s="641">
        <f t="shared" si="68"/>
        <v>110880.54506553843</v>
      </c>
      <c r="BI163" s="641">
        <f t="shared" si="68"/>
        <v>110880.54506553843</v>
      </c>
      <c r="BJ163" s="641">
        <f t="shared" si="68"/>
        <v>110880.54506553843</v>
      </c>
      <c r="BK163" s="641">
        <f t="shared" ref="BK163:BT172" si="69">IF(VLOOKUP($AF163,$T$61:$X$161,2)+VLOOKUP(BK$142,$T$61:$X$161,$AF$141)+VLOOKUP(0,$T$61:$X$161,$AF$140)+VLOOKUP(0,$T$61:$X$161,5)+$Y$51+$Z$44-$U$17&lt;0,999999999,VLOOKUP($AF163,$T$61:$X$161,2)+VLOOKUP(BK$142,$T$61:$X$161,$AF$141)+VLOOKUP(0,$T$61:$X$161,$AF$140)+VLOOKUP(0,$T$61:$X$161,5)+$Y$51+$Z$44-$U$17)</f>
        <v>110880.54506553843</v>
      </c>
      <c r="BL163" s="641">
        <f t="shared" si="69"/>
        <v>110880.54506553843</v>
      </c>
      <c r="BM163" s="641">
        <f t="shared" si="69"/>
        <v>110880.54506553843</v>
      </c>
      <c r="BN163" s="641">
        <f t="shared" si="69"/>
        <v>110880.54506553843</v>
      </c>
      <c r="BO163" s="641">
        <f t="shared" si="69"/>
        <v>110880.54506553843</v>
      </c>
      <c r="BP163" s="641">
        <f t="shared" si="69"/>
        <v>110880.54506553843</v>
      </c>
      <c r="BQ163" s="641">
        <f t="shared" si="69"/>
        <v>110880.54506553843</v>
      </c>
      <c r="BR163" s="641">
        <f t="shared" si="69"/>
        <v>110880.54506553843</v>
      </c>
      <c r="BS163" s="641">
        <f t="shared" si="69"/>
        <v>110880.54506553843</v>
      </c>
      <c r="BT163" s="641">
        <f t="shared" si="69"/>
        <v>110880.54506553843</v>
      </c>
      <c r="BU163" s="641">
        <f t="shared" ref="BU163:CD172" si="70">IF(VLOOKUP($AF163,$T$61:$X$161,2)+VLOOKUP(BU$142,$T$61:$X$161,$AF$141)+VLOOKUP(0,$T$61:$X$161,$AF$140)+VLOOKUP(0,$T$61:$X$161,5)+$Y$51+$Z$44-$U$17&lt;0,999999999,VLOOKUP($AF163,$T$61:$X$161,2)+VLOOKUP(BU$142,$T$61:$X$161,$AF$141)+VLOOKUP(0,$T$61:$X$161,$AF$140)+VLOOKUP(0,$T$61:$X$161,5)+$Y$51+$Z$44-$U$17)</f>
        <v>110880.54506553843</v>
      </c>
      <c r="BV163" s="641">
        <f t="shared" si="70"/>
        <v>110880.54506553843</v>
      </c>
      <c r="BW163" s="641">
        <f t="shared" si="70"/>
        <v>110880.54506553843</v>
      </c>
      <c r="BX163" s="641">
        <f t="shared" si="70"/>
        <v>110880.54506553843</v>
      </c>
      <c r="BY163" s="641">
        <f t="shared" si="70"/>
        <v>110880.54506553843</v>
      </c>
      <c r="BZ163" s="641">
        <f t="shared" si="70"/>
        <v>110880.54506553843</v>
      </c>
      <c r="CA163" s="641">
        <f t="shared" si="70"/>
        <v>110880.54506553843</v>
      </c>
      <c r="CB163" s="641">
        <f t="shared" si="70"/>
        <v>110880.54506553843</v>
      </c>
      <c r="CC163" s="641">
        <f t="shared" si="70"/>
        <v>110880.54506553843</v>
      </c>
      <c r="CD163" s="641">
        <f t="shared" si="70"/>
        <v>110880.54506553843</v>
      </c>
      <c r="CE163" s="641">
        <f t="shared" ref="CE163:CN172" si="71">IF(VLOOKUP($AF163,$T$61:$X$161,2)+VLOOKUP(CE$142,$T$61:$X$161,$AF$141)+VLOOKUP(0,$T$61:$X$161,$AF$140)+VLOOKUP(0,$T$61:$X$161,5)+$Y$51+$Z$44-$U$17&lt;0,999999999,VLOOKUP($AF163,$T$61:$X$161,2)+VLOOKUP(CE$142,$T$61:$X$161,$AF$141)+VLOOKUP(0,$T$61:$X$161,$AF$140)+VLOOKUP(0,$T$61:$X$161,5)+$Y$51+$Z$44-$U$17)</f>
        <v>110880.54506553843</v>
      </c>
      <c r="CF163" s="641">
        <f t="shared" si="71"/>
        <v>110880.54506553843</v>
      </c>
      <c r="CG163" s="641">
        <f t="shared" si="71"/>
        <v>110880.54506553843</v>
      </c>
      <c r="CH163" s="641">
        <f t="shared" si="71"/>
        <v>110880.54506553843</v>
      </c>
      <c r="CI163" s="641">
        <f t="shared" si="71"/>
        <v>110880.54506553843</v>
      </c>
      <c r="CJ163" s="641">
        <f t="shared" si="71"/>
        <v>110880.54506553843</v>
      </c>
      <c r="CK163" s="641">
        <f t="shared" si="71"/>
        <v>110880.54506553843</v>
      </c>
      <c r="CL163" s="641">
        <f t="shared" si="71"/>
        <v>110880.54506553843</v>
      </c>
      <c r="CM163" s="641">
        <f t="shared" si="71"/>
        <v>110880.54506553843</v>
      </c>
      <c r="CN163" s="641">
        <f t="shared" si="71"/>
        <v>110880.54506553843</v>
      </c>
      <c r="CO163" s="641">
        <f t="shared" ref="CO163:CX172" si="72">IF(VLOOKUP($AF163,$T$61:$X$161,2)+VLOOKUP(CO$142,$T$61:$X$161,$AF$141)+VLOOKUP(0,$T$61:$X$161,$AF$140)+VLOOKUP(0,$T$61:$X$161,5)+$Y$51+$Z$44-$U$17&lt;0,999999999,VLOOKUP($AF163,$T$61:$X$161,2)+VLOOKUP(CO$142,$T$61:$X$161,$AF$141)+VLOOKUP(0,$T$61:$X$161,$AF$140)+VLOOKUP(0,$T$61:$X$161,5)+$Y$51+$Z$44-$U$17)</f>
        <v>110880.54506553843</v>
      </c>
      <c r="CP163" s="641">
        <f t="shared" si="72"/>
        <v>110880.54506553843</v>
      </c>
      <c r="CQ163" s="641">
        <f t="shared" si="72"/>
        <v>110880.54506553843</v>
      </c>
      <c r="CR163" s="641">
        <f t="shared" si="72"/>
        <v>110880.54506553843</v>
      </c>
      <c r="CS163" s="641">
        <f t="shared" si="72"/>
        <v>110880.54506553843</v>
      </c>
      <c r="CT163" s="641">
        <f t="shared" si="72"/>
        <v>110880.54506553843</v>
      </c>
      <c r="CU163" s="641">
        <f t="shared" si="72"/>
        <v>110880.54506553843</v>
      </c>
      <c r="CV163" s="641">
        <f t="shared" si="72"/>
        <v>110880.54506553843</v>
      </c>
      <c r="CW163" s="641">
        <f t="shared" si="72"/>
        <v>110880.54506553843</v>
      </c>
      <c r="CX163" s="641">
        <f t="shared" si="72"/>
        <v>110880.54506553843</v>
      </c>
      <c r="CY163" s="641">
        <f t="shared" ref="CY163:DH172" si="73">IF(VLOOKUP($AF163,$T$61:$X$161,2)+VLOOKUP(CY$142,$T$61:$X$161,$AF$141)+VLOOKUP(0,$T$61:$X$161,$AF$140)+VLOOKUP(0,$T$61:$X$161,5)+$Y$51+$Z$44-$U$17&lt;0,999999999,VLOOKUP($AF163,$T$61:$X$161,2)+VLOOKUP(CY$142,$T$61:$X$161,$AF$141)+VLOOKUP(0,$T$61:$X$161,$AF$140)+VLOOKUP(0,$T$61:$X$161,5)+$Y$51+$Z$44-$U$17)</f>
        <v>110880.54506553843</v>
      </c>
      <c r="CZ163" s="641">
        <f t="shared" si="73"/>
        <v>110880.54506553843</v>
      </c>
      <c r="DA163" s="641">
        <f t="shared" si="73"/>
        <v>110880.54506553843</v>
      </c>
      <c r="DB163" s="641">
        <f t="shared" si="73"/>
        <v>110880.54506553843</v>
      </c>
      <c r="DC163" s="641">
        <f t="shared" si="73"/>
        <v>110880.54506553843</v>
      </c>
      <c r="DD163" s="641">
        <f t="shared" si="73"/>
        <v>110880.54506553843</v>
      </c>
      <c r="DE163" s="641">
        <f t="shared" si="73"/>
        <v>110880.54506553843</v>
      </c>
      <c r="DF163" s="641">
        <f t="shared" si="73"/>
        <v>110880.54506553843</v>
      </c>
      <c r="DG163" s="641">
        <f t="shared" si="73"/>
        <v>110880.54506553843</v>
      </c>
      <c r="DH163" s="641">
        <f t="shared" si="73"/>
        <v>110880.54506553843</v>
      </c>
      <c r="DI163" s="641">
        <f t="shared" ref="DI163:DR172" si="74">IF(VLOOKUP($AF163,$T$61:$X$161,2)+VLOOKUP(DI$142,$T$61:$X$161,$AF$141)+VLOOKUP(0,$T$61:$X$161,$AF$140)+VLOOKUP(0,$T$61:$X$161,5)+$Y$51+$Z$44-$U$17&lt;0,999999999,VLOOKUP($AF163,$T$61:$X$161,2)+VLOOKUP(DI$142,$T$61:$X$161,$AF$141)+VLOOKUP(0,$T$61:$X$161,$AF$140)+VLOOKUP(0,$T$61:$X$161,5)+$Y$51+$Z$44-$U$17)</f>
        <v>110880.54506553843</v>
      </c>
      <c r="DJ163" s="641">
        <f t="shared" si="74"/>
        <v>110880.54506553843</v>
      </c>
      <c r="DK163" s="641">
        <f t="shared" si="74"/>
        <v>110880.54506553843</v>
      </c>
      <c r="DL163" s="641">
        <f t="shared" si="74"/>
        <v>110880.54506553843</v>
      </c>
      <c r="DM163" s="641">
        <f t="shared" si="74"/>
        <v>110880.54506553843</v>
      </c>
      <c r="DN163" s="641">
        <f t="shared" si="74"/>
        <v>110880.54506553843</v>
      </c>
      <c r="DO163" s="641">
        <f t="shared" si="74"/>
        <v>110880.54506553843</v>
      </c>
      <c r="DP163" s="641">
        <f t="shared" si="74"/>
        <v>110880.54506553843</v>
      </c>
      <c r="DQ163" s="641">
        <f t="shared" si="74"/>
        <v>110880.54506553843</v>
      </c>
      <c r="DR163" s="641">
        <f t="shared" si="74"/>
        <v>110880.54506553843</v>
      </c>
      <c r="DS163" s="641">
        <f t="shared" ref="DS163:EC172" si="75">IF(VLOOKUP($AF163,$T$61:$X$161,2)+VLOOKUP(DS$142,$T$61:$X$161,$AF$141)+VLOOKUP(0,$T$61:$X$161,$AF$140)+VLOOKUP(0,$T$61:$X$161,5)+$Y$51+$Z$44-$U$17&lt;0,999999999,VLOOKUP($AF163,$T$61:$X$161,2)+VLOOKUP(DS$142,$T$61:$X$161,$AF$141)+VLOOKUP(0,$T$61:$X$161,$AF$140)+VLOOKUP(0,$T$61:$X$161,5)+$Y$51+$Z$44-$U$17)</f>
        <v>110880.54506553843</v>
      </c>
      <c r="DT163" s="641">
        <f t="shared" si="75"/>
        <v>110880.54506553843</v>
      </c>
      <c r="DU163" s="641">
        <f t="shared" si="75"/>
        <v>110880.54506553843</v>
      </c>
      <c r="DV163" s="641">
        <f t="shared" si="75"/>
        <v>110880.54506553843</v>
      </c>
      <c r="DW163" s="641">
        <f t="shared" si="75"/>
        <v>110880.54506553843</v>
      </c>
      <c r="DX163" s="641">
        <f t="shared" si="75"/>
        <v>110880.54506553843</v>
      </c>
      <c r="DY163" s="641">
        <f t="shared" si="75"/>
        <v>110880.54506553843</v>
      </c>
      <c r="DZ163" s="641">
        <f t="shared" si="75"/>
        <v>110880.54506553843</v>
      </c>
      <c r="EA163" s="641">
        <f t="shared" si="75"/>
        <v>110880.54506553843</v>
      </c>
      <c r="EB163" s="641">
        <f t="shared" si="75"/>
        <v>110880.54506553843</v>
      </c>
      <c r="EC163" s="641">
        <f t="shared" si="75"/>
        <v>110880.54506553843</v>
      </c>
    </row>
    <row r="164" spans="12:133" ht="15.5">
      <c r="L164"/>
      <c r="M164"/>
      <c r="N164"/>
      <c r="O164"/>
      <c r="P164"/>
      <c r="Q164"/>
      <c r="R164"/>
      <c r="S164"/>
      <c r="T164"/>
      <c r="U164"/>
      <c r="V164"/>
      <c r="W164"/>
      <c r="X164"/>
      <c r="Y164"/>
      <c r="Z164"/>
      <c r="AA164"/>
      <c r="AB164" s="5">
        <f t="shared" si="44"/>
        <v>0</v>
      </c>
      <c r="AC164" s="128">
        <v>21</v>
      </c>
      <c r="AD164" s="129">
        <f t="shared" si="55"/>
        <v>58271.698911692314</v>
      </c>
      <c r="AE164" s="1108"/>
      <c r="AF164" s="128">
        <v>21</v>
      </c>
      <c r="AG164" s="641">
        <f t="shared" si="66"/>
        <v>555116.69891169225</v>
      </c>
      <c r="AH164" s="641">
        <f t="shared" si="66"/>
        <v>492164.69891169231</v>
      </c>
      <c r="AI164" s="641">
        <f t="shared" si="66"/>
        <v>429212.69891169231</v>
      </c>
      <c r="AJ164" s="641">
        <f t="shared" si="66"/>
        <v>366260.69891169231</v>
      </c>
      <c r="AK164" s="641">
        <f t="shared" si="66"/>
        <v>303308.69891169231</v>
      </c>
      <c r="AL164" s="641">
        <f t="shared" si="66"/>
        <v>240356.69891169231</v>
      </c>
      <c r="AM164" s="641">
        <f t="shared" si="66"/>
        <v>178441.69891169231</v>
      </c>
      <c r="AN164" s="641">
        <f t="shared" si="66"/>
        <v>125981.69891169231</v>
      </c>
      <c r="AO164" s="641">
        <f t="shared" si="66"/>
        <v>73521.698911692307</v>
      </c>
      <c r="AP164" s="641">
        <f t="shared" si="66"/>
        <v>58271.698911692314</v>
      </c>
      <c r="AQ164" s="641">
        <f t="shared" si="67"/>
        <v>58271.698911692314</v>
      </c>
      <c r="AR164" s="641">
        <f t="shared" si="67"/>
        <v>58271.698911692314</v>
      </c>
      <c r="AS164" s="641">
        <f t="shared" si="67"/>
        <v>58271.698911692314</v>
      </c>
      <c r="AT164" s="641">
        <f t="shared" si="67"/>
        <v>58271.698911692314</v>
      </c>
      <c r="AU164" s="641">
        <f t="shared" si="67"/>
        <v>58271.698911692314</v>
      </c>
      <c r="AV164" s="641">
        <f t="shared" si="67"/>
        <v>58271.698911692314</v>
      </c>
      <c r="AW164" s="641">
        <f t="shared" si="67"/>
        <v>58271.698911692314</v>
      </c>
      <c r="AX164" s="641">
        <f t="shared" si="67"/>
        <v>58271.698911692314</v>
      </c>
      <c r="AY164" s="641">
        <f t="shared" si="67"/>
        <v>58271.698911692314</v>
      </c>
      <c r="AZ164" s="641">
        <f t="shared" si="67"/>
        <v>58271.698911692314</v>
      </c>
      <c r="BA164" s="641">
        <f t="shared" si="68"/>
        <v>58271.698911692314</v>
      </c>
      <c r="BB164" s="641">
        <f t="shared" si="68"/>
        <v>58271.698911692314</v>
      </c>
      <c r="BC164" s="641">
        <f t="shared" si="68"/>
        <v>58271.698911692314</v>
      </c>
      <c r="BD164" s="641">
        <f t="shared" si="68"/>
        <v>58271.698911692314</v>
      </c>
      <c r="BE164" s="641">
        <f t="shared" si="68"/>
        <v>58271.698911692314</v>
      </c>
      <c r="BF164" s="641">
        <f t="shared" si="68"/>
        <v>58271.698911692314</v>
      </c>
      <c r="BG164" s="641">
        <f t="shared" si="68"/>
        <v>58271.698911692314</v>
      </c>
      <c r="BH164" s="641">
        <f t="shared" si="68"/>
        <v>58271.698911692314</v>
      </c>
      <c r="BI164" s="641">
        <f t="shared" si="68"/>
        <v>58271.698911692314</v>
      </c>
      <c r="BJ164" s="641">
        <f t="shared" si="68"/>
        <v>58271.698911692314</v>
      </c>
      <c r="BK164" s="641">
        <f t="shared" si="69"/>
        <v>58271.698911692314</v>
      </c>
      <c r="BL164" s="641">
        <f t="shared" si="69"/>
        <v>58271.698911692314</v>
      </c>
      <c r="BM164" s="641">
        <f t="shared" si="69"/>
        <v>58271.698911692314</v>
      </c>
      <c r="BN164" s="641">
        <f t="shared" si="69"/>
        <v>58271.698911692314</v>
      </c>
      <c r="BO164" s="641">
        <f t="shared" si="69"/>
        <v>58271.698911692314</v>
      </c>
      <c r="BP164" s="641">
        <f t="shared" si="69"/>
        <v>58271.698911692314</v>
      </c>
      <c r="BQ164" s="641">
        <f t="shared" si="69"/>
        <v>58271.698911692314</v>
      </c>
      <c r="BR164" s="641">
        <f t="shared" si="69"/>
        <v>58271.698911692314</v>
      </c>
      <c r="BS164" s="641">
        <f t="shared" si="69"/>
        <v>58271.698911692314</v>
      </c>
      <c r="BT164" s="641">
        <f t="shared" si="69"/>
        <v>58271.698911692314</v>
      </c>
      <c r="BU164" s="641">
        <f t="shared" si="70"/>
        <v>58271.698911692314</v>
      </c>
      <c r="BV164" s="641">
        <f t="shared" si="70"/>
        <v>58271.698911692314</v>
      </c>
      <c r="BW164" s="641">
        <f t="shared" si="70"/>
        <v>58271.698911692314</v>
      </c>
      <c r="BX164" s="641">
        <f t="shared" si="70"/>
        <v>58271.698911692314</v>
      </c>
      <c r="BY164" s="641">
        <f t="shared" si="70"/>
        <v>58271.698911692314</v>
      </c>
      <c r="BZ164" s="641">
        <f t="shared" si="70"/>
        <v>58271.698911692314</v>
      </c>
      <c r="CA164" s="641">
        <f t="shared" si="70"/>
        <v>58271.698911692314</v>
      </c>
      <c r="CB164" s="641">
        <f t="shared" si="70"/>
        <v>58271.698911692314</v>
      </c>
      <c r="CC164" s="641">
        <f t="shared" si="70"/>
        <v>58271.698911692314</v>
      </c>
      <c r="CD164" s="641">
        <f t="shared" si="70"/>
        <v>58271.698911692314</v>
      </c>
      <c r="CE164" s="641">
        <f t="shared" si="71"/>
        <v>58271.698911692314</v>
      </c>
      <c r="CF164" s="641">
        <f t="shared" si="71"/>
        <v>58271.698911692314</v>
      </c>
      <c r="CG164" s="641">
        <f t="shared" si="71"/>
        <v>58271.698911692314</v>
      </c>
      <c r="CH164" s="641">
        <f t="shared" si="71"/>
        <v>58271.698911692314</v>
      </c>
      <c r="CI164" s="641">
        <f t="shared" si="71"/>
        <v>58271.698911692314</v>
      </c>
      <c r="CJ164" s="641">
        <f t="shared" si="71"/>
        <v>58271.698911692314</v>
      </c>
      <c r="CK164" s="641">
        <f t="shared" si="71"/>
        <v>58271.698911692314</v>
      </c>
      <c r="CL164" s="641">
        <f t="shared" si="71"/>
        <v>58271.698911692314</v>
      </c>
      <c r="CM164" s="641">
        <f t="shared" si="71"/>
        <v>58271.698911692314</v>
      </c>
      <c r="CN164" s="641">
        <f t="shared" si="71"/>
        <v>58271.698911692314</v>
      </c>
      <c r="CO164" s="641">
        <f t="shared" si="72"/>
        <v>58271.698911692314</v>
      </c>
      <c r="CP164" s="641">
        <f t="shared" si="72"/>
        <v>58271.698911692314</v>
      </c>
      <c r="CQ164" s="641">
        <f t="shared" si="72"/>
        <v>58271.698911692314</v>
      </c>
      <c r="CR164" s="641">
        <f t="shared" si="72"/>
        <v>58271.698911692314</v>
      </c>
      <c r="CS164" s="641">
        <f t="shared" si="72"/>
        <v>58271.698911692314</v>
      </c>
      <c r="CT164" s="641">
        <f t="shared" si="72"/>
        <v>58271.698911692314</v>
      </c>
      <c r="CU164" s="641">
        <f t="shared" si="72"/>
        <v>58271.698911692314</v>
      </c>
      <c r="CV164" s="641">
        <f t="shared" si="72"/>
        <v>58271.698911692314</v>
      </c>
      <c r="CW164" s="641">
        <f t="shared" si="72"/>
        <v>58271.698911692314</v>
      </c>
      <c r="CX164" s="641">
        <f t="shared" si="72"/>
        <v>58271.698911692314</v>
      </c>
      <c r="CY164" s="641">
        <f t="shared" si="73"/>
        <v>58271.698911692314</v>
      </c>
      <c r="CZ164" s="641">
        <f t="shared" si="73"/>
        <v>58271.698911692314</v>
      </c>
      <c r="DA164" s="641">
        <f t="shared" si="73"/>
        <v>58271.698911692314</v>
      </c>
      <c r="DB164" s="641">
        <f t="shared" si="73"/>
        <v>58271.698911692314</v>
      </c>
      <c r="DC164" s="641">
        <f t="shared" si="73"/>
        <v>58271.698911692314</v>
      </c>
      <c r="DD164" s="641">
        <f t="shared" si="73"/>
        <v>58271.698911692314</v>
      </c>
      <c r="DE164" s="641">
        <f t="shared" si="73"/>
        <v>58271.698911692314</v>
      </c>
      <c r="DF164" s="641">
        <f t="shared" si="73"/>
        <v>58271.698911692314</v>
      </c>
      <c r="DG164" s="641">
        <f t="shared" si="73"/>
        <v>58271.698911692314</v>
      </c>
      <c r="DH164" s="641">
        <f t="shared" si="73"/>
        <v>58271.698911692314</v>
      </c>
      <c r="DI164" s="641">
        <f t="shared" si="74"/>
        <v>58271.698911692314</v>
      </c>
      <c r="DJ164" s="641">
        <f t="shared" si="74"/>
        <v>58271.698911692314</v>
      </c>
      <c r="DK164" s="641">
        <f t="shared" si="74"/>
        <v>58271.698911692314</v>
      </c>
      <c r="DL164" s="641">
        <f t="shared" si="74"/>
        <v>58271.698911692314</v>
      </c>
      <c r="DM164" s="641">
        <f t="shared" si="74"/>
        <v>58271.698911692314</v>
      </c>
      <c r="DN164" s="641">
        <f t="shared" si="74"/>
        <v>58271.698911692314</v>
      </c>
      <c r="DO164" s="641">
        <f t="shared" si="74"/>
        <v>58271.698911692314</v>
      </c>
      <c r="DP164" s="641">
        <f t="shared" si="74"/>
        <v>58271.698911692314</v>
      </c>
      <c r="DQ164" s="641">
        <f t="shared" si="74"/>
        <v>58271.698911692314</v>
      </c>
      <c r="DR164" s="641">
        <f t="shared" si="74"/>
        <v>58271.698911692314</v>
      </c>
      <c r="DS164" s="641">
        <f t="shared" si="75"/>
        <v>58271.698911692314</v>
      </c>
      <c r="DT164" s="641">
        <f t="shared" si="75"/>
        <v>58271.698911692314</v>
      </c>
      <c r="DU164" s="641">
        <f t="shared" si="75"/>
        <v>58271.698911692314</v>
      </c>
      <c r="DV164" s="641">
        <f t="shared" si="75"/>
        <v>58271.698911692314</v>
      </c>
      <c r="DW164" s="641">
        <f t="shared" si="75"/>
        <v>58271.698911692314</v>
      </c>
      <c r="DX164" s="641">
        <f t="shared" si="75"/>
        <v>58271.698911692314</v>
      </c>
      <c r="DY164" s="641">
        <f t="shared" si="75"/>
        <v>58271.698911692314</v>
      </c>
      <c r="DZ164" s="641">
        <f t="shared" si="75"/>
        <v>58271.698911692314</v>
      </c>
      <c r="EA164" s="641">
        <f t="shared" si="75"/>
        <v>58271.698911692314</v>
      </c>
      <c r="EB164" s="641">
        <f t="shared" si="75"/>
        <v>58271.698911692314</v>
      </c>
      <c r="EC164" s="641">
        <f t="shared" si="75"/>
        <v>58271.698911692314</v>
      </c>
    </row>
    <row r="165" spans="12:133" ht="15.5">
      <c r="L165"/>
      <c r="M165"/>
      <c r="N165"/>
      <c r="O165"/>
      <c r="P165"/>
      <c r="Q165"/>
      <c r="R165"/>
      <c r="S165"/>
      <c r="T165"/>
      <c r="U165"/>
      <c r="V165"/>
      <c r="W165"/>
      <c r="X165"/>
      <c r="Y165"/>
      <c r="Z165"/>
      <c r="AA165"/>
      <c r="AB165" s="5">
        <f t="shared" si="44"/>
        <v>1</v>
      </c>
      <c r="AC165" s="128">
        <v>22</v>
      </c>
      <c r="AD165" s="129">
        <f t="shared" si="55"/>
        <v>5662.8527578461544</v>
      </c>
      <c r="AE165" s="1108"/>
      <c r="AF165" s="128">
        <v>22</v>
      </c>
      <c r="AG165" s="641">
        <f t="shared" si="66"/>
        <v>502507.85275784612</v>
      </c>
      <c r="AH165" s="641">
        <f t="shared" si="66"/>
        <v>439555.85275784612</v>
      </c>
      <c r="AI165" s="641">
        <f t="shared" si="66"/>
        <v>376603.85275784612</v>
      </c>
      <c r="AJ165" s="641">
        <f t="shared" si="66"/>
        <v>313651.85275784612</v>
      </c>
      <c r="AK165" s="641">
        <f t="shared" si="66"/>
        <v>250699.85275784612</v>
      </c>
      <c r="AL165" s="641">
        <f t="shared" si="66"/>
        <v>187747.85275784615</v>
      </c>
      <c r="AM165" s="641">
        <f t="shared" si="66"/>
        <v>125832.85275784615</v>
      </c>
      <c r="AN165" s="641">
        <f t="shared" si="66"/>
        <v>73372.852757846151</v>
      </c>
      <c r="AO165" s="641">
        <f t="shared" si="66"/>
        <v>20912.852757846158</v>
      </c>
      <c r="AP165" s="641">
        <f t="shared" si="66"/>
        <v>5662.8527578461544</v>
      </c>
      <c r="AQ165" s="641">
        <f t="shared" si="67"/>
        <v>5662.8527578461544</v>
      </c>
      <c r="AR165" s="641">
        <f t="shared" si="67"/>
        <v>5662.8527578461544</v>
      </c>
      <c r="AS165" s="641">
        <f t="shared" si="67"/>
        <v>5662.8527578461544</v>
      </c>
      <c r="AT165" s="641">
        <f t="shared" si="67"/>
        <v>5662.8527578461544</v>
      </c>
      <c r="AU165" s="641">
        <f t="shared" si="67"/>
        <v>5662.8527578461544</v>
      </c>
      <c r="AV165" s="641">
        <f t="shared" si="67"/>
        <v>5662.8527578461544</v>
      </c>
      <c r="AW165" s="641">
        <f t="shared" si="67"/>
        <v>5662.8527578461544</v>
      </c>
      <c r="AX165" s="641">
        <f t="shared" si="67"/>
        <v>5662.8527578461544</v>
      </c>
      <c r="AY165" s="641">
        <f t="shared" si="67"/>
        <v>5662.8527578461544</v>
      </c>
      <c r="AZ165" s="641">
        <f t="shared" si="67"/>
        <v>5662.8527578461544</v>
      </c>
      <c r="BA165" s="641">
        <f t="shared" si="68"/>
        <v>5662.8527578461544</v>
      </c>
      <c r="BB165" s="641">
        <f t="shared" si="68"/>
        <v>5662.8527578461544</v>
      </c>
      <c r="BC165" s="641">
        <f t="shared" si="68"/>
        <v>5662.8527578461544</v>
      </c>
      <c r="BD165" s="641">
        <f t="shared" si="68"/>
        <v>5662.8527578461544</v>
      </c>
      <c r="BE165" s="641">
        <f t="shared" si="68"/>
        <v>5662.8527578461544</v>
      </c>
      <c r="BF165" s="641">
        <f t="shared" si="68"/>
        <v>5662.8527578461544</v>
      </c>
      <c r="BG165" s="641">
        <f t="shared" si="68"/>
        <v>5662.8527578461544</v>
      </c>
      <c r="BH165" s="641">
        <f t="shared" si="68"/>
        <v>5662.8527578461544</v>
      </c>
      <c r="BI165" s="641">
        <f t="shared" si="68"/>
        <v>5662.8527578461544</v>
      </c>
      <c r="BJ165" s="641">
        <f t="shared" si="68"/>
        <v>5662.8527578461544</v>
      </c>
      <c r="BK165" s="641">
        <f t="shared" si="69"/>
        <v>5662.8527578461544</v>
      </c>
      <c r="BL165" s="641">
        <f t="shared" si="69"/>
        <v>5662.8527578461544</v>
      </c>
      <c r="BM165" s="641">
        <f t="shared" si="69"/>
        <v>5662.8527578461544</v>
      </c>
      <c r="BN165" s="641">
        <f t="shared" si="69"/>
        <v>5662.8527578461544</v>
      </c>
      <c r="BO165" s="641">
        <f t="shared" si="69"/>
        <v>5662.8527578461544</v>
      </c>
      <c r="BP165" s="641">
        <f t="shared" si="69"/>
        <v>5662.8527578461544</v>
      </c>
      <c r="BQ165" s="641">
        <f t="shared" si="69"/>
        <v>5662.8527578461544</v>
      </c>
      <c r="BR165" s="641">
        <f t="shared" si="69"/>
        <v>5662.8527578461544</v>
      </c>
      <c r="BS165" s="641">
        <f t="shared" si="69"/>
        <v>5662.8527578461544</v>
      </c>
      <c r="BT165" s="641">
        <f t="shared" si="69"/>
        <v>5662.8527578461544</v>
      </c>
      <c r="BU165" s="641">
        <f t="shared" si="70"/>
        <v>5662.8527578461544</v>
      </c>
      <c r="BV165" s="641">
        <f t="shared" si="70"/>
        <v>5662.8527578461544</v>
      </c>
      <c r="BW165" s="641">
        <f t="shared" si="70"/>
        <v>5662.8527578461544</v>
      </c>
      <c r="BX165" s="641">
        <f t="shared" si="70"/>
        <v>5662.8527578461544</v>
      </c>
      <c r="BY165" s="641">
        <f t="shared" si="70"/>
        <v>5662.8527578461544</v>
      </c>
      <c r="BZ165" s="641">
        <f t="shared" si="70"/>
        <v>5662.8527578461544</v>
      </c>
      <c r="CA165" s="641">
        <f t="shared" si="70"/>
        <v>5662.8527578461544</v>
      </c>
      <c r="CB165" s="641">
        <f t="shared" si="70"/>
        <v>5662.8527578461544</v>
      </c>
      <c r="CC165" s="641">
        <f t="shared" si="70"/>
        <v>5662.8527578461544</v>
      </c>
      <c r="CD165" s="641">
        <f t="shared" si="70"/>
        <v>5662.8527578461544</v>
      </c>
      <c r="CE165" s="641">
        <f t="shared" si="71"/>
        <v>5662.8527578461544</v>
      </c>
      <c r="CF165" s="641">
        <f t="shared" si="71"/>
        <v>5662.8527578461544</v>
      </c>
      <c r="CG165" s="641">
        <f t="shared" si="71"/>
        <v>5662.8527578461544</v>
      </c>
      <c r="CH165" s="641">
        <f t="shared" si="71"/>
        <v>5662.8527578461544</v>
      </c>
      <c r="CI165" s="641">
        <f t="shared" si="71"/>
        <v>5662.8527578461544</v>
      </c>
      <c r="CJ165" s="641">
        <f t="shared" si="71"/>
        <v>5662.8527578461544</v>
      </c>
      <c r="CK165" s="641">
        <f t="shared" si="71"/>
        <v>5662.8527578461544</v>
      </c>
      <c r="CL165" s="641">
        <f t="shared" si="71"/>
        <v>5662.8527578461544</v>
      </c>
      <c r="CM165" s="641">
        <f t="shared" si="71"/>
        <v>5662.8527578461544</v>
      </c>
      <c r="CN165" s="641">
        <f t="shared" si="71"/>
        <v>5662.8527578461544</v>
      </c>
      <c r="CO165" s="641">
        <f t="shared" si="72"/>
        <v>5662.8527578461544</v>
      </c>
      <c r="CP165" s="641">
        <f t="shared" si="72"/>
        <v>5662.8527578461544</v>
      </c>
      <c r="CQ165" s="641">
        <f t="shared" si="72"/>
        <v>5662.8527578461544</v>
      </c>
      <c r="CR165" s="641">
        <f t="shared" si="72"/>
        <v>5662.8527578461544</v>
      </c>
      <c r="CS165" s="641">
        <f t="shared" si="72"/>
        <v>5662.8527578461544</v>
      </c>
      <c r="CT165" s="641">
        <f t="shared" si="72"/>
        <v>5662.8527578461544</v>
      </c>
      <c r="CU165" s="641">
        <f t="shared" si="72"/>
        <v>5662.8527578461544</v>
      </c>
      <c r="CV165" s="641">
        <f t="shared" si="72"/>
        <v>5662.8527578461544</v>
      </c>
      <c r="CW165" s="641">
        <f t="shared" si="72"/>
        <v>5662.8527578461544</v>
      </c>
      <c r="CX165" s="641">
        <f t="shared" si="72"/>
        <v>5662.8527578461544</v>
      </c>
      <c r="CY165" s="641">
        <f t="shared" si="73"/>
        <v>5662.8527578461544</v>
      </c>
      <c r="CZ165" s="641">
        <f t="shared" si="73"/>
        <v>5662.8527578461544</v>
      </c>
      <c r="DA165" s="641">
        <f t="shared" si="73"/>
        <v>5662.8527578461544</v>
      </c>
      <c r="DB165" s="641">
        <f t="shared" si="73"/>
        <v>5662.8527578461544</v>
      </c>
      <c r="DC165" s="641">
        <f t="shared" si="73"/>
        <v>5662.8527578461544</v>
      </c>
      <c r="DD165" s="641">
        <f t="shared" si="73"/>
        <v>5662.8527578461544</v>
      </c>
      <c r="DE165" s="641">
        <f t="shared" si="73"/>
        <v>5662.8527578461544</v>
      </c>
      <c r="DF165" s="641">
        <f t="shared" si="73"/>
        <v>5662.8527578461544</v>
      </c>
      <c r="DG165" s="641">
        <f t="shared" si="73"/>
        <v>5662.8527578461544</v>
      </c>
      <c r="DH165" s="641">
        <f t="shared" si="73"/>
        <v>5662.8527578461544</v>
      </c>
      <c r="DI165" s="641">
        <f t="shared" si="74"/>
        <v>5662.8527578461544</v>
      </c>
      <c r="DJ165" s="641">
        <f t="shared" si="74"/>
        <v>5662.8527578461544</v>
      </c>
      <c r="DK165" s="641">
        <f t="shared" si="74"/>
        <v>5662.8527578461544</v>
      </c>
      <c r="DL165" s="641">
        <f t="shared" si="74"/>
        <v>5662.8527578461544</v>
      </c>
      <c r="DM165" s="641">
        <f t="shared" si="74"/>
        <v>5662.8527578461544</v>
      </c>
      <c r="DN165" s="641">
        <f t="shared" si="74"/>
        <v>5662.8527578461544</v>
      </c>
      <c r="DO165" s="641">
        <f t="shared" si="74"/>
        <v>5662.8527578461544</v>
      </c>
      <c r="DP165" s="641">
        <f t="shared" si="74"/>
        <v>5662.8527578461544</v>
      </c>
      <c r="DQ165" s="641">
        <f t="shared" si="74"/>
        <v>5662.8527578461544</v>
      </c>
      <c r="DR165" s="641">
        <f t="shared" si="74"/>
        <v>5662.8527578461544</v>
      </c>
      <c r="DS165" s="641">
        <f t="shared" si="75"/>
        <v>5662.8527578461544</v>
      </c>
      <c r="DT165" s="641">
        <f t="shared" si="75"/>
        <v>5662.8527578461544</v>
      </c>
      <c r="DU165" s="641">
        <f t="shared" si="75"/>
        <v>5662.8527578461544</v>
      </c>
      <c r="DV165" s="641">
        <f t="shared" si="75"/>
        <v>5662.8527578461544</v>
      </c>
      <c r="DW165" s="641">
        <f t="shared" si="75"/>
        <v>5662.8527578461544</v>
      </c>
      <c r="DX165" s="641">
        <f t="shared" si="75"/>
        <v>5662.8527578461544</v>
      </c>
      <c r="DY165" s="641">
        <f t="shared" si="75"/>
        <v>5662.8527578461544</v>
      </c>
      <c r="DZ165" s="641">
        <f t="shared" si="75"/>
        <v>5662.8527578461544</v>
      </c>
      <c r="EA165" s="641">
        <f t="shared" si="75"/>
        <v>5662.8527578461544</v>
      </c>
      <c r="EB165" s="641">
        <f t="shared" si="75"/>
        <v>5662.8527578461544</v>
      </c>
      <c r="EC165" s="641">
        <f t="shared" si="75"/>
        <v>5662.8527578461544</v>
      </c>
    </row>
    <row r="166" spans="12:133" ht="15.5">
      <c r="L166"/>
      <c r="M166"/>
      <c r="N166"/>
      <c r="O166"/>
      <c r="P166"/>
      <c r="Q166"/>
      <c r="R166"/>
      <c r="S166"/>
      <c r="T166"/>
      <c r="U166"/>
      <c r="V166"/>
      <c r="W166"/>
      <c r="X166"/>
      <c r="Y166"/>
      <c r="Z166"/>
      <c r="AA166"/>
      <c r="AB166" s="5">
        <f t="shared" si="44"/>
        <v>2</v>
      </c>
      <c r="AC166" s="128">
        <v>23</v>
      </c>
      <c r="AD166" s="129">
        <f t="shared" si="55"/>
        <v>8066.506604000002</v>
      </c>
      <c r="AE166" s="1108"/>
      <c r="AF166" s="128">
        <v>23</v>
      </c>
      <c r="AG166" s="641">
        <f t="shared" si="66"/>
        <v>489661.50660399999</v>
      </c>
      <c r="AH166" s="641">
        <f t="shared" si="66"/>
        <v>426709.50660399999</v>
      </c>
      <c r="AI166" s="641">
        <f t="shared" si="66"/>
        <v>363757.50660399999</v>
      </c>
      <c r="AJ166" s="641">
        <f t="shared" si="66"/>
        <v>300805.50660399999</v>
      </c>
      <c r="AK166" s="641">
        <f t="shared" si="66"/>
        <v>237853.50660399999</v>
      </c>
      <c r="AL166" s="641">
        <f t="shared" si="66"/>
        <v>174901.50660399999</v>
      </c>
      <c r="AM166" s="641">
        <f t="shared" si="66"/>
        <v>112986.50660399999</v>
      </c>
      <c r="AN166" s="641">
        <f t="shared" si="66"/>
        <v>60526.506604000002</v>
      </c>
      <c r="AO166" s="641">
        <f t="shared" si="66"/>
        <v>8066.506604000002</v>
      </c>
      <c r="AP166" s="641">
        <f t="shared" si="66"/>
        <v>999999999</v>
      </c>
      <c r="AQ166" s="641">
        <f t="shared" si="67"/>
        <v>999999999</v>
      </c>
      <c r="AR166" s="641">
        <f t="shared" si="67"/>
        <v>999999999</v>
      </c>
      <c r="AS166" s="641">
        <f t="shared" si="67"/>
        <v>999999999</v>
      </c>
      <c r="AT166" s="641">
        <f t="shared" si="67"/>
        <v>999999999</v>
      </c>
      <c r="AU166" s="641">
        <f t="shared" si="67"/>
        <v>999999999</v>
      </c>
      <c r="AV166" s="641">
        <f t="shared" si="67"/>
        <v>999999999</v>
      </c>
      <c r="AW166" s="641">
        <f t="shared" si="67"/>
        <v>999999999</v>
      </c>
      <c r="AX166" s="641">
        <f t="shared" si="67"/>
        <v>999999999</v>
      </c>
      <c r="AY166" s="641">
        <f t="shared" si="67"/>
        <v>999999999</v>
      </c>
      <c r="AZ166" s="641">
        <f t="shared" si="67"/>
        <v>999999999</v>
      </c>
      <c r="BA166" s="641">
        <f t="shared" si="68"/>
        <v>999999999</v>
      </c>
      <c r="BB166" s="641">
        <f t="shared" si="68"/>
        <v>999999999</v>
      </c>
      <c r="BC166" s="641">
        <f t="shared" si="68"/>
        <v>999999999</v>
      </c>
      <c r="BD166" s="641">
        <f t="shared" si="68"/>
        <v>999999999</v>
      </c>
      <c r="BE166" s="641">
        <f t="shared" si="68"/>
        <v>999999999</v>
      </c>
      <c r="BF166" s="641">
        <f t="shared" si="68"/>
        <v>999999999</v>
      </c>
      <c r="BG166" s="641">
        <f t="shared" si="68"/>
        <v>999999999</v>
      </c>
      <c r="BH166" s="641">
        <f t="shared" si="68"/>
        <v>999999999</v>
      </c>
      <c r="BI166" s="641">
        <f t="shared" si="68"/>
        <v>999999999</v>
      </c>
      <c r="BJ166" s="641">
        <f t="shared" si="68"/>
        <v>999999999</v>
      </c>
      <c r="BK166" s="641">
        <f t="shared" si="69"/>
        <v>999999999</v>
      </c>
      <c r="BL166" s="641">
        <f t="shared" si="69"/>
        <v>999999999</v>
      </c>
      <c r="BM166" s="641">
        <f t="shared" si="69"/>
        <v>999999999</v>
      </c>
      <c r="BN166" s="641">
        <f t="shared" si="69"/>
        <v>999999999</v>
      </c>
      <c r="BO166" s="641">
        <f t="shared" si="69"/>
        <v>999999999</v>
      </c>
      <c r="BP166" s="641">
        <f t="shared" si="69"/>
        <v>999999999</v>
      </c>
      <c r="BQ166" s="641">
        <f t="shared" si="69"/>
        <v>999999999</v>
      </c>
      <c r="BR166" s="641">
        <f t="shared" si="69"/>
        <v>999999999</v>
      </c>
      <c r="BS166" s="641">
        <f t="shared" si="69"/>
        <v>999999999</v>
      </c>
      <c r="BT166" s="641">
        <f t="shared" si="69"/>
        <v>999999999</v>
      </c>
      <c r="BU166" s="641">
        <f t="shared" si="70"/>
        <v>999999999</v>
      </c>
      <c r="BV166" s="641">
        <f t="shared" si="70"/>
        <v>999999999</v>
      </c>
      <c r="BW166" s="641">
        <f t="shared" si="70"/>
        <v>999999999</v>
      </c>
      <c r="BX166" s="641">
        <f t="shared" si="70"/>
        <v>999999999</v>
      </c>
      <c r="BY166" s="641">
        <f t="shared" si="70"/>
        <v>999999999</v>
      </c>
      <c r="BZ166" s="641">
        <f t="shared" si="70"/>
        <v>999999999</v>
      </c>
      <c r="CA166" s="641">
        <f t="shared" si="70"/>
        <v>999999999</v>
      </c>
      <c r="CB166" s="641">
        <f t="shared" si="70"/>
        <v>999999999</v>
      </c>
      <c r="CC166" s="641">
        <f t="shared" si="70"/>
        <v>999999999</v>
      </c>
      <c r="CD166" s="641">
        <f t="shared" si="70"/>
        <v>999999999</v>
      </c>
      <c r="CE166" s="641">
        <f t="shared" si="71"/>
        <v>999999999</v>
      </c>
      <c r="CF166" s="641">
        <f t="shared" si="71"/>
        <v>999999999</v>
      </c>
      <c r="CG166" s="641">
        <f t="shared" si="71"/>
        <v>999999999</v>
      </c>
      <c r="CH166" s="641">
        <f t="shared" si="71"/>
        <v>999999999</v>
      </c>
      <c r="CI166" s="641">
        <f t="shared" si="71"/>
        <v>999999999</v>
      </c>
      <c r="CJ166" s="641">
        <f t="shared" si="71"/>
        <v>999999999</v>
      </c>
      <c r="CK166" s="641">
        <f t="shared" si="71"/>
        <v>999999999</v>
      </c>
      <c r="CL166" s="641">
        <f t="shared" si="71"/>
        <v>999999999</v>
      </c>
      <c r="CM166" s="641">
        <f t="shared" si="71"/>
        <v>999999999</v>
      </c>
      <c r="CN166" s="641">
        <f t="shared" si="71"/>
        <v>999999999</v>
      </c>
      <c r="CO166" s="641">
        <f t="shared" si="72"/>
        <v>999999999</v>
      </c>
      <c r="CP166" s="641">
        <f t="shared" si="72"/>
        <v>999999999</v>
      </c>
      <c r="CQ166" s="641">
        <f t="shared" si="72"/>
        <v>999999999</v>
      </c>
      <c r="CR166" s="641">
        <f t="shared" si="72"/>
        <v>999999999</v>
      </c>
      <c r="CS166" s="641">
        <f t="shared" si="72"/>
        <v>999999999</v>
      </c>
      <c r="CT166" s="641">
        <f t="shared" si="72"/>
        <v>999999999</v>
      </c>
      <c r="CU166" s="641">
        <f t="shared" si="72"/>
        <v>999999999</v>
      </c>
      <c r="CV166" s="641">
        <f t="shared" si="72"/>
        <v>999999999</v>
      </c>
      <c r="CW166" s="641">
        <f t="shared" si="72"/>
        <v>999999999</v>
      </c>
      <c r="CX166" s="641">
        <f t="shared" si="72"/>
        <v>999999999</v>
      </c>
      <c r="CY166" s="641">
        <f t="shared" si="73"/>
        <v>999999999</v>
      </c>
      <c r="CZ166" s="641">
        <f t="shared" si="73"/>
        <v>999999999</v>
      </c>
      <c r="DA166" s="641">
        <f t="shared" si="73"/>
        <v>999999999</v>
      </c>
      <c r="DB166" s="641">
        <f t="shared" si="73"/>
        <v>999999999</v>
      </c>
      <c r="DC166" s="641">
        <f t="shared" si="73"/>
        <v>999999999</v>
      </c>
      <c r="DD166" s="641">
        <f t="shared" si="73"/>
        <v>999999999</v>
      </c>
      <c r="DE166" s="641">
        <f t="shared" si="73"/>
        <v>999999999</v>
      </c>
      <c r="DF166" s="641">
        <f t="shared" si="73"/>
        <v>999999999</v>
      </c>
      <c r="DG166" s="641">
        <f t="shared" si="73"/>
        <v>999999999</v>
      </c>
      <c r="DH166" s="641">
        <f t="shared" si="73"/>
        <v>999999999</v>
      </c>
      <c r="DI166" s="641">
        <f t="shared" si="74"/>
        <v>999999999</v>
      </c>
      <c r="DJ166" s="641">
        <f t="shared" si="74"/>
        <v>999999999</v>
      </c>
      <c r="DK166" s="641">
        <f t="shared" si="74"/>
        <v>999999999</v>
      </c>
      <c r="DL166" s="641">
        <f t="shared" si="74"/>
        <v>999999999</v>
      </c>
      <c r="DM166" s="641">
        <f t="shared" si="74"/>
        <v>999999999</v>
      </c>
      <c r="DN166" s="641">
        <f t="shared" si="74"/>
        <v>999999999</v>
      </c>
      <c r="DO166" s="641">
        <f t="shared" si="74"/>
        <v>999999999</v>
      </c>
      <c r="DP166" s="641">
        <f t="shared" si="74"/>
        <v>999999999</v>
      </c>
      <c r="DQ166" s="641">
        <f t="shared" si="74"/>
        <v>999999999</v>
      </c>
      <c r="DR166" s="641">
        <f t="shared" si="74"/>
        <v>999999999</v>
      </c>
      <c r="DS166" s="641">
        <f t="shared" si="75"/>
        <v>999999999</v>
      </c>
      <c r="DT166" s="641">
        <f t="shared" si="75"/>
        <v>999999999</v>
      </c>
      <c r="DU166" s="641">
        <f t="shared" si="75"/>
        <v>999999999</v>
      </c>
      <c r="DV166" s="641">
        <f t="shared" si="75"/>
        <v>999999999</v>
      </c>
      <c r="DW166" s="641">
        <f t="shared" si="75"/>
        <v>999999999</v>
      </c>
      <c r="DX166" s="641">
        <f t="shared" si="75"/>
        <v>999999999</v>
      </c>
      <c r="DY166" s="641">
        <f t="shared" si="75"/>
        <v>999999999</v>
      </c>
      <c r="DZ166" s="641">
        <f t="shared" si="75"/>
        <v>999999999</v>
      </c>
      <c r="EA166" s="641">
        <f t="shared" si="75"/>
        <v>999999999</v>
      </c>
      <c r="EB166" s="641">
        <f t="shared" si="75"/>
        <v>999999999</v>
      </c>
      <c r="EC166" s="641">
        <f t="shared" si="75"/>
        <v>999999999</v>
      </c>
    </row>
    <row r="167" spans="12:133" ht="15.5">
      <c r="L167"/>
      <c r="M167"/>
      <c r="N167"/>
      <c r="O167"/>
      <c r="P167"/>
      <c r="Q167"/>
      <c r="R167"/>
      <c r="S167"/>
      <c r="T167"/>
      <c r="U167"/>
      <c r="V167"/>
      <c r="W167"/>
      <c r="X167"/>
      <c r="Y167"/>
      <c r="Z167"/>
      <c r="AA167"/>
      <c r="AB167" s="5">
        <f t="shared" si="44"/>
        <v>2</v>
      </c>
      <c r="AC167" s="128">
        <v>24</v>
      </c>
      <c r="AD167" s="129">
        <f t="shared" si="55"/>
        <v>8066.506604000002</v>
      </c>
      <c r="AE167" s="1108"/>
      <c r="AF167" s="128">
        <v>24</v>
      </c>
      <c r="AG167" s="641">
        <f t="shared" si="66"/>
        <v>489661.50660399999</v>
      </c>
      <c r="AH167" s="641">
        <f t="shared" si="66"/>
        <v>426709.50660399999</v>
      </c>
      <c r="AI167" s="641">
        <f t="shared" si="66"/>
        <v>363757.50660399999</v>
      </c>
      <c r="AJ167" s="641">
        <f t="shared" si="66"/>
        <v>300805.50660399999</v>
      </c>
      <c r="AK167" s="641">
        <f t="shared" si="66"/>
        <v>237853.50660399999</v>
      </c>
      <c r="AL167" s="641">
        <f t="shared" si="66"/>
        <v>174901.50660399999</v>
      </c>
      <c r="AM167" s="641">
        <f t="shared" si="66"/>
        <v>112986.50660399999</v>
      </c>
      <c r="AN167" s="641">
        <f t="shared" si="66"/>
        <v>60526.506604000002</v>
      </c>
      <c r="AO167" s="641">
        <f t="shared" si="66"/>
        <v>8066.506604000002</v>
      </c>
      <c r="AP167" s="641">
        <f t="shared" si="66"/>
        <v>999999999</v>
      </c>
      <c r="AQ167" s="641">
        <f t="shared" si="67"/>
        <v>999999999</v>
      </c>
      <c r="AR167" s="641">
        <f t="shared" si="67"/>
        <v>999999999</v>
      </c>
      <c r="AS167" s="641">
        <f t="shared" si="67"/>
        <v>999999999</v>
      </c>
      <c r="AT167" s="641">
        <f t="shared" si="67"/>
        <v>999999999</v>
      </c>
      <c r="AU167" s="641">
        <f t="shared" si="67"/>
        <v>999999999</v>
      </c>
      <c r="AV167" s="641">
        <f t="shared" si="67"/>
        <v>999999999</v>
      </c>
      <c r="AW167" s="641">
        <f t="shared" si="67"/>
        <v>999999999</v>
      </c>
      <c r="AX167" s="641">
        <f t="shared" si="67"/>
        <v>999999999</v>
      </c>
      <c r="AY167" s="641">
        <f t="shared" si="67"/>
        <v>999999999</v>
      </c>
      <c r="AZ167" s="641">
        <f t="shared" si="67"/>
        <v>999999999</v>
      </c>
      <c r="BA167" s="641">
        <f t="shared" si="68"/>
        <v>999999999</v>
      </c>
      <c r="BB167" s="641">
        <f t="shared" si="68"/>
        <v>999999999</v>
      </c>
      <c r="BC167" s="641">
        <f t="shared" si="68"/>
        <v>999999999</v>
      </c>
      <c r="BD167" s="641">
        <f t="shared" si="68"/>
        <v>999999999</v>
      </c>
      <c r="BE167" s="641">
        <f t="shared" si="68"/>
        <v>999999999</v>
      </c>
      <c r="BF167" s="641">
        <f t="shared" si="68"/>
        <v>999999999</v>
      </c>
      <c r="BG167" s="641">
        <f t="shared" si="68"/>
        <v>999999999</v>
      </c>
      <c r="BH167" s="641">
        <f t="shared" si="68"/>
        <v>999999999</v>
      </c>
      <c r="BI167" s="641">
        <f t="shared" si="68"/>
        <v>999999999</v>
      </c>
      <c r="BJ167" s="641">
        <f t="shared" si="68"/>
        <v>999999999</v>
      </c>
      <c r="BK167" s="641">
        <f t="shared" si="69"/>
        <v>999999999</v>
      </c>
      <c r="BL167" s="641">
        <f t="shared" si="69"/>
        <v>999999999</v>
      </c>
      <c r="BM167" s="641">
        <f t="shared" si="69"/>
        <v>999999999</v>
      </c>
      <c r="BN167" s="641">
        <f t="shared" si="69"/>
        <v>999999999</v>
      </c>
      <c r="BO167" s="641">
        <f t="shared" si="69"/>
        <v>999999999</v>
      </c>
      <c r="BP167" s="641">
        <f t="shared" si="69"/>
        <v>999999999</v>
      </c>
      <c r="BQ167" s="641">
        <f t="shared" si="69"/>
        <v>999999999</v>
      </c>
      <c r="BR167" s="641">
        <f t="shared" si="69"/>
        <v>999999999</v>
      </c>
      <c r="BS167" s="641">
        <f t="shared" si="69"/>
        <v>999999999</v>
      </c>
      <c r="BT167" s="641">
        <f t="shared" si="69"/>
        <v>999999999</v>
      </c>
      <c r="BU167" s="641">
        <f t="shared" si="70"/>
        <v>999999999</v>
      </c>
      <c r="BV167" s="641">
        <f t="shared" si="70"/>
        <v>999999999</v>
      </c>
      <c r="BW167" s="641">
        <f t="shared" si="70"/>
        <v>999999999</v>
      </c>
      <c r="BX167" s="641">
        <f t="shared" si="70"/>
        <v>999999999</v>
      </c>
      <c r="BY167" s="641">
        <f t="shared" si="70"/>
        <v>999999999</v>
      </c>
      <c r="BZ167" s="641">
        <f t="shared" si="70"/>
        <v>999999999</v>
      </c>
      <c r="CA167" s="641">
        <f t="shared" si="70"/>
        <v>999999999</v>
      </c>
      <c r="CB167" s="641">
        <f t="shared" si="70"/>
        <v>999999999</v>
      </c>
      <c r="CC167" s="641">
        <f t="shared" si="70"/>
        <v>999999999</v>
      </c>
      <c r="CD167" s="641">
        <f t="shared" si="70"/>
        <v>999999999</v>
      </c>
      <c r="CE167" s="641">
        <f t="shared" si="71"/>
        <v>999999999</v>
      </c>
      <c r="CF167" s="641">
        <f t="shared" si="71"/>
        <v>999999999</v>
      </c>
      <c r="CG167" s="641">
        <f t="shared" si="71"/>
        <v>999999999</v>
      </c>
      <c r="CH167" s="641">
        <f t="shared" si="71"/>
        <v>999999999</v>
      </c>
      <c r="CI167" s="641">
        <f t="shared" si="71"/>
        <v>999999999</v>
      </c>
      <c r="CJ167" s="641">
        <f t="shared" si="71"/>
        <v>999999999</v>
      </c>
      <c r="CK167" s="641">
        <f t="shared" si="71"/>
        <v>999999999</v>
      </c>
      <c r="CL167" s="641">
        <f t="shared" si="71"/>
        <v>999999999</v>
      </c>
      <c r="CM167" s="641">
        <f t="shared" si="71"/>
        <v>999999999</v>
      </c>
      <c r="CN167" s="641">
        <f t="shared" si="71"/>
        <v>999999999</v>
      </c>
      <c r="CO167" s="641">
        <f t="shared" si="72"/>
        <v>999999999</v>
      </c>
      <c r="CP167" s="641">
        <f t="shared" si="72"/>
        <v>999999999</v>
      </c>
      <c r="CQ167" s="641">
        <f t="shared" si="72"/>
        <v>999999999</v>
      </c>
      <c r="CR167" s="641">
        <f t="shared" si="72"/>
        <v>999999999</v>
      </c>
      <c r="CS167" s="641">
        <f t="shared" si="72"/>
        <v>999999999</v>
      </c>
      <c r="CT167" s="641">
        <f t="shared" si="72"/>
        <v>999999999</v>
      </c>
      <c r="CU167" s="641">
        <f t="shared" si="72"/>
        <v>999999999</v>
      </c>
      <c r="CV167" s="641">
        <f t="shared" si="72"/>
        <v>999999999</v>
      </c>
      <c r="CW167" s="641">
        <f t="shared" si="72"/>
        <v>999999999</v>
      </c>
      <c r="CX167" s="641">
        <f t="shared" si="72"/>
        <v>999999999</v>
      </c>
      <c r="CY167" s="641">
        <f t="shared" si="73"/>
        <v>999999999</v>
      </c>
      <c r="CZ167" s="641">
        <f t="shared" si="73"/>
        <v>999999999</v>
      </c>
      <c r="DA167" s="641">
        <f t="shared" si="73"/>
        <v>999999999</v>
      </c>
      <c r="DB167" s="641">
        <f t="shared" si="73"/>
        <v>999999999</v>
      </c>
      <c r="DC167" s="641">
        <f t="shared" si="73"/>
        <v>999999999</v>
      </c>
      <c r="DD167" s="641">
        <f t="shared" si="73"/>
        <v>999999999</v>
      </c>
      <c r="DE167" s="641">
        <f t="shared" si="73"/>
        <v>999999999</v>
      </c>
      <c r="DF167" s="641">
        <f t="shared" si="73"/>
        <v>999999999</v>
      </c>
      <c r="DG167" s="641">
        <f t="shared" si="73"/>
        <v>999999999</v>
      </c>
      <c r="DH167" s="641">
        <f t="shared" si="73"/>
        <v>999999999</v>
      </c>
      <c r="DI167" s="641">
        <f t="shared" si="74"/>
        <v>999999999</v>
      </c>
      <c r="DJ167" s="641">
        <f t="shared" si="74"/>
        <v>999999999</v>
      </c>
      <c r="DK167" s="641">
        <f t="shared" si="74"/>
        <v>999999999</v>
      </c>
      <c r="DL167" s="641">
        <f t="shared" si="74"/>
        <v>999999999</v>
      </c>
      <c r="DM167" s="641">
        <f t="shared" si="74"/>
        <v>999999999</v>
      </c>
      <c r="DN167" s="641">
        <f t="shared" si="74"/>
        <v>999999999</v>
      </c>
      <c r="DO167" s="641">
        <f t="shared" si="74"/>
        <v>999999999</v>
      </c>
      <c r="DP167" s="641">
        <f t="shared" si="74"/>
        <v>999999999</v>
      </c>
      <c r="DQ167" s="641">
        <f t="shared" si="74"/>
        <v>999999999</v>
      </c>
      <c r="DR167" s="641">
        <f t="shared" si="74"/>
        <v>999999999</v>
      </c>
      <c r="DS167" s="641">
        <f t="shared" si="75"/>
        <v>999999999</v>
      </c>
      <c r="DT167" s="641">
        <f t="shared" si="75"/>
        <v>999999999</v>
      </c>
      <c r="DU167" s="641">
        <f t="shared" si="75"/>
        <v>999999999</v>
      </c>
      <c r="DV167" s="641">
        <f t="shared" si="75"/>
        <v>999999999</v>
      </c>
      <c r="DW167" s="641">
        <f t="shared" si="75"/>
        <v>999999999</v>
      </c>
      <c r="DX167" s="641">
        <f t="shared" si="75"/>
        <v>999999999</v>
      </c>
      <c r="DY167" s="641">
        <f t="shared" si="75"/>
        <v>999999999</v>
      </c>
      <c r="DZ167" s="641">
        <f t="shared" si="75"/>
        <v>999999999</v>
      </c>
      <c r="EA167" s="641">
        <f t="shared" si="75"/>
        <v>999999999</v>
      </c>
      <c r="EB167" s="641">
        <f t="shared" si="75"/>
        <v>999999999</v>
      </c>
      <c r="EC167" s="641">
        <f t="shared" si="75"/>
        <v>999999999</v>
      </c>
    </row>
    <row r="168" spans="12:133" ht="15.5">
      <c r="L168"/>
      <c r="M168"/>
      <c r="N168"/>
      <c r="O168"/>
      <c r="P168"/>
      <c r="Q168"/>
      <c r="R168"/>
      <c r="S168"/>
      <c r="T168"/>
      <c r="U168"/>
      <c r="V168"/>
      <c r="W168"/>
      <c r="X168"/>
      <c r="Y168"/>
      <c r="Z168"/>
      <c r="AA168"/>
      <c r="AB168" s="5">
        <f t="shared" si="44"/>
        <v>2</v>
      </c>
      <c r="AC168" s="128">
        <v>25</v>
      </c>
      <c r="AD168" s="129">
        <f t="shared" si="55"/>
        <v>8066.506604000002</v>
      </c>
      <c r="AE168" s="1108"/>
      <c r="AF168" s="128">
        <v>25</v>
      </c>
      <c r="AG168" s="641">
        <f t="shared" si="66"/>
        <v>489661.50660399999</v>
      </c>
      <c r="AH168" s="641">
        <f t="shared" si="66"/>
        <v>426709.50660399999</v>
      </c>
      <c r="AI168" s="641">
        <f t="shared" si="66"/>
        <v>363757.50660399999</v>
      </c>
      <c r="AJ168" s="641">
        <f t="shared" si="66"/>
        <v>300805.50660399999</v>
      </c>
      <c r="AK168" s="641">
        <f t="shared" si="66"/>
        <v>237853.50660399999</v>
      </c>
      <c r="AL168" s="641">
        <f t="shared" si="66"/>
        <v>174901.50660399999</v>
      </c>
      <c r="AM168" s="641">
        <f t="shared" si="66"/>
        <v>112986.50660399999</v>
      </c>
      <c r="AN168" s="641">
        <f t="shared" si="66"/>
        <v>60526.506604000002</v>
      </c>
      <c r="AO168" s="641">
        <f t="shared" si="66"/>
        <v>8066.506604000002</v>
      </c>
      <c r="AP168" s="641">
        <f t="shared" si="66"/>
        <v>999999999</v>
      </c>
      <c r="AQ168" s="641">
        <f t="shared" si="67"/>
        <v>999999999</v>
      </c>
      <c r="AR168" s="641">
        <f t="shared" si="67"/>
        <v>999999999</v>
      </c>
      <c r="AS168" s="641">
        <f t="shared" si="67"/>
        <v>999999999</v>
      </c>
      <c r="AT168" s="641">
        <f t="shared" si="67"/>
        <v>999999999</v>
      </c>
      <c r="AU168" s="641">
        <f t="shared" si="67"/>
        <v>999999999</v>
      </c>
      <c r="AV168" s="641">
        <f t="shared" si="67"/>
        <v>999999999</v>
      </c>
      <c r="AW168" s="641">
        <f t="shared" si="67"/>
        <v>999999999</v>
      </c>
      <c r="AX168" s="641">
        <f t="shared" si="67"/>
        <v>999999999</v>
      </c>
      <c r="AY168" s="641">
        <f t="shared" si="67"/>
        <v>999999999</v>
      </c>
      <c r="AZ168" s="641">
        <f t="shared" si="67"/>
        <v>999999999</v>
      </c>
      <c r="BA168" s="641">
        <f t="shared" si="68"/>
        <v>999999999</v>
      </c>
      <c r="BB168" s="641">
        <f t="shared" si="68"/>
        <v>999999999</v>
      </c>
      <c r="BC168" s="641">
        <f t="shared" si="68"/>
        <v>999999999</v>
      </c>
      <c r="BD168" s="641">
        <f t="shared" si="68"/>
        <v>999999999</v>
      </c>
      <c r="BE168" s="641">
        <f t="shared" si="68"/>
        <v>999999999</v>
      </c>
      <c r="BF168" s="641">
        <f t="shared" si="68"/>
        <v>999999999</v>
      </c>
      <c r="BG168" s="641">
        <f t="shared" si="68"/>
        <v>999999999</v>
      </c>
      <c r="BH168" s="641">
        <f t="shared" si="68"/>
        <v>999999999</v>
      </c>
      <c r="BI168" s="641">
        <f t="shared" si="68"/>
        <v>999999999</v>
      </c>
      <c r="BJ168" s="641">
        <f t="shared" si="68"/>
        <v>999999999</v>
      </c>
      <c r="BK168" s="641">
        <f t="shared" si="69"/>
        <v>999999999</v>
      </c>
      <c r="BL168" s="641">
        <f t="shared" si="69"/>
        <v>999999999</v>
      </c>
      <c r="BM168" s="641">
        <f t="shared" si="69"/>
        <v>999999999</v>
      </c>
      <c r="BN168" s="641">
        <f t="shared" si="69"/>
        <v>999999999</v>
      </c>
      <c r="BO168" s="641">
        <f t="shared" si="69"/>
        <v>999999999</v>
      </c>
      <c r="BP168" s="641">
        <f t="shared" si="69"/>
        <v>999999999</v>
      </c>
      <c r="BQ168" s="641">
        <f t="shared" si="69"/>
        <v>999999999</v>
      </c>
      <c r="BR168" s="641">
        <f t="shared" si="69"/>
        <v>999999999</v>
      </c>
      <c r="BS168" s="641">
        <f t="shared" si="69"/>
        <v>999999999</v>
      </c>
      <c r="BT168" s="641">
        <f t="shared" si="69"/>
        <v>999999999</v>
      </c>
      <c r="BU168" s="641">
        <f t="shared" si="70"/>
        <v>999999999</v>
      </c>
      <c r="BV168" s="641">
        <f t="shared" si="70"/>
        <v>999999999</v>
      </c>
      <c r="BW168" s="641">
        <f t="shared" si="70"/>
        <v>999999999</v>
      </c>
      <c r="BX168" s="641">
        <f t="shared" si="70"/>
        <v>999999999</v>
      </c>
      <c r="BY168" s="641">
        <f t="shared" si="70"/>
        <v>999999999</v>
      </c>
      <c r="BZ168" s="641">
        <f t="shared" si="70"/>
        <v>999999999</v>
      </c>
      <c r="CA168" s="641">
        <f t="shared" si="70"/>
        <v>999999999</v>
      </c>
      <c r="CB168" s="641">
        <f t="shared" si="70"/>
        <v>999999999</v>
      </c>
      <c r="CC168" s="641">
        <f t="shared" si="70"/>
        <v>999999999</v>
      </c>
      <c r="CD168" s="641">
        <f t="shared" si="70"/>
        <v>999999999</v>
      </c>
      <c r="CE168" s="641">
        <f t="shared" si="71"/>
        <v>999999999</v>
      </c>
      <c r="CF168" s="641">
        <f t="shared" si="71"/>
        <v>999999999</v>
      </c>
      <c r="CG168" s="641">
        <f t="shared" si="71"/>
        <v>999999999</v>
      </c>
      <c r="CH168" s="641">
        <f t="shared" si="71"/>
        <v>999999999</v>
      </c>
      <c r="CI168" s="641">
        <f t="shared" si="71"/>
        <v>999999999</v>
      </c>
      <c r="CJ168" s="641">
        <f t="shared" si="71"/>
        <v>999999999</v>
      </c>
      <c r="CK168" s="641">
        <f t="shared" si="71"/>
        <v>999999999</v>
      </c>
      <c r="CL168" s="641">
        <f t="shared" si="71"/>
        <v>999999999</v>
      </c>
      <c r="CM168" s="641">
        <f t="shared" si="71"/>
        <v>999999999</v>
      </c>
      <c r="CN168" s="641">
        <f t="shared" si="71"/>
        <v>999999999</v>
      </c>
      <c r="CO168" s="641">
        <f t="shared" si="72"/>
        <v>999999999</v>
      </c>
      <c r="CP168" s="641">
        <f t="shared" si="72"/>
        <v>999999999</v>
      </c>
      <c r="CQ168" s="641">
        <f t="shared" si="72"/>
        <v>999999999</v>
      </c>
      <c r="CR168" s="641">
        <f t="shared" si="72"/>
        <v>999999999</v>
      </c>
      <c r="CS168" s="641">
        <f t="shared" si="72"/>
        <v>999999999</v>
      </c>
      <c r="CT168" s="641">
        <f t="shared" si="72"/>
        <v>999999999</v>
      </c>
      <c r="CU168" s="641">
        <f t="shared" si="72"/>
        <v>999999999</v>
      </c>
      <c r="CV168" s="641">
        <f t="shared" si="72"/>
        <v>999999999</v>
      </c>
      <c r="CW168" s="641">
        <f t="shared" si="72"/>
        <v>999999999</v>
      </c>
      <c r="CX168" s="641">
        <f t="shared" si="72"/>
        <v>999999999</v>
      </c>
      <c r="CY168" s="641">
        <f t="shared" si="73"/>
        <v>999999999</v>
      </c>
      <c r="CZ168" s="641">
        <f t="shared" si="73"/>
        <v>999999999</v>
      </c>
      <c r="DA168" s="641">
        <f t="shared" si="73"/>
        <v>999999999</v>
      </c>
      <c r="DB168" s="641">
        <f t="shared" si="73"/>
        <v>999999999</v>
      </c>
      <c r="DC168" s="641">
        <f t="shared" si="73"/>
        <v>999999999</v>
      </c>
      <c r="DD168" s="641">
        <f t="shared" si="73"/>
        <v>999999999</v>
      </c>
      <c r="DE168" s="641">
        <f t="shared" si="73"/>
        <v>999999999</v>
      </c>
      <c r="DF168" s="641">
        <f t="shared" si="73"/>
        <v>999999999</v>
      </c>
      <c r="DG168" s="641">
        <f t="shared" si="73"/>
        <v>999999999</v>
      </c>
      <c r="DH168" s="641">
        <f t="shared" si="73"/>
        <v>999999999</v>
      </c>
      <c r="DI168" s="641">
        <f t="shared" si="74"/>
        <v>999999999</v>
      </c>
      <c r="DJ168" s="641">
        <f t="shared" si="74"/>
        <v>999999999</v>
      </c>
      <c r="DK168" s="641">
        <f t="shared" si="74"/>
        <v>999999999</v>
      </c>
      <c r="DL168" s="641">
        <f t="shared" si="74"/>
        <v>999999999</v>
      </c>
      <c r="DM168" s="641">
        <f t="shared" si="74"/>
        <v>999999999</v>
      </c>
      <c r="DN168" s="641">
        <f t="shared" si="74"/>
        <v>999999999</v>
      </c>
      <c r="DO168" s="641">
        <f t="shared" si="74"/>
        <v>999999999</v>
      </c>
      <c r="DP168" s="641">
        <f t="shared" si="74"/>
        <v>999999999</v>
      </c>
      <c r="DQ168" s="641">
        <f t="shared" si="74"/>
        <v>999999999</v>
      </c>
      <c r="DR168" s="641">
        <f t="shared" si="74"/>
        <v>999999999</v>
      </c>
      <c r="DS168" s="641">
        <f t="shared" si="75"/>
        <v>999999999</v>
      </c>
      <c r="DT168" s="641">
        <f t="shared" si="75"/>
        <v>999999999</v>
      </c>
      <c r="DU168" s="641">
        <f t="shared" si="75"/>
        <v>999999999</v>
      </c>
      <c r="DV168" s="641">
        <f t="shared" si="75"/>
        <v>999999999</v>
      </c>
      <c r="DW168" s="641">
        <f t="shared" si="75"/>
        <v>999999999</v>
      </c>
      <c r="DX168" s="641">
        <f t="shared" si="75"/>
        <v>999999999</v>
      </c>
      <c r="DY168" s="641">
        <f t="shared" si="75"/>
        <v>999999999</v>
      </c>
      <c r="DZ168" s="641">
        <f t="shared" si="75"/>
        <v>999999999</v>
      </c>
      <c r="EA168" s="641">
        <f t="shared" si="75"/>
        <v>999999999</v>
      </c>
      <c r="EB168" s="641">
        <f t="shared" si="75"/>
        <v>999999999</v>
      </c>
      <c r="EC168" s="641">
        <f t="shared" si="75"/>
        <v>999999999</v>
      </c>
    </row>
    <row r="169" spans="12:133" ht="15.5">
      <c r="L169"/>
      <c r="M169"/>
      <c r="N169"/>
      <c r="O169"/>
      <c r="P169"/>
      <c r="Q169"/>
      <c r="R169"/>
      <c r="S169"/>
      <c r="T169"/>
      <c r="U169"/>
      <c r="V169"/>
      <c r="W169"/>
      <c r="X169"/>
      <c r="Y169"/>
      <c r="Z169"/>
      <c r="AA169"/>
      <c r="AB169" s="5">
        <f t="shared" si="44"/>
        <v>2</v>
      </c>
      <c r="AC169" s="128">
        <v>26</v>
      </c>
      <c r="AD169" s="129">
        <f t="shared" si="55"/>
        <v>8066.506604000002</v>
      </c>
      <c r="AF169" s="128">
        <v>26</v>
      </c>
      <c r="AG169" s="641">
        <f t="shared" si="66"/>
        <v>489661.50660399999</v>
      </c>
      <c r="AH169" s="641">
        <f t="shared" si="66"/>
        <v>426709.50660399999</v>
      </c>
      <c r="AI169" s="641">
        <f t="shared" si="66"/>
        <v>363757.50660399999</v>
      </c>
      <c r="AJ169" s="641">
        <f t="shared" si="66"/>
        <v>300805.50660399999</v>
      </c>
      <c r="AK169" s="641">
        <f t="shared" si="66"/>
        <v>237853.50660399999</v>
      </c>
      <c r="AL169" s="641">
        <f t="shared" si="66"/>
        <v>174901.50660399999</v>
      </c>
      <c r="AM169" s="641">
        <f t="shared" si="66"/>
        <v>112986.50660399999</v>
      </c>
      <c r="AN169" s="641">
        <f t="shared" si="66"/>
        <v>60526.506604000002</v>
      </c>
      <c r="AO169" s="641">
        <f t="shared" si="66"/>
        <v>8066.506604000002</v>
      </c>
      <c r="AP169" s="641">
        <f t="shared" si="66"/>
        <v>999999999</v>
      </c>
      <c r="AQ169" s="641">
        <f t="shared" si="67"/>
        <v>999999999</v>
      </c>
      <c r="AR169" s="641">
        <f t="shared" si="67"/>
        <v>999999999</v>
      </c>
      <c r="AS169" s="641">
        <f t="shared" si="67"/>
        <v>999999999</v>
      </c>
      <c r="AT169" s="641">
        <f t="shared" si="67"/>
        <v>999999999</v>
      </c>
      <c r="AU169" s="641">
        <f t="shared" si="67"/>
        <v>999999999</v>
      </c>
      <c r="AV169" s="641">
        <f t="shared" si="67"/>
        <v>999999999</v>
      </c>
      <c r="AW169" s="641">
        <f t="shared" si="67"/>
        <v>999999999</v>
      </c>
      <c r="AX169" s="641">
        <f t="shared" si="67"/>
        <v>999999999</v>
      </c>
      <c r="AY169" s="641">
        <f t="shared" si="67"/>
        <v>999999999</v>
      </c>
      <c r="AZ169" s="641">
        <f t="shared" si="67"/>
        <v>999999999</v>
      </c>
      <c r="BA169" s="641">
        <f t="shared" si="68"/>
        <v>999999999</v>
      </c>
      <c r="BB169" s="641">
        <f t="shared" si="68"/>
        <v>999999999</v>
      </c>
      <c r="BC169" s="641">
        <f t="shared" si="68"/>
        <v>999999999</v>
      </c>
      <c r="BD169" s="641">
        <f t="shared" si="68"/>
        <v>999999999</v>
      </c>
      <c r="BE169" s="641">
        <f t="shared" si="68"/>
        <v>999999999</v>
      </c>
      <c r="BF169" s="641">
        <f t="shared" si="68"/>
        <v>999999999</v>
      </c>
      <c r="BG169" s="641">
        <f t="shared" si="68"/>
        <v>999999999</v>
      </c>
      <c r="BH169" s="641">
        <f t="shared" si="68"/>
        <v>999999999</v>
      </c>
      <c r="BI169" s="641">
        <f t="shared" si="68"/>
        <v>999999999</v>
      </c>
      <c r="BJ169" s="641">
        <f t="shared" si="68"/>
        <v>999999999</v>
      </c>
      <c r="BK169" s="641">
        <f t="shared" si="69"/>
        <v>999999999</v>
      </c>
      <c r="BL169" s="641">
        <f t="shared" si="69"/>
        <v>999999999</v>
      </c>
      <c r="BM169" s="641">
        <f t="shared" si="69"/>
        <v>999999999</v>
      </c>
      <c r="BN169" s="641">
        <f t="shared" si="69"/>
        <v>999999999</v>
      </c>
      <c r="BO169" s="641">
        <f t="shared" si="69"/>
        <v>999999999</v>
      </c>
      <c r="BP169" s="641">
        <f t="shared" si="69"/>
        <v>999999999</v>
      </c>
      <c r="BQ169" s="641">
        <f t="shared" si="69"/>
        <v>999999999</v>
      </c>
      <c r="BR169" s="641">
        <f t="shared" si="69"/>
        <v>999999999</v>
      </c>
      <c r="BS169" s="641">
        <f t="shared" si="69"/>
        <v>999999999</v>
      </c>
      <c r="BT169" s="641">
        <f t="shared" si="69"/>
        <v>999999999</v>
      </c>
      <c r="BU169" s="641">
        <f t="shared" si="70"/>
        <v>999999999</v>
      </c>
      <c r="BV169" s="641">
        <f t="shared" si="70"/>
        <v>999999999</v>
      </c>
      <c r="BW169" s="641">
        <f t="shared" si="70"/>
        <v>999999999</v>
      </c>
      <c r="BX169" s="641">
        <f t="shared" si="70"/>
        <v>999999999</v>
      </c>
      <c r="BY169" s="641">
        <f t="shared" si="70"/>
        <v>999999999</v>
      </c>
      <c r="BZ169" s="641">
        <f t="shared" si="70"/>
        <v>999999999</v>
      </c>
      <c r="CA169" s="641">
        <f t="shared" si="70"/>
        <v>999999999</v>
      </c>
      <c r="CB169" s="641">
        <f t="shared" si="70"/>
        <v>999999999</v>
      </c>
      <c r="CC169" s="641">
        <f t="shared" si="70"/>
        <v>999999999</v>
      </c>
      <c r="CD169" s="641">
        <f t="shared" si="70"/>
        <v>999999999</v>
      </c>
      <c r="CE169" s="641">
        <f t="shared" si="71"/>
        <v>999999999</v>
      </c>
      <c r="CF169" s="641">
        <f t="shared" si="71"/>
        <v>999999999</v>
      </c>
      <c r="CG169" s="641">
        <f t="shared" si="71"/>
        <v>999999999</v>
      </c>
      <c r="CH169" s="641">
        <f t="shared" si="71"/>
        <v>999999999</v>
      </c>
      <c r="CI169" s="641">
        <f t="shared" si="71"/>
        <v>999999999</v>
      </c>
      <c r="CJ169" s="641">
        <f t="shared" si="71"/>
        <v>999999999</v>
      </c>
      <c r="CK169" s="641">
        <f t="shared" si="71"/>
        <v>999999999</v>
      </c>
      <c r="CL169" s="641">
        <f t="shared" si="71"/>
        <v>999999999</v>
      </c>
      <c r="CM169" s="641">
        <f t="shared" si="71"/>
        <v>999999999</v>
      </c>
      <c r="CN169" s="641">
        <f t="shared" si="71"/>
        <v>999999999</v>
      </c>
      <c r="CO169" s="641">
        <f t="shared" si="72"/>
        <v>999999999</v>
      </c>
      <c r="CP169" s="641">
        <f t="shared" si="72"/>
        <v>999999999</v>
      </c>
      <c r="CQ169" s="641">
        <f t="shared" si="72"/>
        <v>999999999</v>
      </c>
      <c r="CR169" s="641">
        <f t="shared" si="72"/>
        <v>999999999</v>
      </c>
      <c r="CS169" s="641">
        <f t="shared" si="72"/>
        <v>999999999</v>
      </c>
      <c r="CT169" s="641">
        <f t="shared" si="72"/>
        <v>999999999</v>
      </c>
      <c r="CU169" s="641">
        <f t="shared" si="72"/>
        <v>999999999</v>
      </c>
      <c r="CV169" s="641">
        <f t="shared" si="72"/>
        <v>999999999</v>
      </c>
      <c r="CW169" s="641">
        <f t="shared" si="72"/>
        <v>999999999</v>
      </c>
      <c r="CX169" s="641">
        <f t="shared" si="72"/>
        <v>999999999</v>
      </c>
      <c r="CY169" s="641">
        <f t="shared" si="73"/>
        <v>999999999</v>
      </c>
      <c r="CZ169" s="641">
        <f t="shared" si="73"/>
        <v>999999999</v>
      </c>
      <c r="DA169" s="641">
        <f t="shared" si="73"/>
        <v>999999999</v>
      </c>
      <c r="DB169" s="641">
        <f t="shared" si="73"/>
        <v>999999999</v>
      </c>
      <c r="DC169" s="641">
        <f t="shared" si="73"/>
        <v>999999999</v>
      </c>
      <c r="DD169" s="641">
        <f t="shared" si="73"/>
        <v>999999999</v>
      </c>
      <c r="DE169" s="641">
        <f t="shared" si="73"/>
        <v>999999999</v>
      </c>
      <c r="DF169" s="641">
        <f t="shared" si="73"/>
        <v>999999999</v>
      </c>
      <c r="DG169" s="641">
        <f t="shared" si="73"/>
        <v>999999999</v>
      </c>
      <c r="DH169" s="641">
        <f t="shared" si="73"/>
        <v>999999999</v>
      </c>
      <c r="DI169" s="641">
        <f t="shared" si="74"/>
        <v>999999999</v>
      </c>
      <c r="DJ169" s="641">
        <f t="shared" si="74"/>
        <v>999999999</v>
      </c>
      <c r="DK169" s="641">
        <f t="shared" si="74"/>
        <v>999999999</v>
      </c>
      <c r="DL169" s="641">
        <f t="shared" si="74"/>
        <v>999999999</v>
      </c>
      <c r="DM169" s="641">
        <f t="shared" si="74"/>
        <v>999999999</v>
      </c>
      <c r="DN169" s="641">
        <f t="shared" si="74"/>
        <v>999999999</v>
      </c>
      <c r="DO169" s="641">
        <f t="shared" si="74"/>
        <v>999999999</v>
      </c>
      <c r="DP169" s="641">
        <f t="shared" si="74"/>
        <v>999999999</v>
      </c>
      <c r="DQ169" s="641">
        <f t="shared" si="74"/>
        <v>999999999</v>
      </c>
      <c r="DR169" s="641">
        <f t="shared" si="74"/>
        <v>999999999</v>
      </c>
      <c r="DS169" s="641">
        <f t="shared" si="75"/>
        <v>999999999</v>
      </c>
      <c r="DT169" s="641">
        <f t="shared" si="75"/>
        <v>999999999</v>
      </c>
      <c r="DU169" s="641">
        <f t="shared" si="75"/>
        <v>999999999</v>
      </c>
      <c r="DV169" s="641">
        <f t="shared" si="75"/>
        <v>999999999</v>
      </c>
      <c r="DW169" s="641">
        <f t="shared" si="75"/>
        <v>999999999</v>
      </c>
      <c r="DX169" s="641">
        <f t="shared" si="75"/>
        <v>999999999</v>
      </c>
      <c r="DY169" s="641">
        <f t="shared" si="75"/>
        <v>999999999</v>
      </c>
      <c r="DZ169" s="641">
        <f t="shared" si="75"/>
        <v>999999999</v>
      </c>
      <c r="EA169" s="641">
        <f t="shared" si="75"/>
        <v>999999999</v>
      </c>
      <c r="EB169" s="641">
        <f t="shared" si="75"/>
        <v>999999999</v>
      </c>
      <c r="EC169" s="641">
        <f t="shared" si="75"/>
        <v>999999999</v>
      </c>
    </row>
    <row r="170" spans="12:133" ht="15.5">
      <c r="L170"/>
      <c r="M170"/>
      <c r="N170"/>
      <c r="O170"/>
      <c r="P170"/>
      <c r="Q170"/>
      <c r="R170"/>
      <c r="S170"/>
      <c r="T170"/>
      <c r="U170"/>
      <c r="V170"/>
      <c r="W170"/>
      <c r="X170"/>
      <c r="Y170"/>
      <c r="Z170"/>
      <c r="AA170"/>
      <c r="AB170" s="5">
        <f t="shared" si="44"/>
        <v>2</v>
      </c>
      <c r="AC170" s="128">
        <v>27</v>
      </c>
      <c r="AD170" s="129">
        <f t="shared" si="55"/>
        <v>8066.506604000002</v>
      </c>
      <c r="AF170" s="128">
        <v>27</v>
      </c>
      <c r="AG170" s="641">
        <f t="shared" si="66"/>
        <v>489661.50660399999</v>
      </c>
      <c r="AH170" s="641">
        <f t="shared" si="66"/>
        <v>426709.50660399999</v>
      </c>
      <c r="AI170" s="641">
        <f t="shared" si="66"/>
        <v>363757.50660399999</v>
      </c>
      <c r="AJ170" s="641">
        <f t="shared" si="66"/>
        <v>300805.50660399999</v>
      </c>
      <c r="AK170" s="641">
        <f t="shared" si="66"/>
        <v>237853.50660399999</v>
      </c>
      <c r="AL170" s="641">
        <f t="shared" si="66"/>
        <v>174901.50660399999</v>
      </c>
      <c r="AM170" s="641">
        <f t="shared" si="66"/>
        <v>112986.50660399999</v>
      </c>
      <c r="AN170" s="641">
        <f t="shared" si="66"/>
        <v>60526.506604000002</v>
      </c>
      <c r="AO170" s="641">
        <f t="shared" si="66"/>
        <v>8066.506604000002</v>
      </c>
      <c r="AP170" s="641">
        <f t="shared" si="66"/>
        <v>999999999</v>
      </c>
      <c r="AQ170" s="641">
        <f t="shared" si="67"/>
        <v>999999999</v>
      </c>
      <c r="AR170" s="641">
        <f t="shared" si="67"/>
        <v>999999999</v>
      </c>
      <c r="AS170" s="641">
        <f t="shared" si="67"/>
        <v>999999999</v>
      </c>
      <c r="AT170" s="641">
        <f t="shared" si="67"/>
        <v>999999999</v>
      </c>
      <c r="AU170" s="641">
        <f t="shared" si="67"/>
        <v>999999999</v>
      </c>
      <c r="AV170" s="641">
        <f t="shared" si="67"/>
        <v>999999999</v>
      </c>
      <c r="AW170" s="641">
        <f t="shared" si="67"/>
        <v>999999999</v>
      </c>
      <c r="AX170" s="641">
        <f t="shared" si="67"/>
        <v>999999999</v>
      </c>
      <c r="AY170" s="641">
        <f t="shared" si="67"/>
        <v>999999999</v>
      </c>
      <c r="AZ170" s="641">
        <f t="shared" si="67"/>
        <v>999999999</v>
      </c>
      <c r="BA170" s="641">
        <f t="shared" si="68"/>
        <v>999999999</v>
      </c>
      <c r="BB170" s="641">
        <f t="shared" si="68"/>
        <v>999999999</v>
      </c>
      <c r="BC170" s="641">
        <f t="shared" si="68"/>
        <v>999999999</v>
      </c>
      <c r="BD170" s="641">
        <f t="shared" si="68"/>
        <v>999999999</v>
      </c>
      <c r="BE170" s="641">
        <f t="shared" si="68"/>
        <v>999999999</v>
      </c>
      <c r="BF170" s="641">
        <f t="shared" si="68"/>
        <v>999999999</v>
      </c>
      <c r="BG170" s="641">
        <f t="shared" si="68"/>
        <v>999999999</v>
      </c>
      <c r="BH170" s="641">
        <f t="shared" si="68"/>
        <v>999999999</v>
      </c>
      <c r="BI170" s="641">
        <f t="shared" si="68"/>
        <v>999999999</v>
      </c>
      <c r="BJ170" s="641">
        <f t="shared" si="68"/>
        <v>999999999</v>
      </c>
      <c r="BK170" s="641">
        <f t="shared" si="69"/>
        <v>999999999</v>
      </c>
      <c r="BL170" s="641">
        <f t="shared" si="69"/>
        <v>999999999</v>
      </c>
      <c r="BM170" s="641">
        <f t="shared" si="69"/>
        <v>999999999</v>
      </c>
      <c r="BN170" s="641">
        <f t="shared" si="69"/>
        <v>999999999</v>
      </c>
      <c r="BO170" s="641">
        <f t="shared" si="69"/>
        <v>999999999</v>
      </c>
      <c r="BP170" s="641">
        <f t="shared" si="69"/>
        <v>999999999</v>
      </c>
      <c r="BQ170" s="641">
        <f t="shared" si="69"/>
        <v>999999999</v>
      </c>
      <c r="BR170" s="641">
        <f t="shared" si="69"/>
        <v>999999999</v>
      </c>
      <c r="BS170" s="641">
        <f t="shared" si="69"/>
        <v>999999999</v>
      </c>
      <c r="BT170" s="641">
        <f t="shared" si="69"/>
        <v>999999999</v>
      </c>
      <c r="BU170" s="641">
        <f t="shared" si="70"/>
        <v>999999999</v>
      </c>
      <c r="BV170" s="641">
        <f t="shared" si="70"/>
        <v>999999999</v>
      </c>
      <c r="BW170" s="641">
        <f t="shared" si="70"/>
        <v>999999999</v>
      </c>
      <c r="BX170" s="641">
        <f t="shared" si="70"/>
        <v>999999999</v>
      </c>
      <c r="BY170" s="641">
        <f t="shared" si="70"/>
        <v>999999999</v>
      </c>
      <c r="BZ170" s="641">
        <f t="shared" si="70"/>
        <v>999999999</v>
      </c>
      <c r="CA170" s="641">
        <f t="shared" si="70"/>
        <v>999999999</v>
      </c>
      <c r="CB170" s="641">
        <f t="shared" si="70"/>
        <v>999999999</v>
      </c>
      <c r="CC170" s="641">
        <f t="shared" si="70"/>
        <v>999999999</v>
      </c>
      <c r="CD170" s="641">
        <f t="shared" si="70"/>
        <v>999999999</v>
      </c>
      <c r="CE170" s="641">
        <f t="shared" si="71"/>
        <v>999999999</v>
      </c>
      <c r="CF170" s="641">
        <f t="shared" si="71"/>
        <v>999999999</v>
      </c>
      <c r="CG170" s="641">
        <f t="shared" si="71"/>
        <v>999999999</v>
      </c>
      <c r="CH170" s="641">
        <f t="shared" si="71"/>
        <v>999999999</v>
      </c>
      <c r="CI170" s="641">
        <f t="shared" si="71"/>
        <v>999999999</v>
      </c>
      <c r="CJ170" s="641">
        <f t="shared" si="71"/>
        <v>999999999</v>
      </c>
      <c r="CK170" s="641">
        <f t="shared" si="71"/>
        <v>999999999</v>
      </c>
      <c r="CL170" s="641">
        <f t="shared" si="71"/>
        <v>999999999</v>
      </c>
      <c r="CM170" s="641">
        <f t="shared" si="71"/>
        <v>999999999</v>
      </c>
      <c r="CN170" s="641">
        <f t="shared" si="71"/>
        <v>999999999</v>
      </c>
      <c r="CO170" s="641">
        <f t="shared" si="72"/>
        <v>999999999</v>
      </c>
      <c r="CP170" s="641">
        <f t="shared" si="72"/>
        <v>999999999</v>
      </c>
      <c r="CQ170" s="641">
        <f t="shared" si="72"/>
        <v>999999999</v>
      </c>
      <c r="CR170" s="641">
        <f t="shared" si="72"/>
        <v>999999999</v>
      </c>
      <c r="CS170" s="641">
        <f t="shared" si="72"/>
        <v>999999999</v>
      </c>
      <c r="CT170" s="641">
        <f t="shared" si="72"/>
        <v>999999999</v>
      </c>
      <c r="CU170" s="641">
        <f t="shared" si="72"/>
        <v>999999999</v>
      </c>
      <c r="CV170" s="641">
        <f t="shared" si="72"/>
        <v>999999999</v>
      </c>
      <c r="CW170" s="641">
        <f t="shared" si="72"/>
        <v>999999999</v>
      </c>
      <c r="CX170" s="641">
        <f t="shared" si="72"/>
        <v>999999999</v>
      </c>
      <c r="CY170" s="641">
        <f t="shared" si="73"/>
        <v>999999999</v>
      </c>
      <c r="CZ170" s="641">
        <f t="shared" si="73"/>
        <v>999999999</v>
      </c>
      <c r="DA170" s="641">
        <f t="shared" si="73"/>
        <v>999999999</v>
      </c>
      <c r="DB170" s="641">
        <f t="shared" si="73"/>
        <v>999999999</v>
      </c>
      <c r="DC170" s="641">
        <f t="shared" si="73"/>
        <v>999999999</v>
      </c>
      <c r="DD170" s="641">
        <f t="shared" si="73"/>
        <v>999999999</v>
      </c>
      <c r="DE170" s="641">
        <f t="shared" si="73"/>
        <v>999999999</v>
      </c>
      <c r="DF170" s="641">
        <f t="shared" si="73"/>
        <v>999999999</v>
      </c>
      <c r="DG170" s="641">
        <f t="shared" si="73"/>
        <v>999999999</v>
      </c>
      <c r="DH170" s="641">
        <f t="shared" si="73"/>
        <v>999999999</v>
      </c>
      <c r="DI170" s="641">
        <f t="shared" si="74"/>
        <v>999999999</v>
      </c>
      <c r="DJ170" s="641">
        <f t="shared" si="74"/>
        <v>999999999</v>
      </c>
      <c r="DK170" s="641">
        <f t="shared" si="74"/>
        <v>999999999</v>
      </c>
      <c r="DL170" s="641">
        <f t="shared" si="74"/>
        <v>999999999</v>
      </c>
      <c r="DM170" s="641">
        <f t="shared" si="74"/>
        <v>999999999</v>
      </c>
      <c r="DN170" s="641">
        <f t="shared" si="74"/>
        <v>999999999</v>
      </c>
      <c r="DO170" s="641">
        <f t="shared" si="74"/>
        <v>999999999</v>
      </c>
      <c r="DP170" s="641">
        <f t="shared" si="74"/>
        <v>999999999</v>
      </c>
      <c r="DQ170" s="641">
        <f t="shared" si="74"/>
        <v>999999999</v>
      </c>
      <c r="DR170" s="641">
        <f t="shared" si="74"/>
        <v>999999999</v>
      </c>
      <c r="DS170" s="641">
        <f t="shared" si="75"/>
        <v>999999999</v>
      </c>
      <c r="DT170" s="641">
        <f t="shared" si="75"/>
        <v>999999999</v>
      </c>
      <c r="DU170" s="641">
        <f t="shared" si="75"/>
        <v>999999999</v>
      </c>
      <c r="DV170" s="641">
        <f t="shared" si="75"/>
        <v>999999999</v>
      </c>
      <c r="DW170" s="641">
        <f t="shared" si="75"/>
        <v>999999999</v>
      </c>
      <c r="DX170" s="641">
        <f t="shared" si="75"/>
        <v>999999999</v>
      </c>
      <c r="DY170" s="641">
        <f t="shared" si="75"/>
        <v>999999999</v>
      </c>
      <c r="DZ170" s="641">
        <f t="shared" si="75"/>
        <v>999999999</v>
      </c>
      <c r="EA170" s="641">
        <f t="shared" si="75"/>
        <v>999999999</v>
      </c>
      <c r="EB170" s="641">
        <f t="shared" si="75"/>
        <v>999999999</v>
      </c>
      <c r="EC170" s="641">
        <f t="shared" si="75"/>
        <v>999999999</v>
      </c>
    </row>
    <row r="171" spans="12:133" ht="15.5">
      <c r="L171"/>
      <c r="M171"/>
      <c r="N171"/>
      <c r="O171"/>
      <c r="P171"/>
      <c r="Q171"/>
      <c r="R171"/>
      <c r="S171"/>
      <c r="T171"/>
      <c r="U171"/>
      <c r="V171"/>
      <c r="W171"/>
      <c r="X171"/>
      <c r="Y171"/>
      <c r="Z171"/>
      <c r="AA171"/>
      <c r="AB171" s="5">
        <f t="shared" si="44"/>
        <v>2</v>
      </c>
      <c r="AC171" s="128">
        <v>28</v>
      </c>
      <c r="AD171" s="129">
        <f t="shared" si="55"/>
        <v>8066.506604000002</v>
      </c>
      <c r="AF171" s="128">
        <v>28</v>
      </c>
      <c r="AG171" s="641">
        <f t="shared" si="66"/>
        <v>489661.50660399999</v>
      </c>
      <c r="AH171" s="641">
        <f t="shared" si="66"/>
        <v>426709.50660399999</v>
      </c>
      <c r="AI171" s="641">
        <f t="shared" si="66"/>
        <v>363757.50660399999</v>
      </c>
      <c r="AJ171" s="641">
        <f t="shared" si="66"/>
        <v>300805.50660399999</v>
      </c>
      <c r="AK171" s="641">
        <f t="shared" si="66"/>
        <v>237853.50660399999</v>
      </c>
      <c r="AL171" s="641">
        <f t="shared" si="66"/>
        <v>174901.50660399999</v>
      </c>
      <c r="AM171" s="641">
        <f t="shared" si="66"/>
        <v>112986.50660399999</v>
      </c>
      <c r="AN171" s="641">
        <f t="shared" si="66"/>
        <v>60526.506604000002</v>
      </c>
      <c r="AO171" s="641">
        <f t="shared" si="66"/>
        <v>8066.506604000002</v>
      </c>
      <c r="AP171" s="641">
        <f t="shared" si="66"/>
        <v>999999999</v>
      </c>
      <c r="AQ171" s="641">
        <f t="shared" si="67"/>
        <v>999999999</v>
      </c>
      <c r="AR171" s="641">
        <f t="shared" si="67"/>
        <v>999999999</v>
      </c>
      <c r="AS171" s="641">
        <f t="shared" si="67"/>
        <v>999999999</v>
      </c>
      <c r="AT171" s="641">
        <f t="shared" si="67"/>
        <v>999999999</v>
      </c>
      <c r="AU171" s="641">
        <f t="shared" si="67"/>
        <v>999999999</v>
      </c>
      <c r="AV171" s="641">
        <f t="shared" si="67"/>
        <v>999999999</v>
      </c>
      <c r="AW171" s="641">
        <f t="shared" si="67"/>
        <v>999999999</v>
      </c>
      <c r="AX171" s="641">
        <f t="shared" si="67"/>
        <v>999999999</v>
      </c>
      <c r="AY171" s="641">
        <f t="shared" si="67"/>
        <v>999999999</v>
      </c>
      <c r="AZ171" s="641">
        <f t="shared" si="67"/>
        <v>999999999</v>
      </c>
      <c r="BA171" s="641">
        <f t="shared" si="68"/>
        <v>999999999</v>
      </c>
      <c r="BB171" s="641">
        <f t="shared" si="68"/>
        <v>999999999</v>
      </c>
      <c r="BC171" s="641">
        <f t="shared" si="68"/>
        <v>999999999</v>
      </c>
      <c r="BD171" s="641">
        <f t="shared" si="68"/>
        <v>999999999</v>
      </c>
      <c r="BE171" s="641">
        <f t="shared" si="68"/>
        <v>999999999</v>
      </c>
      <c r="BF171" s="641">
        <f t="shared" si="68"/>
        <v>999999999</v>
      </c>
      <c r="BG171" s="641">
        <f t="shared" si="68"/>
        <v>999999999</v>
      </c>
      <c r="BH171" s="641">
        <f t="shared" si="68"/>
        <v>999999999</v>
      </c>
      <c r="BI171" s="641">
        <f t="shared" si="68"/>
        <v>999999999</v>
      </c>
      <c r="BJ171" s="641">
        <f t="shared" si="68"/>
        <v>999999999</v>
      </c>
      <c r="BK171" s="641">
        <f t="shared" si="69"/>
        <v>999999999</v>
      </c>
      <c r="BL171" s="641">
        <f t="shared" si="69"/>
        <v>999999999</v>
      </c>
      <c r="BM171" s="641">
        <f t="shared" si="69"/>
        <v>999999999</v>
      </c>
      <c r="BN171" s="641">
        <f t="shared" si="69"/>
        <v>999999999</v>
      </c>
      <c r="BO171" s="641">
        <f t="shared" si="69"/>
        <v>999999999</v>
      </c>
      <c r="BP171" s="641">
        <f t="shared" si="69"/>
        <v>999999999</v>
      </c>
      <c r="BQ171" s="641">
        <f t="shared" si="69"/>
        <v>999999999</v>
      </c>
      <c r="BR171" s="641">
        <f t="shared" si="69"/>
        <v>999999999</v>
      </c>
      <c r="BS171" s="641">
        <f t="shared" si="69"/>
        <v>999999999</v>
      </c>
      <c r="BT171" s="641">
        <f t="shared" si="69"/>
        <v>999999999</v>
      </c>
      <c r="BU171" s="641">
        <f t="shared" si="70"/>
        <v>999999999</v>
      </c>
      <c r="BV171" s="641">
        <f t="shared" si="70"/>
        <v>999999999</v>
      </c>
      <c r="BW171" s="641">
        <f t="shared" si="70"/>
        <v>999999999</v>
      </c>
      <c r="BX171" s="641">
        <f t="shared" si="70"/>
        <v>999999999</v>
      </c>
      <c r="BY171" s="641">
        <f t="shared" si="70"/>
        <v>999999999</v>
      </c>
      <c r="BZ171" s="641">
        <f t="shared" si="70"/>
        <v>999999999</v>
      </c>
      <c r="CA171" s="641">
        <f t="shared" si="70"/>
        <v>999999999</v>
      </c>
      <c r="CB171" s="641">
        <f t="shared" si="70"/>
        <v>999999999</v>
      </c>
      <c r="CC171" s="641">
        <f t="shared" si="70"/>
        <v>999999999</v>
      </c>
      <c r="CD171" s="641">
        <f t="shared" si="70"/>
        <v>999999999</v>
      </c>
      <c r="CE171" s="641">
        <f t="shared" si="71"/>
        <v>999999999</v>
      </c>
      <c r="CF171" s="641">
        <f t="shared" si="71"/>
        <v>999999999</v>
      </c>
      <c r="CG171" s="641">
        <f t="shared" si="71"/>
        <v>999999999</v>
      </c>
      <c r="CH171" s="641">
        <f t="shared" si="71"/>
        <v>999999999</v>
      </c>
      <c r="CI171" s="641">
        <f t="shared" si="71"/>
        <v>999999999</v>
      </c>
      <c r="CJ171" s="641">
        <f t="shared" si="71"/>
        <v>999999999</v>
      </c>
      <c r="CK171" s="641">
        <f t="shared" si="71"/>
        <v>999999999</v>
      </c>
      <c r="CL171" s="641">
        <f t="shared" si="71"/>
        <v>999999999</v>
      </c>
      <c r="CM171" s="641">
        <f t="shared" si="71"/>
        <v>999999999</v>
      </c>
      <c r="CN171" s="641">
        <f t="shared" si="71"/>
        <v>999999999</v>
      </c>
      <c r="CO171" s="641">
        <f t="shared" si="72"/>
        <v>999999999</v>
      </c>
      <c r="CP171" s="641">
        <f t="shared" si="72"/>
        <v>999999999</v>
      </c>
      <c r="CQ171" s="641">
        <f t="shared" si="72"/>
        <v>999999999</v>
      </c>
      <c r="CR171" s="641">
        <f t="shared" si="72"/>
        <v>999999999</v>
      </c>
      <c r="CS171" s="641">
        <f t="shared" si="72"/>
        <v>999999999</v>
      </c>
      <c r="CT171" s="641">
        <f t="shared" si="72"/>
        <v>999999999</v>
      </c>
      <c r="CU171" s="641">
        <f t="shared" si="72"/>
        <v>999999999</v>
      </c>
      <c r="CV171" s="641">
        <f t="shared" si="72"/>
        <v>999999999</v>
      </c>
      <c r="CW171" s="641">
        <f t="shared" si="72"/>
        <v>999999999</v>
      </c>
      <c r="CX171" s="641">
        <f t="shared" si="72"/>
        <v>999999999</v>
      </c>
      <c r="CY171" s="641">
        <f t="shared" si="73"/>
        <v>999999999</v>
      </c>
      <c r="CZ171" s="641">
        <f t="shared" si="73"/>
        <v>999999999</v>
      </c>
      <c r="DA171" s="641">
        <f t="shared" si="73"/>
        <v>999999999</v>
      </c>
      <c r="DB171" s="641">
        <f t="shared" si="73"/>
        <v>999999999</v>
      </c>
      <c r="DC171" s="641">
        <f t="shared" si="73"/>
        <v>999999999</v>
      </c>
      <c r="DD171" s="641">
        <f t="shared" si="73"/>
        <v>999999999</v>
      </c>
      <c r="DE171" s="641">
        <f t="shared" si="73"/>
        <v>999999999</v>
      </c>
      <c r="DF171" s="641">
        <f t="shared" si="73"/>
        <v>999999999</v>
      </c>
      <c r="DG171" s="641">
        <f t="shared" si="73"/>
        <v>999999999</v>
      </c>
      <c r="DH171" s="641">
        <f t="shared" si="73"/>
        <v>999999999</v>
      </c>
      <c r="DI171" s="641">
        <f t="shared" si="74"/>
        <v>999999999</v>
      </c>
      <c r="DJ171" s="641">
        <f t="shared" si="74"/>
        <v>999999999</v>
      </c>
      <c r="DK171" s="641">
        <f t="shared" si="74"/>
        <v>999999999</v>
      </c>
      <c r="DL171" s="641">
        <f t="shared" si="74"/>
        <v>999999999</v>
      </c>
      <c r="DM171" s="641">
        <f t="shared" si="74"/>
        <v>999999999</v>
      </c>
      <c r="DN171" s="641">
        <f t="shared" si="74"/>
        <v>999999999</v>
      </c>
      <c r="DO171" s="641">
        <f t="shared" si="74"/>
        <v>999999999</v>
      </c>
      <c r="DP171" s="641">
        <f t="shared" si="74"/>
        <v>999999999</v>
      </c>
      <c r="DQ171" s="641">
        <f t="shared" si="74"/>
        <v>999999999</v>
      </c>
      <c r="DR171" s="641">
        <f t="shared" si="74"/>
        <v>999999999</v>
      </c>
      <c r="DS171" s="641">
        <f t="shared" si="75"/>
        <v>999999999</v>
      </c>
      <c r="DT171" s="641">
        <f t="shared" si="75"/>
        <v>999999999</v>
      </c>
      <c r="DU171" s="641">
        <f t="shared" si="75"/>
        <v>999999999</v>
      </c>
      <c r="DV171" s="641">
        <f t="shared" si="75"/>
        <v>999999999</v>
      </c>
      <c r="DW171" s="641">
        <f t="shared" si="75"/>
        <v>999999999</v>
      </c>
      <c r="DX171" s="641">
        <f t="shared" si="75"/>
        <v>999999999</v>
      </c>
      <c r="DY171" s="641">
        <f t="shared" si="75"/>
        <v>999999999</v>
      </c>
      <c r="DZ171" s="641">
        <f t="shared" si="75"/>
        <v>999999999</v>
      </c>
      <c r="EA171" s="641">
        <f t="shared" si="75"/>
        <v>999999999</v>
      </c>
      <c r="EB171" s="641">
        <f t="shared" si="75"/>
        <v>999999999</v>
      </c>
      <c r="EC171" s="641">
        <f t="shared" si="75"/>
        <v>999999999</v>
      </c>
    </row>
    <row r="172" spans="12:133" ht="15.5">
      <c r="L172"/>
      <c r="M172"/>
      <c r="N172"/>
      <c r="O172"/>
      <c r="P172"/>
      <c r="Q172"/>
      <c r="R172"/>
      <c r="S172"/>
      <c r="T172"/>
      <c r="U172"/>
      <c r="V172"/>
      <c r="W172"/>
      <c r="X172"/>
      <c r="Y172"/>
      <c r="Z172"/>
      <c r="AA172"/>
      <c r="AB172" s="5">
        <f t="shared" si="44"/>
        <v>2</v>
      </c>
      <c r="AC172" s="128">
        <v>29</v>
      </c>
      <c r="AD172" s="129">
        <f t="shared" si="55"/>
        <v>8066.506604000002</v>
      </c>
      <c r="AF172" s="128">
        <v>29</v>
      </c>
      <c r="AG172" s="641">
        <f t="shared" si="66"/>
        <v>489661.50660399999</v>
      </c>
      <c r="AH172" s="641">
        <f t="shared" si="66"/>
        <v>426709.50660399999</v>
      </c>
      <c r="AI172" s="641">
        <f t="shared" si="66"/>
        <v>363757.50660399999</v>
      </c>
      <c r="AJ172" s="641">
        <f t="shared" si="66"/>
        <v>300805.50660399999</v>
      </c>
      <c r="AK172" s="641">
        <f t="shared" si="66"/>
        <v>237853.50660399999</v>
      </c>
      <c r="AL172" s="641">
        <f t="shared" si="66"/>
        <v>174901.50660399999</v>
      </c>
      <c r="AM172" s="641">
        <f t="shared" si="66"/>
        <v>112986.50660399999</v>
      </c>
      <c r="AN172" s="641">
        <f t="shared" si="66"/>
        <v>60526.506604000002</v>
      </c>
      <c r="AO172" s="641">
        <f t="shared" si="66"/>
        <v>8066.506604000002</v>
      </c>
      <c r="AP172" s="641">
        <f t="shared" si="66"/>
        <v>999999999</v>
      </c>
      <c r="AQ172" s="641">
        <f t="shared" si="67"/>
        <v>999999999</v>
      </c>
      <c r="AR172" s="641">
        <f t="shared" si="67"/>
        <v>999999999</v>
      </c>
      <c r="AS172" s="641">
        <f t="shared" si="67"/>
        <v>999999999</v>
      </c>
      <c r="AT172" s="641">
        <f t="shared" si="67"/>
        <v>999999999</v>
      </c>
      <c r="AU172" s="641">
        <f t="shared" si="67"/>
        <v>999999999</v>
      </c>
      <c r="AV172" s="641">
        <f t="shared" si="67"/>
        <v>999999999</v>
      </c>
      <c r="AW172" s="641">
        <f t="shared" si="67"/>
        <v>999999999</v>
      </c>
      <c r="AX172" s="641">
        <f t="shared" si="67"/>
        <v>999999999</v>
      </c>
      <c r="AY172" s="641">
        <f t="shared" si="67"/>
        <v>999999999</v>
      </c>
      <c r="AZ172" s="641">
        <f t="shared" si="67"/>
        <v>999999999</v>
      </c>
      <c r="BA172" s="641">
        <f t="shared" si="68"/>
        <v>999999999</v>
      </c>
      <c r="BB172" s="641">
        <f t="shared" si="68"/>
        <v>999999999</v>
      </c>
      <c r="BC172" s="641">
        <f t="shared" si="68"/>
        <v>999999999</v>
      </c>
      <c r="BD172" s="641">
        <f t="shared" si="68"/>
        <v>999999999</v>
      </c>
      <c r="BE172" s="641">
        <f t="shared" si="68"/>
        <v>999999999</v>
      </c>
      <c r="BF172" s="641">
        <f t="shared" si="68"/>
        <v>999999999</v>
      </c>
      <c r="BG172" s="641">
        <f t="shared" si="68"/>
        <v>999999999</v>
      </c>
      <c r="BH172" s="641">
        <f t="shared" si="68"/>
        <v>999999999</v>
      </c>
      <c r="BI172" s="641">
        <f t="shared" si="68"/>
        <v>999999999</v>
      </c>
      <c r="BJ172" s="641">
        <f t="shared" si="68"/>
        <v>999999999</v>
      </c>
      <c r="BK172" s="641">
        <f t="shared" si="69"/>
        <v>999999999</v>
      </c>
      <c r="BL172" s="641">
        <f t="shared" si="69"/>
        <v>999999999</v>
      </c>
      <c r="BM172" s="641">
        <f t="shared" si="69"/>
        <v>999999999</v>
      </c>
      <c r="BN172" s="641">
        <f t="shared" si="69"/>
        <v>999999999</v>
      </c>
      <c r="BO172" s="641">
        <f t="shared" si="69"/>
        <v>999999999</v>
      </c>
      <c r="BP172" s="641">
        <f t="shared" si="69"/>
        <v>999999999</v>
      </c>
      <c r="BQ172" s="641">
        <f t="shared" si="69"/>
        <v>999999999</v>
      </c>
      <c r="BR172" s="641">
        <f t="shared" si="69"/>
        <v>999999999</v>
      </c>
      <c r="BS172" s="641">
        <f t="shared" si="69"/>
        <v>999999999</v>
      </c>
      <c r="BT172" s="641">
        <f t="shared" si="69"/>
        <v>999999999</v>
      </c>
      <c r="BU172" s="641">
        <f t="shared" si="70"/>
        <v>999999999</v>
      </c>
      <c r="BV172" s="641">
        <f t="shared" si="70"/>
        <v>999999999</v>
      </c>
      <c r="BW172" s="641">
        <f t="shared" si="70"/>
        <v>999999999</v>
      </c>
      <c r="BX172" s="641">
        <f t="shared" si="70"/>
        <v>999999999</v>
      </c>
      <c r="BY172" s="641">
        <f t="shared" si="70"/>
        <v>999999999</v>
      </c>
      <c r="BZ172" s="641">
        <f t="shared" si="70"/>
        <v>999999999</v>
      </c>
      <c r="CA172" s="641">
        <f t="shared" si="70"/>
        <v>999999999</v>
      </c>
      <c r="CB172" s="641">
        <f t="shared" si="70"/>
        <v>999999999</v>
      </c>
      <c r="CC172" s="641">
        <f t="shared" si="70"/>
        <v>999999999</v>
      </c>
      <c r="CD172" s="641">
        <f t="shared" si="70"/>
        <v>999999999</v>
      </c>
      <c r="CE172" s="641">
        <f t="shared" si="71"/>
        <v>999999999</v>
      </c>
      <c r="CF172" s="641">
        <f t="shared" si="71"/>
        <v>999999999</v>
      </c>
      <c r="CG172" s="641">
        <f t="shared" si="71"/>
        <v>999999999</v>
      </c>
      <c r="CH172" s="641">
        <f t="shared" si="71"/>
        <v>999999999</v>
      </c>
      <c r="CI172" s="641">
        <f t="shared" si="71"/>
        <v>999999999</v>
      </c>
      <c r="CJ172" s="641">
        <f t="shared" si="71"/>
        <v>999999999</v>
      </c>
      <c r="CK172" s="641">
        <f t="shared" si="71"/>
        <v>999999999</v>
      </c>
      <c r="CL172" s="641">
        <f t="shared" si="71"/>
        <v>999999999</v>
      </c>
      <c r="CM172" s="641">
        <f t="shared" si="71"/>
        <v>999999999</v>
      </c>
      <c r="CN172" s="641">
        <f t="shared" si="71"/>
        <v>999999999</v>
      </c>
      <c r="CO172" s="641">
        <f t="shared" si="72"/>
        <v>999999999</v>
      </c>
      <c r="CP172" s="641">
        <f t="shared" si="72"/>
        <v>999999999</v>
      </c>
      <c r="CQ172" s="641">
        <f t="shared" si="72"/>
        <v>999999999</v>
      </c>
      <c r="CR172" s="641">
        <f t="shared" si="72"/>
        <v>999999999</v>
      </c>
      <c r="CS172" s="641">
        <f t="shared" si="72"/>
        <v>999999999</v>
      </c>
      <c r="CT172" s="641">
        <f t="shared" si="72"/>
        <v>999999999</v>
      </c>
      <c r="CU172" s="641">
        <f t="shared" si="72"/>
        <v>999999999</v>
      </c>
      <c r="CV172" s="641">
        <f t="shared" si="72"/>
        <v>999999999</v>
      </c>
      <c r="CW172" s="641">
        <f t="shared" si="72"/>
        <v>999999999</v>
      </c>
      <c r="CX172" s="641">
        <f t="shared" si="72"/>
        <v>999999999</v>
      </c>
      <c r="CY172" s="641">
        <f t="shared" si="73"/>
        <v>999999999</v>
      </c>
      <c r="CZ172" s="641">
        <f t="shared" si="73"/>
        <v>999999999</v>
      </c>
      <c r="DA172" s="641">
        <f t="shared" si="73"/>
        <v>999999999</v>
      </c>
      <c r="DB172" s="641">
        <f t="shared" si="73"/>
        <v>999999999</v>
      </c>
      <c r="DC172" s="641">
        <f t="shared" si="73"/>
        <v>999999999</v>
      </c>
      <c r="DD172" s="641">
        <f t="shared" si="73"/>
        <v>999999999</v>
      </c>
      <c r="DE172" s="641">
        <f t="shared" si="73"/>
        <v>999999999</v>
      </c>
      <c r="DF172" s="641">
        <f t="shared" si="73"/>
        <v>999999999</v>
      </c>
      <c r="DG172" s="641">
        <f t="shared" si="73"/>
        <v>999999999</v>
      </c>
      <c r="DH172" s="641">
        <f t="shared" si="73"/>
        <v>999999999</v>
      </c>
      <c r="DI172" s="641">
        <f t="shared" si="74"/>
        <v>999999999</v>
      </c>
      <c r="DJ172" s="641">
        <f t="shared" si="74"/>
        <v>999999999</v>
      </c>
      <c r="DK172" s="641">
        <f t="shared" si="74"/>
        <v>999999999</v>
      </c>
      <c r="DL172" s="641">
        <f t="shared" si="74"/>
        <v>999999999</v>
      </c>
      <c r="DM172" s="641">
        <f t="shared" si="74"/>
        <v>999999999</v>
      </c>
      <c r="DN172" s="641">
        <f t="shared" si="74"/>
        <v>999999999</v>
      </c>
      <c r="DO172" s="641">
        <f t="shared" si="74"/>
        <v>999999999</v>
      </c>
      <c r="DP172" s="641">
        <f t="shared" si="74"/>
        <v>999999999</v>
      </c>
      <c r="DQ172" s="641">
        <f t="shared" si="74"/>
        <v>999999999</v>
      </c>
      <c r="DR172" s="641">
        <f t="shared" si="74"/>
        <v>999999999</v>
      </c>
      <c r="DS172" s="641">
        <f t="shared" si="75"/>
        <v>999999999</v>
      </c>
      <c r="DT172" s="641">
        <f t="shared" si="75"/>
        <v>999999999</v>
      </c>
      <c r="DU172" s="641">
        <f t="shared" si="75"/>
        <v>999999999</v>
      </c>
      <c r="DV172" s="641">
        <f t="shared" si="75"/>
        <v>999999999</v>
      </c>
      <c r="DW172" s="641">
        <f t="shared" si="75"/>
        <v>999999999</v>
      </c>
      <c r="DX172" s="641">
        <f t="shared" si="75"/>
        <v>999999999</v>
      </c>
      <c r="DY172" s="641">
        <f t="shared" si="75"/>
        <v>999999999</v>
      </c>
      <c r="DZ172" s="641">
        <f t="shared" si="75"/>
        <v>999999999</v>
      </c>
      <c r="EA172" s="641">
        <f t="shared" si="75"/>
        <v>999999999</v>
      </c>
      <c r="EB172" s="641">
        <f t="shared" si="75"/>
        <v>999999999</v>
      </c>
      <c r="EC172" s="641">
        <f t="shared" si="75"/>
        <v>999999999</v>
      </c>
    </row>
    <row r="173" spans="12:133" ht="15.5">
      <c r="L173"/>
      <c r="M173"/>
      <c r="N173"/>
      <c r="O173"/>
      <c r="P173"/>
      <c r="Q173"/>
      <c r="R173"/>
      <c r="S173"/>
      <c r="T173"/>
      <c r="U173"/>
      <c r="V173"/>
      <c r="W173"/>
      <c r="X173"/>
      <c r="Y173"/>
      <c r="Z173"/>
      <c r="AA173"/>
      <c r="AB173" s="5">
        <f t="shared" si="44"/>
        <v>2</v>
      </c>
      <c r="AC173" s="128">
        <v>30</v>
      </c>
      <c r="AD173" s="129">
        <f t="shared" si="55"/>
        <v>8066.506604000002</v>
      </c>
      <c r="AF173" s="128">
        <v>30</v>
      </c>
      <c r="AG173" s="641">
        <f t="shared" ref="AG173:AP182" si="76">IF(VLOOKUP($AF173,$T$61:$X$161,2)+VLOOKUP(AG$142,$T$61:$X$161,$AF$141)+VLOOKUP(0,$T$61:$X$161,$AF$140)+VLOOKUP(0,$T$61:$X$161,5)+$Y$51+$Z$44-$U$17&lt;0,999999999,VLOOKUP($AF173,$T$61:$X$161,2)+VLOOKUP(AG$142,$T$61:$X$161,$AF$141)+VLOOKUP(0,$T$61:$X$161,$AF$140)+VLOOKUP(0,$T$61:$X$161,5)+$Y$51+$Z$44-$U$17)</f>
        <v>489661.50660399999</v>
      </c>
      <c r="AH173" s="641">
        <f t="shared" si="76"/>
        <v>426709.50660399999</v>
      </c>
      <c r="AI173" s="641">
        <f t="shared" si="76"/>
        <v>363757.50660399999</v>
      </c>
      <c r="AJ173" s="641">
        <f t="shared" si="76"/>
        <v>300805.50660399999</v>
      </c>
      <c r="AK173" s="641">
        <f t="shared" si="76"/>
        <v>237853.50660399999</v>
      </c>
      <c r="AL173" s="641">
        <f t="shared" si="76"/>
        <v>174901.50660399999</v>
      </c>
      <c r="AM173" s="641">
        <f t="shared" si="76"/>
        <v>112986.50660399999</v>
      </c>
      <c r="AN173" s="641">
        <f t="shared" si="76"/>
        <v>60526.506604000002</v>
      </c>
      <c r="AO173" s="641">
        <f t="shared" si="76"/>
        <v>8066.506604000002</v>
      </c>
      <c r="AP173" s="641">
        <f t="shared" si="76"/>
        <v>999999999</v>
      </c>
      <c r="AQ173" s="641">
        <f t="shared" ref="AQ173:AZ182" si="77">IF(VLOOKUP($AF173,$T$61:$X$161,2)+VLOOKUP(AQ$142,$T$61:$X$161,$AF$141)+VLOOKUP(0,$T$61:$X$161,$AF$140)+VLOOKUP(0,$T$61:$X$161,5)+$Y$51+$Z$44-$U$17&lt;0,999999999,VLOOKUP($AF173,$T$61:$X$161,2)+VLOOKUP(AQ$142,$T$61:$X$161,$AF$141)+VLOOKUP(0,$T$61:$X$161,$AF$140)+VLOOKUP(0,$T$61:$X$161,5)+$Y$51+$Z$44-$U$17)</f>
        <v>999999999</v>
      </c>
      <c r="AR173" s="641">
        <f t="shared" si="77"/>
        <v>999999999</v>
      </c>
      <c r="AS173" s="641">
        <f t="shared" si="77"/>
        <v>999999999</v>
      </c>
      <c r="AT173" s="641">
        <f t="shared" si="77"/>
        <v>999999999</v>
      </c>
      <c r="AU173" s="641">
        <f t="shared" si="77"/>
        <v>999999999</v>
      </c>
      <c r="AV173" s="641">
        <f t="shared" si="77"/>
        <v>999999999</v>
      </c>
      <c r="AW173" s="641">
        <f t="shared" si="77"/>
        <v>999999999</v>
      </c>
      <c r="AX173" s="641">
        <f t="shared" si="77"/>
        <v>999999999</v>
      </c>
      <c r="AY173" s="641">
        <f t="shared" si="77"/>
        <v>999999999</v>
      </c>
      <c r="AZ173" s="641">
        <f t="shared" si="77"/>
        <v>999999999</v>
      </c>
      <c r="BA173" s="641">
        <f t="shared" ref="BA173:BJ182" si="78">IF(VLOOKUP($AF173,$T$61:$X$161,2)+VLOOKUP(BA$142,$T$61:$X$161,$AF$141)+VLOOKUP(0,$T$61:$X$161,$AF$140)+VLOOKUP(0,$T$61:$X$161,5)+$Y$51+$Z$44-$U$17&lt;0,999999999,VLOOKUP($AF173,$T$61:$X$161,2)+VLOOKUP(BA$142,$T$61:$X$161,$AF$141)+VLOOKUP(0,$T$61:$X$161,$AF$140)+VLOOKUP(0,$T$61:$X$161,5)+$Y$51+$Z$44-$U$17)</f>
        <v>999999999</v>
      </c>
      <c r="BB173" s="641">
        <f t="shared" si="78"/>
        <v>999999999</v>
      </c>
      <c r="BC173" s="641">
        <f t="shared" si="78"/>
        <v>999999999</v>
      </c>
      <c r="BD173" s="641">
        <f t="shared" si="78"/>
        <v>999999999</v>
      </c>
      <c r="BE173" s="641">
        <f t="shared" si="78"/>
        <v>999999999</v>
      </c>
      <c r="BF173" s="641">
        <f t="shared" si="78"/>
        <v>999999999</v>
      </c>
      <c r="BG173" s="641">
        <f t="shared" si="78"/>
        <v>999999999</v>
      </c>
      <c r="BH173" s="641">
        <f t="shared" si="78"/>
        <v>999999999</v>
      </c>
      <c r="BI173" s="641">
        <f t="shared" si="78"/>
        <v>999999999</v>
      </c>
      <c r="BJ173" s="641">
        <f t="shared" si="78"/>
        <v>999999999</v>
      </c>
      <c r="BK173" s="641">
        <f t="shared" ref="BK173:BT182" si="79">IF(VLOOKUP($AF173,$T$61:$X$161,2)+VLOOKUP(BK$142,$T$61:$X$161,$AF$141)+VLOOKUP(0,$T$61:$X$161,$AF$140)+VLOOKUP(0,$T$61:$X$161,5)+$Y$51+$Z$44-$U$17&lt;0,999999999,VLOOKUP($AF173,$T$61:$X$161,2)+VLOOKUP(BK$142,$T$61:$X$161,$AF$141)+VLOOKUP(0,$T$61:$X$161,$AF$140)+VLOOKUP(0,$T$61:$X$161,5)+$Y$51+$Z$44-$U$17)</f>
        <v>999999999</v>
      </c>
      <c r="BL173" s="641">
        <f t="shared" si="79"/>
        <v>999999999</v>
      </c>
      <c r="BM173" s="641">
        <f t="shared" si="79"/>
        <v>999999999</v>
      </c>
      <c r="BN173" s="641">
        <f t="shared" si="79"/>
        <v>999999999</v>
      </c>
      <c r="BO173" s="641">
        <f t="shared" si="79"/>
        <v>999999999</v>
      </c>
      <c r="BP173" s="641">
        <f t="shared" si="79"/>
        <v>999999999</v>
      </c>
      <c r="BQ173" s="641">
        <f t="shared" si="79"/>
        <v>999999999</v>
      </c>
      <c r="BR173" s="641">
        <f t="shared" si="79"/>
        <v>999999999</v>
      </c>
      <c r="BS173" s="641">
        <f t="shared" si="79"/>
        <v>999999999</v>
      </c>
      <c r="BT173" s="641">
        <f t="shared" si="79"/>
        <v>999999999</v>
      </c>
      <c r="BU173" s="641">
        <f t="shared" ref="BU173:CD182" si="80">IF(VLOOKUP($AF173,$T$61:$X$161,2)+VLOOKUP(BU$142,$T$61:$X$161,$AF$141)+VLOOKUP(0,$T$61:$X$161,$AF$140)+VLOOKUP(0,$T$61:$X$161,5)+$Y$51+$Z$44-$U$17&lt;0,999999999,VLOOKUP($AF173,$T$61:$X$161,2)+VLOOKUP(BU$142,$T$61:$X$161,$AF$141)+VLOOKUP(0,$T$61:$X$161,$AF$140)+VLOOKUP(0,$T$61:$X$161,5)+$Y$51+$Z$44-$U$17)</f>
        <v>999999999</v>
      </c>
      <c r="BV173" s="641">
        <f t="shared" si="80"/>
        <v>999999999</v>
      </c>
      <c r="BW173" s="641">
        <f t="shared" si="80"/>
        <v>999999999</v>
      </c>
      <c r="BX173" s="641">
        <f t="shared" si="80"/>
        <v>999999999</v>
      </c>
      <c r="BY173" s="641">
        <f t="shared" si="80"/>
        <v>999999999</v>
      </c>
      <c r="BZ173" s="641">
        <f t="shared" si="80"/>
        <v>999999999</v>
      </c>
      <c r="CA173" s="641">
        <f t="shared" si="80"/>
        <v>999999999</v>
      </c>
      <c r="CB173" s="641">
        <f t="shared" si="80"/>
        <v>999999999</v>
      </c>
      <c r="CC173" s="641">
        <f t="shared" si="80"/>
        <v>999999999</v>
      </c>
      <c r="CD173" s="641">
        <f t="shared" si="80"/>
        <v>999999999</v>
      </c>
      <c r="CE173" s="641">
        <f t="shared" ref="CE173:CN182" si="81">IF(VLOOKUP($AF173,$T$61:$X$161,2)+VLOOKUP(CE$142,$T$61:$X$161,$AF$141)+VLOOKUP(0,$T$61:$X$161,$AF$140)+VLOOKUP(0,$T$61:$X$161,5)+$Y$51+$Z$44-$U$17&lt;0,999999999,VLOOKUP($AF173,$T$61:$X$161,2)+VLOOKUP(CE$142,$T$61:$X$161,$AF$141)+VLOOKUP(0,$T$61:$X$161,$AF$140)+VLOOKUP(0,$T$61:$X$161,5)+$Y$51+$Z$44-$U$17)</f>
        <v>999999999</v>
      </c>
      <c r="CF173" s="641">
        <f t="shared" si="81"/>
        <v>999999999</v>
      </c>
      <c r="CG173" s="641">
        <f t="shared" si="81"/>
        <v>999999999</v>
      </c>
      <c r="CH173" s="641">
        <f t="shared" si="81"/>
        <v>999999999</v>
      </c>
      <c r="CI173" s="641">
        <f t="shared" si="81"/>
        <v>999999999</v>
      </c>
      <c r="CJ173" s="641">
        <f t="shared" si="81"/>
        <v>999999999</v>
      </c>
      <c r="CK173" s="641">
        <f t="shared" si="81"/>
        <v>999999999</v>
      </c>
      <c r="CL173" s="641">
        <f t="shared" si="81"/>
        <v>999999999</v>
      </c>
      <c r="CM173" s="641">
        <f t="shared" si="81"/>
        <v>999999999</v>
      </c>
      <c r="CN173" s="641">
        <f t="shared" si="81"/>
        <v>999999999</v>
      </c>
      <c r="CO173" s="641">
        <f t="shared" ref="CO173:CX182" si="82">IF(VLOOKUP($AF173,$T$61:$X$161,2)+VLOOKUP(CO$142,$T$61:$X$161,$AF$141)+VLOOKUP(0,$T$61:$X$161,$AF$140)+VLOOKUP(0,$T$61:$X$161,5)+$Y$51+$Z$44-$U$17&lt;0,999999999,VLOOKUP($AF173,$T$61:$X$161,2)+VLOOKUP(CO$142,$T$61:$X$161,$AF$141)+VLOOKUP(0,$T$61:$X$161,$AF$140)+VLOOKUP(0,$T$61:$X$161,5)+$Y$51+$Z$44-$U$17)</f>
        <v>999999999</v>
      </c>
      <c r="CP173" s="641">
        <f t="shared" si="82"/>
        <v>999999999</v>
      </c>
      <c r="CQ173" s="641">
        <f t="shared" si="82"/>
        <v>999999999</v>
      </c>
      <c r="CR173" s="641">
        <f t="shared" si="82"/>
        <v>999999999</v>
      </c>
      <c r="CS173" s="641">
        <f t="shared" si="82"/>
        <v>999999999</v>
      </c>
      <c r="CT173" s="641">
        <f t="shared" si="82"/>
        <v>999999999</v>
      </c>
      <c r="CU173" s="641">
        <f t="shared" si="82"/>
        <v>999999999</v>
      </c>
      <c r="CV173" s="641">
        <f t="shared" si="82"/>
        <v>999999999</v>
      </c>
      <c r="CW173" s="641">
        <f t="shared" si="82"/>
        <v>999999999</v>
      </c>
      <c r="CX173" s="641">
        <f t="shared" si="82"/>
        <v>999999999</v>
      </c>
      <c r="CY173" s="641">
        <f t="shared" ref="CY173:DH182" si="83">IF(VLOOKUP($AF173,$T$61:$X$161,2)+VLOOKUP(CY$142,$T$61:$X$161,$AF$141)+VLOOKUP(0,$T$61:$X$161,$AF$140)+VLOOKUP(0,$T$61:$X$161,5)+$Y$51+$Z$44-$U$17&lt;0,999999999,VLOOKUP($AF173,$T$61:$X$161,2)+VLOOKUP(CY$142,$T$61:$X$161,$AF$141)+VLOOKUP(0,$T$61:$X$161,$AF$140)+VLOOKUP(0,$T$61:$X$161,5)+$Y$51+$Z$44-$U$17)</f>
        <v>999999999</v>
      </c>
      <c r="CZ173" s="641">
        <f t="shared" si="83"/>
        <v>999999999</v>
      </c>
      <c r="DA173" s="641">
        <f t="shared" si="83"/>
        <v>999999999</v>
      </c>
      <c r="DB173" s="641">
        <f t="shared" si="83"/>
        <v>999999999</v>
      </c>
      <c r="DC173" s="641">
        <f t="shared" si="83"/>
        <v>999999999</v>
      </c>
      <c r="DD173" s="641">
        <f t="shared" si="83"/>
        <v>999999999</v>
      </c>
      <c r="DE173" s="641">
        <f t="shared" si="83"/>
        <v>999999999</v>
      </c>
      <c r="DF173" s="641">
        <f t="shared" si="83"/>
        <v>999999999</v>
      </c>
      <c r="DG173" s="641">
        <f t="shared" si="83"/>
        <v>999999999</v>
      </c>
      <c r="DH173" s="641">
        <f t="shared" si="83"/>
        <v>999999999</v>
      </c>
      <c r="DI173" s="641">
        <f t="shared" ref="DI173:DR182" si="84">IF(VLOOKUP($AF173,$T$61:$X$161,2)+VLOOKUP(DI$142,$T$61:$X$161,$AF$141)+VLOOKUP(0,$T$61:$X$161,$AF$140)+VLOOKUP(0,$T$61:$X$161,5)+$Y$51+$Z$44-$U$17&lt;0,999999999,VLOOKUP($AF173,$T$61:$X$161,2)+VLOOKUP(DI$142,$T$61:$X$161,$AF$141)+VLOOKUP(0,$T$61:$X$161,$AF$140)+VLOOKUP(0,$T$61:$X$161,5)+$Y$51+$Z$44-$U$17)</f>
        <v>999999999</v>
      </c>
      <c r="DJ173" s="641">
        <f t="shared" si="84"/>
        <v>999999999</v>
      </c>
      <c r="DK173" s="641">
        <f t="shared" si="84"/>
        <v>999999999</v>
      </c>
      <c r="DL173" s="641">
        <f t="shared" si="84"/>
        <v>999999999</v>
      </c>
      <c r="DM173" s="641">
        <f t="shared" si="84"/>
        <v>999999999</v>
      </c>
      <c r="DN173" s="641">
        <f t="shared" si="84"/>
        <v>999999999</v>
      </c>
      <c r="DO173" s="641">
        <f t="shared" si="84"/>
        <v>999999999</v>
      </c>
      <c r="DP173" s="641">
        <f t="shared" si="84"/>
        <v>999999999</v>
      </c>
      <c r="DQ173" s="641">
        <f t="shared" si="84"/>
        <v>999999999</v>
      </c>
      <c r="DR173" s="641">
        <f t="shared" si="84"/>
        <v>999999999</v>
      </c>
      <c r="DS173" s="641">
        <f t="shared" ref="DS173:EC182" si="85">IF(VLOOKUP($AF173,$T$61:$X$161,2)+VLOOKUP(DS$142,$T$61:$X$161,$AF$141)+VLOOKUP(0,$T$61:$X$161,$AF$140)+VLOOKUP(0,$T$61:$X$161,5)+$Y$51+$Z$44-$U$17&lt;0,999999999,VLOOKUP($AF173,$T$61:$X$161,2)+VLOOKUP(DS$142,$T$61:$X$161,$AF$141)+VLOOKUP(0,$T$61:$X$161,$AF$140)+VLOOKUP(0,$T$61:$X$161,5)+$Y$51+$Z$44-$U$17)</f>
        <v>999999999</v>
      </c>
      <c r="DT173" s="641">
        <f t="shared" si="85"/>
        <v>999999999</v>
      </c>
      <c r="DU173" s="641">
        <f t="shared" si="85"/>
        <v>999999999</v>
      </c>
      <c r="DV173" s="641">
        <f t="shared" si="85"/>
        <v>999999999</v>
      </c>
      <c r="DW173" s="641">
        <f t="shared" si="85"/>
        <v>999999999</v>
      </c>
      <c r="DX173" s="641">
        <f t="shared" si="85"/>
        <v>999999999</v>
      </c>
      <c r="DY173" s="641">
        <f t="shared" si="85"/>
        <v>999999999</v>
      </c>
      <c r="DZ173" s="641">
        <f t="shared" si="85"/>
        <v>999999999</v>
      </c>
      <c r="EA173" s="641">
        <f t="shared" si="85"/>
        <v>999999999</v>
      </c>
      <c r="EB173" s="641">
        <f t="shared" si="85"/>
        <v>999999999</v>
      </c>
      <c r="EC173" s="641">
        <f t="shared" si="85"/>
        <v>999999999</v>
      </c>
    </row>
    <row r="174" spans="12:133" ht="15.5">
      <c r="L174"/>
      <c r="M174"/>
      <c r="N174"/>
      <c r="O174"/>
      <c r="P174"/>
      <c r="Q174"/>
      <c r="R174"/>
      <c r="S174"/>
      <c r="T174"/>
      <c r="U174"/>
      <c r="V174"/>
      <c r="W174"/>
      <c r="X174"/>
      <c r="Y174"/>
      <c r="Z174"/>
      <c r="AA174"/>
      <c r="AB174" s="5">
        <f t="shared" si="44"/>
        <v>2</v>
      </c>
      <c r="AC174" s="128">
        <v>31</v>
      </c>
      <c r="AD174" s="129">
        <f t="shared" si="55"/>
        <v>8066.506604000002</v>
      </c>
      <c r="AF174" s="128">
        <v>31</v>
      </c>
      <c r="AG174" s="641">
        <f t="shared" si="76"/>
        <v>489661.50660399999</v>
      </c>
      <c r="AH174" s="641">
        <f t="shared" si="76"/>
        <v>426709.50660399999</v>
      </c>
      <c r="AI174" s="641">
        <f t="shared" si="76"/>
        <v>363757.50660399999</v>
      </c>
      <c r="AJ174" s="641">
        <f t="shared" si="76"/>
        <v>300805.50660399999</v>
      </c>
      <c r="AK174" s="641">
        <f t="shared" si="76"/>
        <v>237853.50660399999</v>
      </c>
      <c r="AL174" s="641">
        <f t="shared" si="76"/>
        <v>174901.50660399999</v>
      </c>
      <c r="AM174" s="641">
        <f t="shared" si="76"/>
        <v>112986.50660399999</v>
      </c>
      <c r="AN174" s="641">
        <f t="shared" si="76"/>
        <v>60526.506604000002</v>
      </c>
      <c r="AO174" s="641">
        <f t="shared" si="76"/>
        <v>8066.506604000002</v>
      </c>
      <c r="AP174" s="641">
        <f t="shared" si="76"/>
        <v>999999999</v>
      </c>
      <c r="AQ174" s="641">
        <f t="shared" si="77"/>
        <v>999999999</v>
      </c>
      <c r="AR174" s="641">
        <f t="shared" si="77"/>
        <v>999999999</v>
      </c>
      <c r="AS174" s="641">
        <f t="shared" si="77"/>
        <v>999999999</v>
      </c>
      <c r="AT174" s="641">
        <f t="shared" si="77"/>
        <v>999999999</v>
      </c>
      <c r="AU174" s="641">
        <f t="shared" si="77"/>
        <v>999999999</v>
      </c>
      <c r="AV174" s="641">
        <f t="shared" si="77"/>
        <v>999999999</v>
      </c>
      <c r="AW174" s="641">
        <f t="shared" si="77"/>
        <v>999999999</v>
      </c>
      <c r="AX174" s="641">
        <f t="shared" si="77"/>
        <v>999999999</v>
      </c>
      <c r="AY174" s="641">
        <f t="shared" si="77"/>
        <v>999999999</v>
      </c>
      <c r="AZ174" s="641">
        <f t="shared" si="77"/>
        <v>999999999</v>
      </c>
      <c r="BA174" s="641">
        <f t="shared" si="78"/>
        <v>999999999</v>
      </c>
      <c r="BB174" s="641">
        <f t="shared" si="78"/>
        <v>999999999</v>
      </c>
      <c r="BC174" s="641">
        <f t="shared" si="78"/>
        <v>999999999</v>
      </c>
      <c r="BD174" s="641">
        <f t="shared" si="78"/>
        <v>999999999</v>
      </c>
      <c r="BE174" s="641">
        <f t="shared" si="78"/>
        <v>999999999</v>
      </c>
      <c r="BF174" s="641">
        <f t="shared" si="78"/>
        <v>999999999</v>
      </c>
      <c r="BG174" s="641">
        <f t="shared" si="78"/>
        <v>999999999</v>
      </c>
      <c r="BH174" s="641">
        <f t="shared" si="78"/>
        <v>999999999</v>
      </c>
      <c r="BI174" s="641">
        <f t="shared" si="78"/>
        <v>999999999</v>
      </c>
      <c r="BJ174" s="641">
        <f t="shared" si="78"/>
        <v>999999999</v>
      </c>
      <c r="BK174" s="641">
        <f t="shared" si="79"/>
        <v>999999999</v>
      </c>
      <c r="BL174" s="641">
        <f t="shared" si="79"/>
        <v>999999999</v>
      </c>
      <c r="BM174" s="641">
        <f t="shared" si="79"/>
        <v>999999999</v>
      </c>
      <c r="BN174" s="641">
        <f t="shared" si="79"/>
        <v>999999999</v>
      </c>
      <c r="BO174" s="641">
        <f t="shared" si="79"/>
        <v>999999999</v>
      </c>
      <c r="BP174" s="641">
        <f t="shared" si="79"/>
        <v>999999999</v>
      </c>
      <c r="BQ174" s="641">
        <f t="shared" si="79"/>
        <v>999999999</v>
      </c>
      <c r="BR174" s="641">
        <f t="shared" si="79"/>
        <v>999999999</v>
      </c>
      <c r="BS174" s="641">
        <f t="shared" si="79"/>
        <v>999999999</v>
      </c>
      <c r="BT174" s="641">
        <f t="shared" si="79"/>
        <v>999999999</v>
      </c>
      <c r="BU174" s="641">
        <f t="shared" si="80"/>
        <v>999999999</v>
      </c>
      <c r="BV174" s="641">
        <f t="shared" si="80"/>
        <v>999999999</v>
      </c>
      <c r="BW174" s="641">
        <f t="shared" si="80"/>
        <v>999999999</v>
      </c>
      <c r="BX174" s="641">
        <f t="shared" si="80"/>
        <v>999999999</v>
      </c>
      <c r="BY174" s="641">
        <f t="shared" si="80"/>
        <v>999999999</v>
      </c>
      <c r="BZ174" s="641">
        <f t="shared" si="80"/>
        <v>999999999</v>
      </c>
      <c r="CA174" s="641">
        <f t="shared" si="80"/>
        <v>999999999</v>
      </c>
      <c r="CB174" s="641">
        <f t="shared" si="80"/>
        <v>999999999</v>
      </c>
      <c r="CC174" s="641">
        <f t="shared" si="80"/>
        <v>999999999</v>
      </c>
      <c r="CD174" s="641">
        <f t="shared" si="80"/>
        <v>999999999</v>
      </c>
      <c r="CE174" s="641">
        <f t="shared" si="81"/>
        <v>999999999</v>
      </c>
      <c r="CF174" s="641">
        <f t="shared" si="81"/>
        <v>999999999</v>
      </c>
      <c r="CG174" s="641">
        <f t="shared" si="81"/>
        <v>999999999</v>
      </c>
      <c r="CH174" s="641">
        <f t="shared" si="81"/>
        <v>999999999</v>
      </c>
      <c r="CI174" s="641">
        <f t="shared" si="81"/>
        <v>999999999</v>
      </c>
      <c r="CJ174" s="641">
        <f t="shared" si="81"/>
        <v>999999999</v>
      </c>
      <c r="CK174" s="641">
        <f t="shared" si="81"/>
        <v>999999999</v>
      </c>
      <c r="CL174" s="641">
        <f t="shared" si="81"/>
        <v>999999999</v>
      </c>
      <c r="CM174" s="641">
        <f t="shared" si="81"/>
        <v>999999999</v>
      </c>
      <c r="CN174" s="641">
        <f t="shared" si="81"/>
        <v>999999999</v>
      </c>
      <c r="CO174" s="641">
        <f t="shared" si="82"/>
        <v>999999999</v>
      </c>
      <c r="CP174" s="641">
        <f t="shared" si="82"/>
        <v>999999999</v>
      </c>
      <c r="CQ174" s="641">
        <f t="shared" si="82"/>
        <v>999999999</v>
      </c>
      <c r="CR174" s="641">
        <f t="shared" si="82"/>
        <v>999999999</v>
      </c>
      <c r="CS174" s="641">
        <f t="shared" si="82"/>
        <v>999999999</v>
      </c>
      <c r="CT174" s="641">
        <f t="shared" si="82"/>
        <v>999999999</v>
      </c>
      <c r="CU174" s="641">
        <f t="shared" si="82"/>
        <v>999999999</v>
      </c>
      <c r="CV174" s="641">
        <f t="shared" si="82"/>
        <v>999999999</v>
      </c>
      <c r="CW174" s="641">
        <f t="shared" si="82"/>
        <v>999999999</v>
      </c>
      <c r="CX174" s="641">
        <f t="shared" si="82"/>
        <v>999999999</v>
      </c>
      <c r="CY174" s="641">
        <f t="shared" si="83"/>
        <v>999999999</v>
      </c>
      <c r="CZ174" s="641">
        <f t="shared" si="83"/>
        <v>999999999</v>
      </c>
      <c r="DA174" s="641">
        <f t="shared" si="83"/>
        <v>999999999</v>
      </c>
      <c r="DB174" s="641">
        <f t="shared" si="83"/>
        <v>999999999</v>
      </c>
      <c r="DC174" s="641">
        <f t="shared" si="83"/>
        <v>999999999</v>
      </c>
      <c r="DD174" s="641">
        <f t="shared" si="83"/>
        <v>999999999</v>
      </c>
      <c r="DE174" s="641">
        <f t="shared" si="83"/>
        <v>999999999</v>
      </c>
      <c r="DF174" s="641">
        <f t="shared" si="83"/>
        <v>999999999</v>
      </c>
      <c r="DG174" s="641">
        <f t="shared" si="83"/>
        <v>999999999</v>
      </c>
      <c r="DH174" s="641">
        <f t="shared" si="83"/>
        <v>999999999</v>
      </c>
      <c r="DI174" s="641">
        <f t="shared" si="84"/>
        <v>999999999</v>
      </c>
      <c r="DJ174" s="641">
        <f t="shared" si="84"/>
        <v>999999999</v>
      </c>
      <c r="DK174" s="641">
        <f t="shared" si="84"/>
        <v>999999999</v>
      </c>
      <c r="DL174" s="641">
        <f t="shared" si="84"/>
        <v>999999999</v>
      </c>
      <c r="DM174" s="641">
        <f t="shared" si="84"/>
        <v>999999999</v>
      </c>
      <c r="DN174" s="641">
        <f t="shared" si="84"/>
        <v>999999999</v>
      </c>
      <c r="DO174" s="641">
        <f t="shared" si="84"/>
        <v>999999999</v>
      </c>
      <c r="DP174" s="641">
        <f t="shared" si="84"/>
        <v>999999999</v>
      </c>
      <c r="DQ174" s="641">
        <f t="shared" si="84"/>
        <v>999999999</v>
      </c>
      <c r="DR174" s="641">
        <f t="shared" si="84"/>
        <v>999999999</v>
      </c>
      <c r="DS174" s="641">
        <f t="shared" si="85"/>
        <v>999999999</v>
      </c>
      <c r="DT174" s="641">
        <f t="shared" si="85"/>
        <v>999999999</v>
      </c>
      <c r="DU174" s="641">
        <f t="shared" si="85"/>
        <v>999999999</v>
      </c>
      <c r="DV174" s="641">
        <f t="shared" si="85"/>
        <v>999999999</v>
      </c>
      <c r="DW174" s="641">
        <f t="shared" si="85"/>
        <v>999999999</v>
      </c>
      <c r="DX174" s="641">
        <f t="shared" si="85"/>
        <v>999999999</v>
      </c>
      <c r="DY174" s="641">
        <f t="shared" si="85"/>
        <v>999999999</v>
      </c>
      <c r="DZ174" s="641">
        <f t="shared" si="85"/>
        <v>999999999</v>
      </c>
      <c r="EA174" s="641">
        <f t="shared" si="85"/>
        <v>999999999</v>
      </c>
      <c r="EB174" s="641">
        <f t="shared" si="85"/>
        <v>999999999</v>
      </c>
      <c r="EC174" s="641">
        <f t="shared" si="85"/>
        <v>999999999</v>
      </c>
    </row>
    <row r="175" spans="12:133" ht="15.5">
      <c r="L175"/>
      <c r="M175"/>
      <c r="N175"/>
      <c r="O175"/>
      <c r="P175"/>
      <c r="Q175"/>
      <c r="R175"/>
      <c r="S175"/>
      <c r="T175"/>
      <c r="U175"/>
      <c r="V175"/>
      <c r="W175"/>
      <c r="X175"/>
      <c r="Y175"/>
      <c r="Z175"/>
      <c r="AA175"/>
      <c r="AB175" s="5">
        <f t="shared" ref="AB175:AB206" si="86">IF(OR(AB174=1,AB174=2),2,IF(AD175=AD$142,1,0))</f>
        <v>2</v>
      </c>
      <c r="AC175" s="128">
        <v>32</v>
      </c>
      <c r="AD175" s="129">
        <f t="shared" si="55"/>
        <v>8066.506604000002</v>
      </c>
      <c r="AF175" s="128">
        <v>32</v>
      </c>
      <c r="AG175" s="641">
        <f t="shared" si="76"/>
        <v>489661.50660399999</v>
      </c>
      <c r="AH175" s="641">
        <f t="shared" si="76"/>
        <v>426709.50660399999</v>
      </c>
      <c r="AI175" s="641">
        <f t="shared" si="76"/>
        <v>363757.50660399999</v>
      </c>
      <c r="AJ175" s="641">
        <f t="shared" si="76"/>
        <v>300805.50660399999</v>
      </c>
      <c r="AK175" s="641">
        <f t="shared" si="76"/>
        <v>237853.50660399999</v>
      </c>
      <c r="AL175" s="641">
        <f t="shared" si="76"/>
        <v>174901.50660399999</v>
      </c>
      <c r="AM175" s="641">
        <f t="shared" si="76"/>
        <v>112986.50660399999</v>
      </c>
      <c r="AN175" s="641">
        <f t="shared" si="76"/>
        <v>60526.506604000002</v>
      </c>
      <c r="AO175" s="641">
        <f t="shared" si="76"/>
        <v>8066.506604000002</v>
      </c>
      <c r="AP175" s="641">
        <f t="shared" si="76"/>
        <v>999999999</v>
      </c>
      <c r="AQ175" s="641">
        <f t="shared" si="77"/>
        <v>999999999</v>
      </c>
      <c r="AR175" s="641">
        <f t="shared" si="77"/>
        <v>999999999</v>
      </c>
      <c r="AS175" s="641">
        <f t="shared" si="77"/>
        <v>999999999</v>
      </c>
      <c r="AT175" s="641">
        <f t="shared" si="77"/>
        <v>999999999</v>
      </c>
      <c r="AU175" s="641">
        <f t="shared" si="77"/>
        <v>999999999</v>
      </c>
      <c r="AV175" s="641">
        <f t="shared" si="77"/>
        <v>999999999</v>
      </c>
      <c r="AW175" s="641">
        <f t="shared" si="77"/>
        <v>999999999</v>
      </c>
      <c r="AX175" s="641">
        <f t="shared" si="77"/>
        <v>999999999</v>
      </c>
      <c r="AY175" s="641">
        <f t="shared" si="77"/>
        <v>999999999</v>
      </c>
      <c r="AZ175" s="641">
        <f t="shared" si="77"/>
        <v>999999999</v>
      </c>
      <c r="BA175" s="641">
        <f t="shared" si="78"/>
        <v>999999999</v>
      </c>
      <c r="BB175" s="641">
        <f t="shared" si="78"/>
        <v>999999999</v>
      </c>
      <c r="BC175" s="641">
        <f t="shared" si="78"/>
        <v>999999999</v>
      </c>
      <c r="BD175" s="641">
        <f t="shared" si="78"/>
        <v>999999999</v>
      </c>
      <c r="BE175" s="641">
        <f t="shared" si="78"/>
        <v>999999999</v>
      </c>
      <c r="BF175" s="641">
        <f t="shared" si="78"/>
        <v>999999999</v>
      </c>
      <c r="BG175" s="641">
        <f t="shared" si="78"/>
        <v>999999999</v>
      </c>
      <c r="BH175" s="641">
        <f t="shared" si="78"/>
        <v>999999999</v>
      </c>
      <c r="BI175" s="641">
        <f t="shared" si="78"/>
        <v>999999999</v>
      </c>
      <c r="BJ175" s="641">
        <f t="shared" si="78"/>
        <v>999999999</v>
      </c>
      <c r="BK175" s="641">
        <f t="shared" si="79"/>
        <v>999999999</v>
      </c>
      <c r="BL175" s="641">
        <f t="shared" si="79"/>
        <v>999999999</v>
      </c>
      <c r="BM175" s="641">
        <f t="shared" si="79"/>
        <v>999999999</v>
      </c>
      <c r="BN175" s="641">
        <f t="shared" si="79"/>
        <v>999999999</v>
      </c>
      <c r="BO175" s="641">
        <f t="shared" si="79"/>
        <v>999999999</v>
      </c>
      <c r="BP175" s="641">
        <f t="shared" si="79"/>
        <v>999999999</v>
      </c>
      <c r="BQ175" s="641">
        <f t="shared" si="79"/>
        <v>999999999</v>
      </c>
      <c r="BR175" s="641">
        <f t="shared" si="79"/>
        <v>999999999</v>
      </c>
      <c r="BS175" s="641">
        <f t="shared" si="79"/>
        <v>999999999</v>
      </c>
      <c r="BT175" s="641">
        <f t="shared" si="79"/>
        <v>999999999</v>
      </c>
      <c r="BU175" s="641">
        <f t="shared" si="80"/>
        <v>999999999</v>
      </c>
      <c r="BV175" s="641">
        <f t="shared" si="80"/>
        <v>999999999</v>
      </c>
      <c r="BW175" s="641">
        <f t="shared" si="80"/>
        <v>999999999</v>
      </c>
      <c r="BX175" s="641">
        <f t="shared" si="80"/>
        <v>999999999</v>
      </c>
      <c r="BY175" s="641">
        <f t="shared" si="80"/>
        <v>999999999</v>
      </c>
      <c r="BZ175" s="641">
        <f t="shared" si="80"/>
        <v>999999999</v>
      </c>
      <c r="CA175" s="641">
        <f t="shared" si="80"/>
        <v>999999999</v>
      </c>
      <c r="CB175" s="641">
        <f t="shared" si="80"/>
        <v>999999999</v>
      </c>
      <c r="CC175" s="641">
        <f t="shared" si="80"/>
        <v>999999999</v>
      </c>
      <c r="CD175" s="641">
        <f t="shared" si="80"/>
        <v>999999999</v>
      </c>
      <c r="CE175" s="641">
        <f t="shared" si="81"/>
        <v>999999999</v>
      </c>
      <c r="CF175" s="641">
        <f t="shared" si="81"/>
        <v>999999999</v>
      </c>
      <c r="CG175" s="641">
        <f t="shared" si="81"/>
        <v>999999999</v>
      </c>
      <c r="CH175" s="641">
        <f t="shared" si="81"/>
        <v>999999999</v>
      </c>
      <c r="CI175" s="641">
        <f t="shared" si="81"/>
        <v>999999999</v>
      </c>
      <c r="CJ175" s="641">
        <f t="shared" si="81"/>
        <v>999999999</v>
      </c>
      <c r="CK175" s="641">
        <f t="shared" si="81"/>
        <v>999999999</v>
      </c>
      <c r="CL175" s="641">
        <f t="shared" si="81"/>
        <v>999999999</v>
      </c>
      <c r="CM175" s="641">
        <f t="shared" si="81"/>
        <v>999999999</v>
      </c>
      <c r="CN175" s="641">
        <f t="shared" si="81"/>
        <v>999999999</v>
      </c>
      <c r="CO175" s="641">
        <f t="shared" si="82"/>
        <v>999999999</v>
      </c>
      <c r="CP175" s="641">
        <f t="shared" si="82"/>
        <v>999999999</v>
      </c>
      <c r="CQ175" s="641">
        <f t="shared" si="82"/>
        <v>999999999</v>
      </c>
      <c r="CR175" s="641">
        <f t="shared" si="82"/>
        <v>999999999</v>
      </c>
      <c r="CS175" s="641">
        <f t="shared" si="82"/>
        <v>999999999</v>
      </c>
      <c r="CT175" s="641">
        <f t="shared" si="82"/>
        <v>999999999</v>
      </c>
      <c r="CU175" s="641">
        <f t="shared" si="82"/>
        <v>999999999</v>
      </c>
      <c r="CV175" s="641">
        <f t="shared" si="82"/>
        <v>999999999</v>
      </c>
      <c r="CW175" s="641">
        <f t="shared" si="82"/>
        <v>999999999</v>
      </c>
      <c r="CX175" s="641">
        <f t="shared" si="82"/>
        <v>999999999</v>
      </c>
      <c r="CY175" s="641">
        <f t="shared" si="83"/>
        <v>999999999</v>
      </c>
      <c r="CZ175" s="641">
        <f t="shared" si="83"/>
        <v>999999999</v>
      </c>
      <c r="DA175" s="641">
        <f t="shared" si="83"/>
        <v>999999999</v>
      </c>
      <c r="DB175" s="641">
        <f t="shared" si="83"/>
        <v>999999999</v>
      </c>
      <c r="DC175" s="641">
        <f t="shared" si="83"/>
        <v>999999999</v>
      </c>
      <c r="DD175" s="641">
        <f t="shared" si="83"/>
        <v>999999999</v>
      </c>
      <c r="DE175" s="641">
        <f t="shared" si="83"/>
        <v>999999999</v>
      </c>
      <c r="DF175" s="641">
        <f t="shared" si="83"/>
        <v>999999999</v>
      </c>
      <c r="DG175" s="641">
        <f t="shared" si="83"/>
        <v>999999999</v>
      </c>
      <c r="DH175" s="641">
        <f t="shared" si="83"/>
        <v>999999999</v>
      </c>
      <c r="DI175" s="641">
        <f t="shared" si="84"/>
        <v>999999999</v>
      </c>
      <c r="DJ175" s="641">
        <f t="shared" si="84"/>
        <v>999999999</v>
      </c>
      <c r="DK175" s="641">
        <f t="shared" si="84"/>
        <v>999999999</v>
      </c>
      <c r="DL175" s="641">
        <f t="shared" si="84"/>
        <v>999999999</v>
      </c>
      <c r="DM175" s="641">
        <f t="shared" si="84"/>
        <v>999999999</v>
      </c>
      <c r="DN175" s="641">
        <f t="shared" si="84"/>
        <v>999999999</v>
      </c>
      <c r="DO175" s="641">
        <f t="shared" si="84"/>
        <v>999999999</v>
      </c>
      <c r="DP175" s="641">
        <f t="shared" si="84"/>
        <v>999999999</v>
      </c>
      <c r="DQ175" s="641">
        <f t="shared" si="84"/>
        <v>999999999</v>
      </c>
      <c r="DR175" s="641">
        <f t="shared" si="84"/>
        <v>999999999</v>
      </c>
      <c r="DS175" s="641">
        <f t="shared" si="85"/>
        <v>999999999</v>
      </c>
      <c r="DT175" s="641">
        <f t="shared" si="85"/>
        <v>999999999</v>
      </c>
      <c r="DU175" s="641">
        <f t="shared" si="85"/>
        <v>999999999</v>
      </c>
      <c r="DV175" s="641">
        <f t="shared" si="85"/>
        <v>999999999</v>
      </c>
      <c r="DW175" s="641">
        <f t="shared" si="85"/>
        <v>999999999</v>
      </c>
      <c r="DX175" s="641">
        <f t="shared" si="85"/>
        <v>999999999</v>
      </c>
      <c r="DY175" s="641">
        <f t="shared" si="85"/>
        <v>999999999</v>
      </c>
      <c r="DZ175" s="641">
        <f t="shared" si="85"/>
        <v>999999999</v>
      </c>
      <c r="EA175" s="641">
        <f t="shared" si="85"/>
        <v>999999999</v>
      </c>
      <c r="EB175" s="641">
        <f t="shared" si="85"/>
        <v>999999999</v>
      </c>
      <c r="EC175" s="641">
        <f t="shared" si="85"/>
        <v>999999999</v>
      </c>
    </row>
    <row r="176" spans="12:133" ht="15.5">
      <c r="L176"/>
      <c r="M176"/>
      <c r="N176"/>
      <c r="O176"/>
      <c r="P176"/>
      <c r="Q176"/>
      <c r="R176"/>
      <c r="S176"/>
      <c r="T176"/>
      <c r="U176"/>
      <c r="V176"/>
      <c r="W176"/>
      <c r="X176"/>
      <c r="Y176"/>
      <c r="Z176"/>
      <c r="AA176"/>
      <c r="AB176" s="5">
        <f t="shared" si="86"/>
        <v>2</v>
      </c>
      <c r="AC176" s="128">
        <v>33</v>
      </c>
      <c r="AD176" s="129">
        <f t="shared" si="55"/>
        <v>8066.506604000002</v>
      </c>
      <c r="AF176" s="128">
        <v>33</v>
      </c>
      <c r="AG176" s="641">
        <f t="shared" si="76"/>
        <v>489661.50660399999</v>
      </c>
      <c r="AH176" s="641">
        <f t="shared" si="76"/>
        <v>426709.50660399999</v>
      </c>
      <c r="AI176" s="641">
        <f t="shared" si="76"/>
        <v>363757.50660399999</v>
      </c>
      <c r="AJ176" s="641">
        <f t="shared" si="76"/>
        <v>300805.50660399999</v>
      </c>
      <c r="AK176" s="641">
        <f t="shared" si="76"/>
        <v>237853.50660399999</v>
      </c>
      <c r="AL176" s="641">
        <f t="shared" si="76"/>
        <v>174901.50660399999</v>
      </c>
      <c r="AM176" s="641">
        <f t="shared" si="76"/>
        <v>112986.50660399999</v>
      </c>
      <c r="AN176" s="641">
        <f t="shared" si="76"/>
        <v>60526.506604000002</v>
      </c>
      <c r="AO176" s="641">
        <f t="shared" si="76"/>
        <v>8066.506604000002</v>
      </c>
      <c r="AP176" s="641">
        <f t="shared" si="76"/>
        <v>999999999</v>
      </c>
      <c r="AQ176" s="641">
        <f t="shared" si="77"/>
        <v>999999999</v>
      </c>
      <c r="AR176" s="641">
        <f t="shared" si="77"/>
        <v>999999999</v>
      </c>
      <c r="AS176" s="641">
        <f t="shared" si="77"/>
        <v>999999999</v>
      </c>
      <c r="AT176" s="641">
        <f t="shared" si="77"/>
        <v>999999999</v>
      </c>
      <c r="AU176" s="641">
        <f t="shared" si="77"/>
        <v>999999999</v>
      </c>
      <c r="AV176" s="641">
        <f t="shared" si="77"/>
        <v>999999999</v>
      </c>
      <c r="AW176" s="641">
        <f t="shared" si="77"/>
        <v>999999999</v>
      </c>
      <c r="AX176" s="641">
        <f t="shared" si="77"/>
        <v>999999999</v>
      </c>
      <c r="AY176" s="641">
        <f t="shared" si="77"/>
        <v>999999999</v>
      </c>
      <c r="AZ176" s="641">
        <f t="shared" si="77"/>
        <v>999999999</v>
      </c>
      <c r="BA176" s="641">
        <f t="shared" si="78"/>
        <v>999999999</v>
      </c>
      <c r="BB176" s="641">
        <f t="shared" si="78"/>
        <v>999999999</v>
      </c>
      <c r="BC176" s="641">
        <f t="shared" si="78"/>
        <v>999999999</v>
      </c>
      <c r="BD176" s="641">
        <f t="shared" si="78"/>
        <v>999999999</v>
      </c>
      <c r="BE176" s="641">
        <f t="shared" si="78"/>
        <v>999999999</v>
      </c>
      <c r="BF176" s="641">
        <f t="shared" si="78"/>
        <v>999999999</v>
      </c>
      <c r="BG176" s="641">
        <f t="shared" si="78"/>
        <v>999999999</v>
      </c>
      <c r="BH176" s="641">
        <f t="shared" si="78"/>
        <v>999999999</v>
      </c>
      <c r="BI176" s="641">
        <f t="shared" si="78"/>
        <v>999999999</v>
      </c>
      <c r="BJ176" s="641">
        <f t="shared" si="78"/>
        <v>999999999</v>
      </c>
      <c r="BK176" s="641">
        <f t="shared" si="79"/>
        <v>999999999</v>
      </c>
      <c r="BL176" s="641">
        <f t="shared" si="79"/>
        <v>999999999</v>
      </c>
      <c r="BM176" s="641">
        <f t="shared" si="79"/>
        <v>999999999</v>
      </c>
      <c r="BN176" s="641">
        <f t="shared" si="79"/>
        <v>999999999</v>
      </c>
      <c r="BO176" s="641">
        <f t="shared" si="79"/>
        <v>999999999</v>
      </c>
      <c r="BP176" s="641">
        <f t="shared" si="79"/>
        <v>999999999</v>
      </c>
      <c r="BQ176" s="641">
        <f t="shared" si="79"/>
        <v>999999999</v>
      </c>
      <c r="BR176" s="641">
        <f t="shared" si="79"/>
        <v>999999999</v>
      </c>
      <c r="BS176" s="641">
        <f t="shared" si="79"/>
        <v>999999999</v>
      </c>
      <c r="BT176" s="641">
        <f t="shared" si="79"/>
        <v>999999999</v>
      </c>
      <c r="BU176" s="641">
        <f t="shared" si="80"/>
        <v>999999999</v>
      </c>
      <c r="BV176" s="641">
        <f t="shared" si="80"/>
        <v>999999999</v>
      </c>
      <c r="BW176" s="641">
        <f t="shared" si="80"/>
        <v>999999999</v>
      </c>
      <c r="BX176" s="641">
        <f t="shared" si="80"/>
        <v>999999999</v>
      </c>
      <c r="BY176" s="641">
        <f t="shared" si="80"/>
        <v>999999999</v>
      </c>
      <c r="BZ176" s="641">
        <f t="shared" si="80"/>
        <v>999999999</v>
      </c>
      <c r="CA176" s="641">
        <f t="shared" si="80"/>
        <v>999999999</v>
      </c>
      <c r="CB176" s="641">
        <f t="shared" si="80"/>
        <v>999999999</v>
      </c>
      <c r="CC176" s="641">
        <f t="shared" si="80"/>
        <v>999999999</v>
      </c>
      <c r="CD176" s="641">
        <f t="shared" si="80"/>
        <v>999999999</v>
      </c>
      <c r="CE176" s="641">
        <f t="shared" si="81"/>
        <v>999999999</v>
      </c>
      <c r="CF176" s="641">
        <f t="shared" si="81"/>
        <v>999999999</v>
      </c>
      <c r="CG176" s="641">
        <f t="shared" si="81"/>
        <v>999999999</v>
      </c>
      <c r="CH176" s="641">
        <f t="shared" si="81"/>
        <v>999999999</v>
      </c>
      <c r="CI176" s="641">
        <f t="shared" si="81"/>
        <v>999999999</v>
      </c>
      <c r="CJ176" s="641">
        <f t="shared" si="81"/>
        <v>999999999</v>
      </c>
      <c r="CK176" s="641">
        <f t="shared" si="81"/>
        <v>999999999</v>
      </c>
      <c r="CL176" s="641">
        <f t="shared" si="81"/>
        <v>999999999</v>
      </c>
      <c r="CM176" s="641">
        <f t="shared" si="81"/>
        <v>999999999</v>
      </c>
      <c r="CN176" s="641">
        <f t="shared" si="81"/>
        <v>999999999</v>
      </c>
      <c r="CO176" s="641">
        <f t="shared" si="82"/>
        <v>999999999</v>
      </c>
      <c r="CP176" s="641">
        <f t="shared" si="82"/>
        <v>999999999</v>
      </c>
      <c r="CQ176" s="641">
        <f t="shared" si="82"/>
        <v>999999999</v>
      </c>
      <c r="CR176" s="641">
        <f t="shared" si="82"/>
        <v>999999999</v>
      </c>
      <c r="CS176" s="641">
        <f t="shared" si="82"/>
        <v>999999999</v>
      </c>
      <c r="CT176" s="641">
        <f t="shared" si="82"/>
        <v>999999999</v>
      </c>
      <c r="CU176" s="641">
        <f t="shared" si="82"/>
        <v>999999999</v>
      </c>
      <c r="CV176" s="641">
        <f t="shared" si="82"/>
        <v>999999999</v>
      </c>
      <c r="CW176" s="641">
        <f t="shared" si="82"/>
        <v>999999999</v>
      </c>
      <c r="CX176" s="641">
        <f t="shared" si="82"/>
        <v>999999999</v>
      </c>
      <c r="CY176" s="641">
        <f t="shared" si="83"/>
        <v>999999999</v>
      </c>
      <c r="CZ176" s="641">
        <f t="shared" si="83"/>
        <v>999999999</v>
      </c>
      <c r="DA176" s="641">
        <f t="shared" si="83"/>
        <v>999999999</v>
      </c>
      <c r="DB176" s="641">
        <f t="shared" si="83"/>
        <v>999999999</v>
      </c>
      <c r="DC176" s="641">
        <f t="shared" si="83"/>
        <v>999999999</v>
      </c>
      <c r="DD176" s="641">
        <f t="shared" si="83"/>
        <v>999999999</v>
      </c>
      <c r="DE176" s="641">
        <f t="shared" si="83"/>
        <v>999999999</v>
      </c>
      <c r="DF176" s="641">
        <f t="shared" si="83"/>
        <v>999999999</v>
      </c>
      <c r="DG176" s="641">
        <f t="shared" si="83"/>
        <v>999999999</v>
      </c>
      <c r="DH176" s="641">
        <f t="shared" si="83"/>
        <v>999999999</v>
      </c>
      <c r="DI176" s="641">
        <f t="shared" si="84"/>
        <v>999999999</v>
      </c>
      <c r="DJ176" s="641">
        <f t="shared" si="84"/>
        <v>999999999</v>
      </c>
      <c r="DK176" s="641">
        <f t="shared" si="84"/>
        <v>999999999</v>
      </c>
      <c r="DL176" s="641">
        <f t="shared" si="84"/>
        <v>999999999</v>
      </c>
      <c r="DM176" s="641">
        <f t="shared" si="84"/>
        <v>999999999</v>
      </c>
      <c r="DN176" s="641">
        <f t="shared" si="84"/>
        <v>999999999</v>
      </c>
      <c r="DO176" s="641">
        <f t="shared" si="84"/>
        <v>999999999</v>
      </c>
      <c r="DP176" s="641">
        <f t="shared" si="84"/>
        <v>999999999</v>
      </c>
      <c r="DQ176" s="641">
        <f t="shared" si="84"/>
        <v>999999999</v>
      </c>
      <c r="DR176" s="641">
        <f t="shared" si="84"/>
        <v>999999999</v>
      </c>
      <c r="DS176" s="641">
        <f t="shared" si="85"/>
        <v>999999999</v>
      </c>
      <c r="DT176" s="641">
        <f t="shared" si="85"/>
        <v>999999999</v>
      </c>
      <c r="DU176" s="641">
        <f t="shared" si="85"/>
        <v>999999999</v>
      </c>
      <c r="DV176" s="641">
        <f t="shared" si="85"/>
        <v>999999999</v>
      </c>
      <c r="DW176" s="641">
        <f t="shared" si="85"/>
        <v>999999999</v>
      </c>
      <c r="DX176" s="641">
        <f t="shared" si="85"/>
        <v>999999999</v>
      </c>
      <c r="DY176" s="641">
        <f t="shared" si="85"/>
        <v>999999999</v>
      </c>
      <c r="DZ176" s="641">
        <f t="shared" si="85"/>
        <v>999999999</v>
      </c>
      <c r="EA176" s="641">
        <f t="shared" si="85"/>
        <v>999999999</v>
      </c>
      <c r="EB176" s="641">
        <f t="shared" si="85"/>
        <v>999999999</v>
      </c>
      <c r="EC176" s="641">
        <f t="shared" si="85"/>
        <v>999999999</v>
      </c>
    </row>
    <row r="177" spans="12:133" ht="15.5">
      <c r="L177"/>
      <c r="M177"/>
      <c r="N177"/>
      <c r="O177"/>
      <c r="P177"/>
      <c r="Q177"/>
      <c r="R177"/>
      <c r="S177"/>
      <c r="T177"/>
      <c r="U177"/>
      <c r="V177"/>
      <c r="W177"/>
      <c r="X177"/>
      <c r="Y177"/>
      <c r="Z177"/>
      <c r="AA177"/>
      <c r="AB177" s="5">
        <f t="shared" si="86"/>
        <v>2</v>
      </c>
      <c r="AC177" s="128">
        <v>34</v>
      </c>
      <c r="AD177" s="129">
        <f t="shared" si="55"/>
        <v>8066.506604000002</v>
      </c>
      <c r="AF177" s="128">
        <v>34</v>
      </c>
      <c r="AG177" s="641">
        <f t="shared" si="76"/>
        <v>489661.50660399999</v>
      </c>
      <c r="AH177" s="641">
        <f t="shared" si="76"/>
        <v>426709.50660399999</v>
      </c>
      <c r="AI177" s="641">
        <f t="shared" si="76"/>
        <v>363757.50660399999</v>
      </c>
      <c r="AJ177" s="641">
        <f t="shared" si="76"/>
        <v>300805.50660399999</v>
      </c>
      <c r="AK177" s="641">
        <f t="shared" si="76"/>
        <v>237853.50660399999</v>
      </c>
      <c r="AL177" s="641">
        <f t="shared" si="76"/>
        <v>174901.50660399999</v>
      </c>
      <c r="AM177" s="641">
        <f t="shared" si="76"/>
        <v>112986.50660399999</v>
      </c>
      <c r="AN177" s="641">
        <f t="shared" si="76"/>
        <v>60526.506604000002</v>
      </c>
      <c r="AO177" s="641">
        <f t="shared" si="76"/>
        <v>8066.506604000002</v>
      </c>
      <c r="AP177" s="641">
        <f t="shared" si="76"/>
        <v>999999999</v>
      </c>
      <c r="AQ177" s="641">
        <f t="shared" si="77"/>
        <v>999999999</v>
      </c>
      <c r="AR177" s="641">
        <f t="shared" si="77"/>
        <v>999999999</v>
      </c>
      <c r="AS177" s="641">
        <f t="shared" si="77"/>
        <v>999999999</v>
      </c>
      <c r="AT177" s="641">
        <f t="shared" si="77"/>
        <v>999999999</v>
      </c>
      <c r="AU177" s="641">
        <f t="shared" si="77"/>
        <v>999999999</v>
      </c>
      <c r="AV177" s="641">
        <f t="shared" si="77"/>
        <v>999999999</v>
      </c>
      <c r="AW177" s="641">
        <f t="shared" si="77"/>
        <v>999999999</v>
      </c>
      <c r="AX177" s="641">
        <f t="shared" si="77"/>
        <v>999999999</v>
      </c>
      <c r="AY177" s="641">
        <f t="shared" si="77"/>
        <v>999999999</v>
      </c>
      <c r="AZ177" s="641">
        <f t="shared" si="77"/>
        <v>999999999</v>
      </c>
      <c r="BA177" s="641">
        <f t="shared" si="78"/>
        <v>999999999</v>
      </c>
      <c r="BB177" s="641">
        <f t="shared" si="78"/>
        <v>999999999</v>
      </c>
      <c r="BC177" s="641">
        <f t="shared" si="78"/>
        <v>999999999</v>
      </c>
      <c r="BD177" s="641">
        <f t="shared" si="78"/>
        <v>999999999</v>
      </c>
      <c r="BE177" s="641">
        <f t="shared" si="78"/>
        <v>999999999</v>
      </c>
      <c r="BF177" s="641">
        <f t="shared" si="78"/>
        <v>999999999</v>
      </c>
      <c r="BG177" s="641">
        <f t="shared" si="78"/>
        <v>999999999</v>
      </c>
      <c r="BH177" s="641">
        <f t="shared" si="78"/>
        <v>999999999</v>
      </c>
      <c r="BI177" s="641">
        <f t="shared" si="78"/>
        <v>999999999</v>
      </c>
      <c r="BJ177" s="641">
        <f t="shared" si="78"/>
        <v>999999999</v>
      </c>
      <c r="BK177" s="641">
        <f t="shared" si="79"/>
        <v>999999999</v>
      </c>
      <c r="BL177" s="641">
        <f t="shared" si="79"/>
        <v>999999999</v>
      </c>
      <c r="BM177" s="641">
        <f t="shared" si="79"/>
        <v>999999999</v>
      </c>
      <c r="BN177" s="641">
        <f t="shared" si="79"/>
        <v>999999999</v>
      </c>
      <c r="BO177" s="641">
        <f t="shared" si="79"/>
        <v>999999999</v>
      </c>
      <c r="BP177" s="641">
        <f t="shared" si="79"/>
        <v>999999999</v>
      </c>
      <c r="BQ177" s="641">
        <f t="shared" si="79"/>
        <v>999999999</v>
      </c>
      <c r="BR177" s="641">
        <f t="shared" si="79"/>
        <v>999999999</v>
      </c>
      <c r="BS177" s="641">
        <f t="shared" si="79"/>
        <v>999999999</v>
      </c>
      <c r="BT177" s="641">
        <f t="shared" si="79"/>
        <v>999999999</v>
      </c>
      <c r="BU177" s="641">
        <f t="shared" si="80"/>
        <v>999999999</v>
      </c>
      <c r="BV177" s="641">
        <f t="shared" si="80"/>
        <v>999999999</v>
      </c>
      <c r="BW177" s="641">
        <f t="shared" si="80"/>
        <v>999999999</v>
      </c>
      <c r="BX177" s="641">
        <f t="shared" si="80"/>
        <v>999999999</v>
      </c>
      <c r="BY177" s="641">
        <f t="shared" si="80"/>
        <v>999999999</v>
      </c>
      <c r="BZ177" s="641">
        <f t="shared" si="80"/>
        <v>999999999</v>
      </c>
      <c r="CA177" s="641">
        <f t="shared" si="80"/>
        <v>999999999</v>
      </c>
      <c r="CB177" s="641">
        <f t="shared" si="80"/>
        <v>999999999</v>
      </c>
      <c r="CC177" s="641">
        <f t="shared" si="80"/>
        <v>999999999</v>
      </c>
      <c r="CD177" s="641">
        <f t="shared" si="80"/>
        <v>999999999</v>
      </c>
      <c r="CE177" s="641">
        <f t="shared" si="81"/>
        <v>999999999</v>
      </c>
      <c r="CF177" s="641">
        <f t="shared" si="81"/>
        <v>999999999</v>
      </c>
      <c r="CG177" s="641">
        <f t="shared" si="81"/>
        <v>999999999</v>
      </c>
      <c r="CH177" s="641">
        <f t="shared" si="81"/>
        <v>999999999</v>
      </c>
      <c r="CI177" s="641">
        <f t="shared" si="81"/>
        <v>999999999</v>
      </c>
      <c r="CJ177" s="641">
        <f t="shared" si="81"/>
        <v>999999999</v>
      </c>
      <c r="CK177" s="641">
        <f t="shared" si="81"/>
        <v>999999999</v>
      </c>
      <c r="CL177" s="641">
        <f t="shared" si="81"/>
        <v>999999999</v>
      </c>
      <c r="CM177" s="641">
        <f t="shared" si="81"/>
        <v>999999999</v>
      </c>
      <c r="CN177" s="641">
        <f t="shared" si="81"/>
        <v>999999999</v>
      </c>
      <c r="CO177" s="641">
        <f t="shared" si="82"/>
        <v>999999999</v>
      </c>
      <c r="CP177" s="641">
        <f t="shared" si="82"/>
        <v>999999999</v>
      </c>
      <c r="CQ177" s="641">
        <f t="shared" si="82"/>
        <v>999999999</v>
      </c>
      <c r="CR177" s="641">
        <f t="shared" si="82"/>
        <v>999999999</v>
      </c>
      <c r="CS177" s="641">
        <f t="shared" si="82"/>
        <v>999999999</v>
      </c>
      <c r="CT177" s="641">
        <f t="shared" si="82"/>
        <v>999999999</v>
      </c>
      <c r="CU177" s="641">
        <f t="shared" si="82"/>
        <v>999999999</v>
      </c>
      <c r="CV177" s="641">
        <f t="shared" si="82"/>
        <v>999999999</v>
      </c>
      <c r="CW177" s="641">
        <f t="shared" si="82"/>
        <v>999999999</v>
      </c>
      <c r="CX177" s="641">
        <f t="shared" si="82"/>
        <v>999999999</v>
      </c>
      <c r="CY177" s="641">
        <f t="shared" si="83"/>
        <v>999999999</v>
      </c>
      <c r="CZ177" s="641">
        <f t="shared" si="83"/>
        <v>999999999</v>
      </c>
      <c r="DA177" s="641">
        <f t="shared" si="83"/>
        <v>999999999</v>
      </c>
      <c r="DB177" s="641">
        <f t="shared" si="83"/>
        <v>999999999</v>
      </c>
      <c r="DC177" s="641">
        <f t="shared" si="83"/>
        <v>999999999</v>
      </c>
      <c r="DD177" s="641">
        <f t="shared" si="83"/>
        <v>999999999</v>
      </c>
      <c r="DE177" s="641">
        <f t="shared" si="83"/>
        <v>999999999</v>
      </c>
      <c r="DF177" s="641">
        <f t="shared" si="83"/>
        <v>999999999</v>
      </c>
      <c r="DG177" s="641">
        <f t="shared" si="83"/>
        <v>999999999</v>
      </c>
      <c r="DH177" s="641">
        <f t="shared" si="83"/>
        <v>999999999</v>
      </c>
      <c r="DI177" s="641">
        <f t="shared" si="84"/>
        <v>999999999</v>
      </c>
      <c r="DJ177" s="641">
        <f t="shared" si="84"/>
        <v>999999999</v>
      </c>
      <c r="DK177" s="641">
        <f t="shared" si="84"/>
        <v>999999999</v>
      </c>
      <c r="DL177" s="641">
        <f t="shared" si="84"/>
        <v>999999999</v>
      </c>
      <c r="DM177" s="641">
        <f t="shared" si="84"/>
        <v>999999999</v>
      </c>
      <c r="DN177" s="641">
        <f t="shared" si="84"/>
        <v>999999999</v>
      </c>
      <c r="DO177" s="641">
        <f t="shared" si="84"/>
        <v>999999999</v>
      </c>
      <c r="DP177" s="641">
        <f t="shared" si="84"/>
        <v>999999999</v>
      </c>
      <c r="DQ177" s="641">
        <f t="shared" si="84"/>
        <v>999999999</v>
      </c>
      <c r="DR177" s="641">
        <f t="shared" si="84"/>
        <v>999999999</v>
      </c>
      <c r="DS177" s="641">
        <f t="shared" si="85"/>
        <v>999999999</v>
      </c>
      <c r="DT177" s="641">
        <f t="shared" si="85"/>
        <v>999999999</v>
      </c>
      <c r="DU177" s="641">
        <f t="shared" si="85"/>
        <v>999999999</v>
      </c>
      <c r="DV177" s="641">
        <f t="shared" si="85"/>
        <v>999999999</v>
      </c>
      <c r="DW177" s="641">
        <f t="shared" si="85"/>
        <v>999999999</v>
      </c>
      <c r="DX177" s="641">
        <f t="shared" si="85"/>
        <v>999999999</v>
      </c>
      <c r="DY177" s="641">
        <f t="shared" si="85"/>
        <v>999999999</v>
      </c>
      <c r="DZ177" s="641">
        <f t="shared" si="85"/>
        <v>999999999</v>
      </c>
      <c r="EA177" s="641">
        <f t="shared" si="85"/>
        <v>999999999</v>
      </c>
      <c r="EB177" s="641">
        <f t="shared" si="85"/>
        <v>999999999</v>
      </c>
      <c r="EC177" s="641">
        <f t="shared" si="85"/>
        <v>999999999</v>
      </c>
    </row>
    <row r="178" spans="12:133" ht="15.5">
      <c r="L178"/>
      <c r="M178"/>
      <c r="N178"/>
      <c r="O178"/>
      <c r="P178"/>
      <c r="Q178"/>
      <c r="R178"/>
      <c r="S178"/>
      <c r="T178"/>
      <c r="U178"/>
      <c r="V178"/>
      <c r="W178"/>
      <c r="X178"/>
      <c r="Y178"/>
      <c r="Z178"/>
      <c r="AA178"/>
      <c r="AB178" s="5">
        <f t="shared" si="86"/>
        <v>2</v>
      </c>
      <c r="AC178" s="128">
        <v>35</v>
      </c>
      <c r="AD178" s="129">
        <f t="shared" si="55"/>
        <v>8066.506604000002</v>
      </c>
      <c r="AF178" s="128">
        <v>35</v>
      </c>
      <c r="AG178" s="641">
        <f t="shared" si="76"/>
        <v>489661.50660399999</v>
      </c>
      <c r="AH178" s="641">
        <f t="shared" si="76"/>
        <v>426709.50660399999</v>
      </c>
      <c r="AI178" s="641">
        <f t="shared" si="76"/>
        <v>363757.50660399999</v>
      </c>
      <c r="AJ178" s="641">
        <f t="shared" si="76"/>
        <v>300805.50660399999</v>
      </c>
      <c r="AK178" s="641">
        <f t="shared" si="76"/>
        <v>237853.50660399999</v>
      </c>
      <c r="AL178" s="641">
        <f t="shared" si="76"/>
        <v>174901.50660399999</v>
      </c>
      <c r="AM178" s="641">
        <f t="shared" si="76"/>
        <v>112986.50660399999</v>
      </c>
      <c r="AN178" s="641">
        <f t="shared" si="76"/>
        <v>60526.506604000002</v>
      </c>
      <c r="AO178" s="641">
        <f t="shared" si="76"/>
        <v>8066.506604000002</v>
      </c>
      <c r="AP178" s="641">
        <f t="shared" si="76"/>
        <v>999999999</v>
      </c>
      <c r="AQ178" s="641">
        <f t="shared" si="77"/>
        <v>999999999</v>
      </c>
      <c r="AR178" s="641">
        <f t="shared" si="77"/>
        <v>999999999</v>
      </c>
      <c r="AS178" s="641">
        <f t="shared" si="77"/>
        <v>999999999</v>
      </c>
      <c r="AT178" s="641">
        <f t="shared" si="77"/>
        <v>999999999</v>
      </c>
      <c r="AU178" s="641">
        <f t="shared" si="77"/>
        <v>999999999</v>
      </c>
      <c r="AV178" s="641">
        <f t="shared" si="77"/>
        <v>999999999</v>
      </c>
      <c r="AW178" s="641">
        <f t="shared" si="77"/>
        <v>999999999</v>
      </c>
      <c r="AX178" s="641">
        <f t="shared" si="77"/>
        <v>999999999</v>
      </c>
      <c r="AY178" s="641">
        <f t="shared" si="77"/>
        <v>999999999</v>
      </c>
      <c r="AZ178" s="641">
        <f t="shared" si="77"/>
        <v>999999999</v>
      </c>
      <c r="BA178" s="641">
        <f t="shared" si="78"/>
        <v>999999999</v>
      </c>
      <c r="BB178" s="641">
        <f t="shared" si="78"/>
        <v>999999999</v>
      </c>
      <c r="BC178" s="641">
        <f t="shared" si="78"/>
        <v>999999999</v>
      </c>
      <c r="BD178" s="641">
        <f t="shared" si="78"/>
        <v>999999999</v>
      </c>
      <c r="BE178" s="641">
        <f t="shared" si="78"/>
        <v>999999999</v>
      </c>
      <c r="BF178" s="641">
        <f t="shared" si="78"/>
        <v>999999999</v>
      </c>
      <c r="BG178" s="641">
        <f t="shared" si="78"/>
        <v>999999999</v>
      </c>
      <c r="BH178" s="641">
        <f t="shared" si="78"/>
        <v>999999999</v>
      </c>
      <c r="BI178" s="641">
        <f t="shared" si="78"/>
        <v>999999999</v>
      </c>
      <c r="BJ178" s="641">
        <f t="shared" si="78"/>
        <v>999999999</v>
      </c>
      <c r="BK178" s="641">
        <f t="shared" si="79"/>
        <v>999999999</v>
      </c>
      <c r="BL178" s="641">
        <f t="shared" si="79"/>
        <v>999999999</v>
      </c>
      <c r="BM178" s="641">
        <f t="shared" si="79"/>
        <v>999999999</v>
      </c>
      <c r="BN178" s="641">
        <f t="shared" si="79"/>
        <v>999999999</v>
      </c>
      <c r="BO178" s="641">
        <f t="shared" si="79"/>
        <v>999999999</v>
      </c>
      <c r="BP178" s="641">
        <f t="shared" si="79"/>
        <v>999999999</v>
      </c>
      <c r="BQ178" s="641">
        <f t="shared" si="79"/>
        <v>999999999</v>
      </c>
      <c r="BR178" s="641">
        <f t="shared" si="79"/>
        <v>999999999</v>
      </c>
      <c r="BS178" s="641">
        <f t="shared" si="79"/>
        <v>999999999</v>
      </c>
      <c r="BT178" s="641">
        <f t="shared" si="79"/>
        <v>999999999</v>
      </c>
      <c r="BU178" s="641">
        <f t="shared" si="80"/>
        <v>999999999</v>
      </c>
      <c r="BV178" s="641">
        <f t="shared" si="80"/>
        <v>999999999</v>
      </c>
      <c r="BW178" s="641">
        <f t="shared" si="80"/>
        <v>999999999</v>
      </c>
      <c r="BX178" s="641">
        <f t="shared" si="80"/>
        <v>999999999</v>
      </c>
      <c r="BY178" s="641">
        <f t="shared" si="80"/>
        <v>999999999</v>
      </c>
      <c r="BZ178" s="641">
        <f t="shared" si="80"/>
        <v>999999999</v>
      </c>
      <c r="CA178" s="641">
        <f t="shared" si="80"/>
        <v>999999999</v>
      </c>
      <c r="CB178" s="641">
        <f t="shared" si="80"/>
        <v>999999999</v>
      </c>
      <c r="CC178" s="641">
        <f t="shared" si="80"/>
        <v>999999999</v>
      </c>
      <c r="CD178" s="641">
        <f t="shared" si="80"/>
        <v>999999999</v>
      </c>
      <c r="CE178" s="641">
        <f t="shared" si="81"/>
        <v>999999999</v>
      </c>
      <c r="CF178" s="641">
        <f t="shared" si="81"/>
        <v>999999999</v>
      </c>
      <c r="CG178" s="641">
        <f t="shared" si="81"/>
        <v>999999999</v>
      </c>
      <c r="CH178" s="641">
        <f t="shared" si="81"/>
        <v>999999999</v>
      </c>
      <c r="CI178" s="641">
        <f t="shared" si="81"/>
        <v>999999999</v>
      </c>
      <c r="CJ178" s="641">
        <f t="shared" si="81"/>
        <v>999999999</v>
      </c>
      <c r="CK178" s="641">
        <f t="shared" si="81"/>
        <v>999999999</v>
      </c>
      <c r="CL178" s="641">
        <f t="shared" si="81"/>
        <v>999999999</v>
      </c>
      <c r="CM178" s="641">
        <f t="shared" si="81"/>
        <v>999999999</v>
      </c>
      <c r="CN178" s="641">
        <f t="shared" si="81"/>
        <v>999999999</v>
      </c>
      <c r="CO178" s="641">
        <f t="shared" si="82"/>
        <v>999999999</v>
      </c>
      <c r="CP178" s="641">
        <f t="shared" si="82"/>
        <v>999999999</v>
      </c>
      <c r="CQ178" s="641">
        <f t="shared" si="82"/>
        <v>999999999</v>
      </c>
      <c r="CR178" s="641">
        <f t="shared" si="82"/>
        <v>999999999</v>
      </c>
      <c r="CS178" s="641">
        <f t="shared" si="82"/>
        <v>999999999</v>
      </c>
      <c r="CT178" s="641">
        <f t="shared" si="82"/>
        <v>999999999</v>
      </c>
      <c r="CU178" s="641">
        <f t="shared" si="82"/>
        <v>999999999</v>
      </c>
      <c r="CV178" s="641">
        <f t="shared" si="82"/>
        <v>999999999</v>
      </c>
      <c r="CW178" s="641">
        <f t="shared" si="82"/>
        <v>999999999</v>
      </c>
      <c r="CX178" s="641">
        <f t="shared" si="82"/>
        <v>999999999</v>
      </c>
      <c r="CY178" s="641">
        <f t="shared" si="83"/>
        <v>999999999</v>
      </c>
      <c r="CZ178" s="641">
        <f t="shared" si="83"/>
        <v>999999999</v>
      </c>
      <c r="DA178" s="641">
        <f t="shared" si="83"/>
        <v>999999999</v>
      </c>
      <c r="DB178" s="641">
        <f t="shared" si="83"/>
        <v>999999999</v>
      </c>
      <c r="DC178" s="641">
        <f t="shared" si="83"/>
        <v>999999999</v>
      </c>
      <c r="DD178" s="641">
        <f t="shared" si="83"/>
        <v>999999999</v>
      </c>
      <c r="DE178" s="641">
        <f t="shared" si="83"/>
        <v>999999999</v>
      </c>
      <c r="DF178" s="641">
        <f t="shared" si="83"/>
        <v>999999999</v>
      </c>
      <c r="DG178" s="641">
        <f t="shared" si="83"/>
        <v>999999999</v>
      </c>
      <c r="DH178" s="641">
        <f t="shared" si="83"/>
        <v>999999999</v>
      </c>
      <c r="DI178" s="641">
        <f t="shared" si="84"/>
        <v>999999999</v>
      </c>
      <c r="DJ178" s="641">
        <f t="shared" si="84"/>
        <v>999999999</v>
      </c>
      <c r="DK178" s="641">
        <f t="shared" si="84"/>
        <v>999999999</v>
      </c>
      <c r="DL178" s="641">
        <f t="shared" si="84"/>
        <v>999999999</v>
      </c>
      <c r="DM178" s="641">
        <f t="shared" si="84"/>
        <v>999999999</v>
      </c>
      <c r="DN178" s="641">
        <f t="shared" si="84"/>
        <v>999999999</v>
      </c>
      <c r="DO178" s="641">
        <f t="shared" si="84"/>
        <v>999999999</v>
      </c>
      <c r="DP178" s="641">
        <f t="shared" si="84"/>
        <v>999999999</v>
      </c>
      <c r="DQ178" s="641">
        <f t="shared" si="84"/>
        <v>999999999</v>
      </c>
      <c r="DR178" s="641">
        <f t="shared" si="84"/>
        <v>999999999</v>
      </c>
      <c r="DS178" s="641">
        <f t="shared" si="85"/>
        <v>999999999</v>
      </c>
      <c r="DT178" s="641">
        <f t="shared" si="85"/>
        <v>999999999</v>
      </c>
      <c r="DU178" s="641">
        <f t="shared" si="85"/>
        <v>999999999</v>
      </c>
      <c r="DV178" s="641">
        <f t="shared" si="85"/>
        <v>999999999</v>
      </c>
      <c r="DW178" s="641">
        <f t="shared" si="85"/>
        <v>999999999</v>
      </c>
      <c r="DX178" s="641">
        <f t="shared" si="85"/>
        <v>999999999</v>
      </c>
      <c r="DY178" s="641">
        <f t="shared" si="85"/>
        <v>999999999</v>
      </c>
      <c r="DZ178" s="641">
        <f t="shared" si="85"/>
        <v>999999999</v>
      </c>
      <c r="EA178" s="641">
        <f t="shared" si="85"/>
        <v>999999999</v>
      </c>
      <c r="EB178" s="641">
        <f t="shared" si="85"/>
        <v>999999999</v>
      </c>
      <c r="EC178" s="641">
        <f t="shared" si="85"/>
        <v>999999999</v>
      </c>
    </row>
    <row r="179" spans="12:133" ht="15.5">
      <c r="L179"/>
      <c r="M179"/>
      <c r="N179"/>
      <c r="O179"/>
      <c r="P179"/>
      <c r="Q179"/>
      <c r="R179"/>
      <c r="S179"/>
      <c r="T179"/>
      <c r="U179"/>
      <c r="V179"/>
      <c r="W179"/>
      <c r="X179"/>
      <c r="Y179"/>
      <c r="Z179"/>
      <c r="AA179"/>
      <c r="AB179" s="5">
        <f t="shared" si="86"/>
        <v>2</v>
      </c>
      <c r="AC179" s="128">
        <v>36</v>
      </c>
      <c r="AD179" s="129">
        <f t="shared" si="55"/>
        <v>8066.506604000002</v>
      </c>
      <c r="AF179" s="128">
        <v>36</v>
      </c>
      <c r="AG179" s="641">
        <f t="shared" si="76"/>
        <v>489661.50660399999</v>
      </c>
      <c r="AH179" s="641">
        <f t="shared" si="76"/>
        <v>426709.50660399999</v>
      </c>
      <c r="AI179" s="641">
        <f t="shared" si="76"/>
        <v>363757.50660399999</v>
      </c>
      <c r="AJ179" s="641">
        <f t="shared" si="76"/>
        <v>300805.50660399999</v>
      </c>
      <c r="AK179" s="641">
        <f t="shared" si="76"/>
        <v>237853.50660399999</v>
      </c>
      <c r="AL179" s="641">
        <f t="shared" si="76"/>
        <v>174901.50660399999</v>
      </c>
      <c r="AM179" s="641">
        <f t="shared" si="76"/>
        <v>112986.50660399999</v>
      </c>
      <c r="AN179" s="641">
        <f t="shared" si="76"/>
        <v>60526.506604000002</v>
      </c>
      <c r="AO179" s="641">
        <f t="shared" si="76"/>
        <v>8066.506604000002</v>
      </c>
      <c r="AP179" s="641">
        <f t="shared" si="76"/>
        <v>999999999</v>
      </c>
      <c r="AQ179" s="641">
        <f t="shared" si="77"/>
        <v>999999999</v>
      </c>
      <c r="AR179" s="641">
        <f t="shared" si="77"/>
        <v>999999999</v>
      </c>
      <c r="AS179" s="641">
        <f t="shared" si="77"/>
        <v>999999999</v>
      </c>
      <c r="AT179" s="641">
        <f t="shared" si="77"/>
        <v>999999999</v>
      </c>
      <c r="AU179" s="641">
        <f t="shared" si="77"/>
        <v>999999999</v>
      </c>
      <c r="AV179" s="641">
        <f t="shared" si="77"/>
        <v>999999999</v>
      </c>
      <c r="AW179" s="641">
        <f t="shared" si="77"/>
        <v>999999999</v>
      </c>
      <c r="AX179" s="641">
        <f t="shared" si="77"/>
        <v>999999999</v>
      </c>
      <c r="AY179" s="641">
        <f t="shared" si="77"/>
        <v>999999999</v>
      </c>
      <c r="AZ179" s="641">
        <f t="shared" si="77"/>
        <v>999999999</v>
      </c>
      <c r="BA179" s="641">
        <f t="shared" si="78"/>
        <v>999999999</v>
      </c>
      <c r="BB179" s="641">
        <f t="shared" si="78"/>
        <v>999999999</v>
      </c>
      <c r="BC179" s="641">
        <f t="shared" si="78"/>
        <v>999999999</v>
      </c>
      <c r="BD179" s="641">
        <f t="shared" si="78"/>
        <v>999999999</v>
      </c>
      <c r="BE179" s="641">
        <f t="shared" si="78"/>
        <v>999999999</v>
      </c>
      <c r="BF179" s="641">
        <f t="shared" si="78"/>
        <v>999999999</v>
      </c>
      <c r="BG179" s="641">
        <f t="shared" si="78"/>
        <v>999999999</v>
      </c>
      <c r="BH179" s="641">
        <f t="shared" si="78"/>
        <v>999999999</v>
      </c>
      <c r="BI179" s="641">
        <f t="shared" si="78"/>
        <v>999999999</v>
      </c>
      <c r="BJ179" s="641">
        <f t="shared" si="78"/>
        <v>999999999</v>
      </c>
      <c r="BK179" s="641">
        <f t="shared" si="79"/>
        <v>999999999</v>
      </c>
      <c r="BL179" s="641">
        <f t="shared" si="79"/>
        <v>999999999</v>
      </c>
      <c r="BM179" s="641">
        <f t="shared" si="79"/>
        <v>999999999</v>
      </c>
      <c r="BN179" s="641">
        <f t="shared" si="79"/>
        <v>999999999</v>
      </c>
      <c r="BO179" s="641">
        <f t="shared" si="79"/>
        <v>999999999</v>
      </c>
      <c r="BP179" s="641">
        <f t="shared" si="79"/>
        <v>999999999</v>
      </c>
      <c r="BQ179" s="641">
        <f t="shared" si="79"/>
        <v>999999999</v>
      </c>
      <c r="BR179" s="641">
        <f t="shared" si="79"/>
        <v>999999999</v>
      </c>
      <c r="BS179" s="641">
        <f t="shared" si="79"/>
        <v>999999999</v>
      </c>
      <c r="BT179" s="641">
        <f t="shared" si="79"/>
        <v>999999999</v>
      </c>
      <c r="BU179" s="641">
        <f t="shared" si="80"/>
        <v>999999999</v>
      </c>
      <c r="BV179" s="641">
        <f t="shared" si="80"/>
        <v>999999999</v>
      </c>
      <c r="BW179" s="641">
        <f t="shared" si="80"/>
        <v>999999999</v>
      </c>
      <c r="BX179" s="641">
        <f t="shared" si="80"/>
        <v>999999999</v>
      </c>
      <c r="BY179" s="641">
        <f t="shared" si="80"/>
        <v>999999999</v>
      </c>
      <c r="BZ179" s="641">
        <f t="shared" si="80"/>
        <v>999999999</v>
      </c>
      <c r="CA179" s="641">
        <f t="shared" si="80"/>
        <v>999999999</v>
      </c>
      <c r="CB179" s="641">
        <f t="shared" si="80"/>
        <v>999999999</v>
      </c>
      <c r="CC179" s="641">
        <f t="shared" si="80"/>
        <v>999999999</v>
      </c>
      <c r="CD179" s="641">
        <f t="shared" si="80"/>
        <v>999999999</v>
      </c>
      <c r="CE179" s="641">
        <f t="shared" si="81"/>
        <v>999999999</v>
      </c>
      <c r="CF179" s="641">
        <f t="shared" si="81"/>
        <v>999999999</v>
      </c>
      <c r="CG179" s="641">
        <f t="shared" si="81"/>
        <v>999999999</v>
      </c>
      <c r="CH179" s="641">
        <f t="shared" si="81"/>
        <v>999999999</v>
      </c>
      <c r="CI179" s="641">
        <f t="shared" si="81"/>
        <v>999999999</v>
      </c>
      <c r="CJ179" s="641">
        <f t="shared" si="81"/>
        <v>999999999</v>
      </c>
      <c r="CK179" s="641">
        <f t="shared" si="81"/>
        <v>999999999</v>
      </c>
      <c r="CL179" s="641">
        <f t="shared" si="81"/>
        <v>999999999</v>
      </c>
      <c r="CM179" s="641">
        <f t="shared" si="81"/>
        <v>999999999</v>
      </c>
      <c r="CN179" s="641">
        <f t="shared" si="81"/>
        <v>999999999</v>
      </c>
      <c r="CO179" s="641">
        <f t="shared" si="82"/>
        <v>999999999</v>
      </c>
      <c r="CP179" s="641">
        <f t="shared" si="82"/>
        <v>999999999</v>
      </c>
      <c r="CQ179" s="641">
        <f t="shared" si="82"/>
        <v>999999999</v>
      </c>
      <c r="CR179" s="641">
        <f t="shared" si="82"/>
        <v>999999999</v>
      </c>
      <c r="CS179" s="641">
        <f t="shared" si="82"/>
        <v>999999999</v>
      </c>
      <c r="CT179" s="641">
        <f t="shared" si="82"/>
        <v>999999999</v>
      </c>
      <c r="CU179" s="641">
        <f t="shared" si="82"/>
        <v>999999999</v>
      </c>
      <c r="CV179" s="641">
        <f t="shared" si="82"/>
        <v>999999999</v>
      </c>
      <c r="CW179" s="641">
        <f t="shared" si="82"/>
        <v>999999999</v>
      </c>
      <c r="CX179" s="641">
        <f t="shared" si="82"/>
        <v>999999999</v>
      </c>
      <c r="CY179" s="641">
        <f t="shared" si="83"/>
        <v>999999999</v>
      </c>
      <c r="CZ179" s="641">
        <f t="shared" si="83"/>
        <v>999999999</v>
      </c>
      <c r="DA179" s="641">
        <f t="shared" si="83"/>
        <v>999999999</v>
      </c>
      <c r="DB179" s="641">
        <f t="shared" si="83"/>
        <v>999999999</v>
      </c>
      <c r="DC179" s="641">
        <f t="shared" si="83"/>
        <v>999999999</v>
      </c>
      <c r="DD179" s="641">
        <f t="shared" si="83"/>
        <v>999999999</v>
      </c>
      <c r="DE179" s="641">
        <f t="shared" si="83"/>
        <v>999999999</v>
      </c>
      <c r="DF179" s="641">
        <f t="shared" si="83"/>
        <v>999999999</v>
      </c>
      <c r="DG179" s="641">
        <f t="shared" si="83"/>
        <v>999999999</v>
      </c>
      <c r="DH179" s="641">
        <f t="shared" si="83"/>
        <v>999999999</v>
      </c>
      <c r="DI179" s="641">
        <f t="shared" si="84"/>
        <v>999999999</v>
      </c>
      <c r="DJ179" s="641">
        <f t="shared" si="84"/>
        <v>999999999</v>
      </c>
      <c r="DK179" s="641">
        <f t="shared" si="84"/>
        <v>999999999</v>
      </c>
      <c r="DL179" s="641">
        <f t="shared" si="84"/>
        <v>999999999</v>
      </c>
      <c r="DM179" s="641">
        <f t="shared" si="84"/>
        <v>999999999</v>
      </c>
      <c r="DN179" s="641">
        <f t="shared" si="84"/>
        <v>999999999</v>
      </c>
      <c r="DO179" s="641">
        <f t="shared" si="84"/>
        <v>999999999</v>
      </c>
      <c r="DP179" s="641">
        <f t="shared" si="84"/>
        <v>999999999</v>
      </c>
      <c r="DQ179" s="641">
        <f t="shared" si="84"/>
        <v>999999999</v>
      </c>
      <c r="DR179" s="641">
        <f t="shared" si="84"/>
        <v>999999999</v>
      </c>
      <c r="DS179" s="641">
        <f t="shared" si="85"/>
        <v>999999999</v>
      </c>
      <c r="DT179" s="641">
        <f t="shared" si="85"/>
        <v>999999999</v>
      </c>
      <c r="DU179" s="641">
        <f t="shared" si="85"/>
        <v>999999999</v>
      </c>
      <c r="DV179" s="641">
        <f t="shared" si="85"/>
        <v>999999999</v>
      </c>
      <c r="DW179" s="641">
        <f t="shared" si="85"/>
        <v>999999999</v>
      </c>
      <c r="DX179" s="641">
        <f t="shared" si="85"/>
        <v>999999999</v>
      </c>
      <c r="DY179" s="641">
        <f t="shared" si="85"/>
        <v>999999999</v>
      </c>
      <c r="DZ179" s="641">
        <f t="shared" si="85"/>
        <v>999999999</v>
      </c>
      <c r="EA179" s="641">
        <f t="shared" si="85"/>
        <v>999999999</v>
      </c>
      <c r="EB179" s="641">
        <f t="shared" si="85"/>
        <v>999999999</v>
      </c>
      <c r="EC179" s="641">
        <f t="shared" si="85"/>
        <v>999999999</v>
      </c>
    </row>
    <row r="180" spans="12:133" ht="15.5">
      <c r="L180"/>
      <c r="M180"/>
      <c r="N180"/>
      <c r="O180"/>
      <c r="P180"/>
      <c r="Q180"/>
      <c r="R180"/>
      <c r="S180"/>
      <c r="T180"/>
      <c r="U180"/>
      <c r="V180"/>
      <c r="W180"/>
      <c r="X180"/>
      <c r="Y180"/>
      <c r="Z180"/>
      <c r="AA180"/>
      <c r="AB180" s="5">
        <f t="shared" si="86"/>
        <v>2</v>
      </c>
      <c r="AC180" s="128">
        <v>37</v>
      </c>
      <c r="AD180" s="129">
        <f t="shared" si="55"/>
        <v>8066.506604000002</v>
      </c>
      <c r="AF180" s="128">
        <v>37</v>
      </c>
      <c r="AG180" s="641">
        <f t="shared" si="76"/>
        <v>489661.50660399999</v>
      </c>
      <c r="AH180" s="641">
        <f t="shared" si="76"/>
        <v>426709.50660399999</v>
      </c>
      <c r="AI180" s="641">
        <f t="shared" si="76"/>
        <v>363757.50660399999</v>
      </c>
      <c r="AJ180" s="641">
        <f t="shared" si="76"/>
        <v>300805.50660399999</v>
      </c>
      <c r="AK180" s="641">
        <f t="shared" si="76"/>
        <v>237853.50660399999</v>
      </c>
      <c r="AL180" s="641">
        <f t="shared" si="76"/>
        <v>174901.50660399999</v>
      </c>
      <c r="AM180" s="641">
        <f t="shared" si="76"/>
        <v>112986.50660399999</v>
      </c>
      <c r="AN180" s="641">
        <f t="shared" si="76"/>
        <v>60526.506604000002</v>
      </c>
      <c r="AO180" s="641">
        <f t="shared" si="76"/>
        <v>8066.506604000002</v>
      </c>
      <c r="AP180" s="641">
        <f t="shared" si="76"/>
        <v>999999999</v>
      </c>
      <c r="AQ180" s="641">
        <f t="shared" si="77"/>
        <v>999999999</v>
      </c>
      <c r="AR180" s="641">
        <f t="shared" si="77"/>
        <v>999999999</v>
      </c>
      <c r="AS180" s="641">
        <f t="shared" si="77"/>
        <v>999999999</v>
      </c>
      <c r="AT180" s="641">
        <f t="shared" si="77"/>
        <v>999999999</v>
      </c>
      <c r="AU180" s="641">
        <f t="shared" si="77"/>
        <v>999999999</v>
      </c>
      <c r="AV180" s="641">
        <f t="shared" si="77"/>
        <v>999999999</v>
      </c>
      <c r="AW180" s="641">
        <f t="shared" si="77"/>
        <v>999999999</v>
      </c>
      <c r="AX180" s="641">
        <f t="shared" si="77"/>
        <v>999999999</v>
      </c>
      <c r="AY180" s="641">
        <f t="shared" si="77"/>
        <v>999999999</v>
      </c>
      <c r="AZ180" s="641">
        <f t="shared" si="77"/>
        <v>999999999</v>
      </c>
      <c r="BA180" s="641">
        <f t="shared" si="78"/>
        <v>999999999</v>
      </c>
      <c r="BB180" s="641">
        <f t="shared" si="78"/>
        <v>999999999</v>
      </c>
      <c r="BC180" s="641">
        <f t="shared" si="78"/>
        <v>999999999</v>
      </c>
      <c r="BD180" s="641">
        <f t="shared" si="78"/>
        <v>999999999</v>
      </c>
      <c r="BE180" s="641">
        <f t="shared" si="78"/>
        <v>999999999</v>
      </c>
      <c r="BF180" s="641">
        <f t="shared" si="78"/>
        <v>999999999</v>
      </c>
      <c r="BG180" s="641">
        <f t="shared" si="78"/>
        <v>999999999</v>
      </c>
      <c r="BH180" s="641">
        <f t="shared" si="78"/>
        <v>999999999</v>
      </c>
      <c r="BI180" s="641">
        <f t="shared" si="78"/>
        <v>999999999</v>
      </c>
      <c r="BJ180" s="641">
        <f t="shared" si="78"/>
        <v>999999999</v>
      </c>
      <c r="BK180" s="641">
        <f t="shared" si="79"/>
        <v>999999999</v>
      </c>
      <c r="BL180" s="641">
        <f t="shared" si="79"/>
        <v>999999999</v>
      </c>
      <c r="BM180" s="641">
        <f t="shared" si="79"/>
        <v>999999999</v>
      </c>
      <c r="BN180" s="641">
        <f t="shared" si="79"/>
        <v>999999999</v>
      </c>
      <c r="BO180" s="641">
        <f t="shared" si="79"/>
        <v>999999999</v>
      </c>
      <c r="BP180" s="641">
        <f t="shared" si="79"/>
        <v>999999999</v>
      </c>
      <c r="BQ180" s="641">
        <f t="shared" si="79"/>
        <v>999999999</v>
      </c>
      <c r="BR180" s="641">
        <f t="shared" si="79"/>
        <v>999999999</v>
      </c>
      <c r="BS180" s="641">
        <f t="shared" si="79"/>
        <v>999999999</v>
      </c>
      <c r="BT180" s="641">
        <f t="shared" si="79"/>
        <v>999999999</v>
      </c>
      <c r="BU180" s="641">
        <f t="shared" si="80"/>
        <v>999999999</v>
      </c>
      <c r="BV180" s="641">
        <f t="shared" si="80"/>
        <v>999999999</v>
      </c>
      <c r="BW180" s="641">
        <f t="shared" si="80"/>
        <v>999999999</v>
      </c>
      <c r="BX180" s="641">
        <f t="shared" si="80"/>
        <v>999999999</v>
      </c>
      <c r="BY180" s="641">
        <f t="shared" si="80"/>
        <v>999999999</v>
      </c>
      <c r="BZ180" s="641">
        <f t="shared" si="80"/>
        <v>999999999</v>
      </c>
      <c r="CA180" s="641">
        <f t="shared" si="80"/>
        <v>999999999</v>
      </c>
      <c r="CB180" s="641">
        <f t="shared" si="80"/>
        <v>999999999</v>
      </c>
      <c r="CC180" s="641">
        <f t="shared" si="80"/>
        <v>999999999</v>
      </c>
      <c r="CD180" s="641">
        <f t="shared" si="80"/>
        <v>999999999</v>
      </c>
      <c r="CE180" s="641">
        <f t="shared" si="81"/>
        <v>999999999</v>
      </c>
      <c r="CF180" s="641">
        <f t="shared" si="81"/>
        <v>999999999</v>
      </c>
      <c r="CG180" s="641">
        <f t="shared" si="81"/>
        <v>999999999</v>
      </c>
      <c r="CH180" s="641">
        <f t="shared" si="81"/>
        <v>999999999</v>
      </c>
      <c r="CI180" s="641">
        <f t="shared" si="81"/>
        <v>999999999</v>
      </c>
      <c r="CJ180" s="641">
        <f t="shared" si="81"/>
        <v>999999999</v>
      </c>
      <c r="CK180" s="641">
        <f t="shared" si="81"/>
        <v>999999999</v>
      </c>
      <c r="CL180" s="641">
        <f t="shared" si="81"/>
        <v>999999999</v>
      </c>
      <c r="CM180" s="641">
        <f t="shared" si="81"/>
        <v>999999999</v>
      </c>
      <c r="CN180" s="641">
        <f t="shared" si="81"/>
        <v>999999999</v>
      </c>
      <c r="CO180" s="641">
        <f t="shared" si="82"/>
        <v>999999999</v>
      </c>
      <c r="CP180" s="641">
        <f t="shared" si="82"/>
        <v>999999999</v>
      </c>
      <c r="CQ180" s="641">
        <f t="shared" si="82"/>
        <v>999999999</v>
      </c>
      <c r="CR180" s="641">
        <f t="shared" si="82"/>
        <v>999999999</v>
      </c>
      <c r="CS180" s="641">
        <f t="shared" si="82"/>
        <v>999999999</v>
      </c>
      <c r="CT180" s="641">
        <f t="shared" si="82"/>
        <v>999999999</v>
      </c>
      <c r="CU180" s="641">
        <f t="shared" si="82"/>
        <v>999999999</v>
      </c>
      <c r="CV180" s="641">
        <f t="shared" si="82"/>
        <v>999999999</v>
      </c>
      <c r="CW180" s="641">
        <f t="shared" si="82"/>
        <v>999999999</v>
      </c>
      <c r="CX180" s="641">
        <f t="shared" si="82"/>
        <v>999999999</v>
      </c>
      <c r="CY180" s="641">
        <f t="shared" si="83"/>
        <v>999999999</v>
      </c>
      <c r="CZ180" s="641">
        <f t="shared" si="83"/>
        <v>999999999</v>
      </c>
      <c r="DA180" s="641">
        <f t="shared" si="83"/>
        <v>999999999</v>
      </c>
      <c r="DB180" s="641">
        <f t="shared" si="83"/>
        <v>999999999</v>
      </c>
      <c r="DC180" s="641">
        <f t="shared" si="83"/>
        <v>999999999</v>
      </c>
      <c r="DD180" s="641">
        <f t="shared" si="83"/>
        <v>999999999</v>
      </c>
      <c r="DE180" s="641">
        <f t="shared" si="83"/>
        <v>999999999</v>
      </c>
      <c r="DF180" s="641">
        <f t="shared" si="83"/>
        <v>999999999</v>
      </c>
      <c r="DG180" s="641">
        <f t="shared" si="83"/>
        <v>999999999</v>
      </c>
      <c r="DH180" s="641">
        <f t="shared" si="83"/>
        <v>999999999</v>
      </c>
      <c r="DI180" s="641">
        <f t="shared" si="84"/>
        <v>999999999</v>
      </c>
      <c r="DJ180" s="641">
        <f t="shared" si="84"/>
        <v>999999999</v>
      </c>
      <c r="DK180" s="641">
        <f t="shared" si="84"/>
        <v>999999999</v>
      </c>
      <c r="DL180" s="641">
        <f t="shared" si="84"/>
        <v>999999999</v>
      </c>
      <c r="DM180" s="641">
        <f t="shared" si="84"/>
        <v>999999999</v>
      </c>
      <c r="DN180" s="641">
        <f t="shared" si="84"/>
        <v>999999999</v>
      </c>
      <c r="DO180" s="641">
        <f t="shared" si="84"/>
        <v>999999999</v>
      </c>
      <c r="DP180" s="641">
        <f t="shared" si="84"/>
        <v>999999999</v>
      </c>
      <c r="DQ180" s="641">
        <f t="shared" si="84"/>
        <v>999999999</v>
      </c>
      <c r="DR180" s="641">
        <f t="shared" si="84"/>
        <v>999999999</v>
      </c>
      <c r="DS180" s="641">
        <f t="shared" si="85"/>
        <v>999999999</v>
      </c>
      <c r="DT180" s="641">
        <f t="shared" si="85"/>
        <v>999999999</v>
      </c>
      <c r="DU180" s="641">
        <f t="shared" si="85"/>
        <v>999999999</v>
      </c>
      <c r="DV180" s="641">
        <f t="shared" si="85"/>
        <v>999999999</v>
      </c>
      <c r="DW180" s="641">
        <f t="shared" si="85"/>
        <v>999999999</v>
      </c>
      <c r="DX180" s="641">
        <f t="shared" si="85"/>
        <v>999999999</v>
      </c>
      <c r="DY180" s="641">
        <f t="shared" si="85"/>
        <v>999999999</v>
      </c>
      <c r="DZ180" s="641">
        <f t="shared" si="85"/>
        <v>999999999</v>
      </c>
      <c r="EA180" s="641">
        <f t="shared" si="85"/>
        <v>999999999</v>
      </c>
      <c r="EB180" s="641">
        <f t="shared" si="85"/>
        <v>999999999</v>
      </c>
      <c r="EC180" s="641">
        <f t="shared" si="85"/>
        <v>999999999</v>
      </c>
    </row>
    <row r="181" spans="12:133" ht="15.5">
      <c r="L181"/>
      <c r="M181"/>
      <c r="N181"/>
      <c r="O181"/>
      <c r="P181"/>
      <c r="Q181"/>
      <c r="R181"/>
      <c r="S181"/>
      <c r="T181"/>
      <c r="U181"/>
      <c r="V181"/>
      <c r="W181"/>
      <c r="X181"/>
      <c r="Y181"/>
      <c r="Z181"/>
      <c r="AA181"/>
      <c r="AB181" s="5">
        <f t="shared" si="86"/>
        <v>2</v>
      </c>
      <c r="AC181" s="128">
        <v>38</v>
      </c>
      <c r="AD181" s="129">
        <f t="shared" si="55"/>
        <v>8066.506604000002</v>
      </c>
      <c r="AF181" s="128">
        <v>38</v>
      </c>
      <c r="AG181" s="641">
        <f t="shared" si="76"/>
        <v>489661.50660399999</v>
      </c>
      <c r="AH181" s="641">
        <f t="shared" si="76"/>
        <v>426709.50660399999</v>
      </c>
      <c r="AI181" s="641">
        <f t="shared" si="76"/>
        <v>363757.50660399999</v>
      </c>
      <c r="AJ181" s="641">
        <f t="shared" si="76"/>
        <v>300805.50660399999</v>
      </c>
      <c r="AK181" s="641">
        <f t="shared" si="76"/>
        <v>237853.50660399999</v>
      </c>
      <c r="AL181" s="641">
        <f t="shared" si="76"/>
        <v>174901.50660399999</v>
      </c>
      <c r="AM181" s="641">
        <f t="shared" si="76"/>
        <v>112986.50660399999</v>
      </c>
      <c r="AN181" s="641">
        <f t="shared" si="76"/>
        <v>60526.506604000002</v>
      </c>
      <c r="AO181" s="641">
        <f t="shared" si="76"/>
        <v>8066.506604000002</v>
      </c>
      <c r="AP181" s="641">
        <f t="shared" si="76"/>
        <v>999999999</v>
      </c>
      <c r="AQ181" s="641">
        <f t="shared" si="77"/>
        <v>999999999</v>
      </c>
      <c r="AR181" s="641">
        <f t="shared" si="77"/>
        <v>999999999</v>
      </c>
      <c r="AS181" s="641">
        <f t="shared" si="77"/>
        <v>999999999</v>
      </c>
      <c r="AT181" s="641">
        <f t="shared" si="77"/>
        <v>999999999</v>
      </c>
      <c r="AU181" s="641">
        <f t="shared" si="77"/>
        <v>999999999</v>
      </c>
      <c r="AV181" s="641">
        <f t="shared" si="77"/>
        <v>999999999</v>
      </c>
      <c r="AW181" s="641">
        <f t="shared" si="77"/>
        <v>999999999</v>
      </c>
      <c r="AX181" s="641">
        <f t="shared" si="77"/>
        <v>999999999</v>
      </c>
      <c r="AY181" s="641">
        <f t="shared" si="77"/>
        <v>999999999</v>
      </c>
      <c r="AZ181" s="641">
        <f t="shared" si="77"/>
        <v>999999999</v>
      </c>
      <c r="BA181" s="641">
        <f t="shared" si="78"/>
        <v>999999999</v>
      </c>
      <c r="BB181" s="641">
        <f t="shared" si="78"/>
        <v>999999999</v>
      </c>
      <c r="BC181" s="641">
        <f t="shared" si="78"/>
        <v>999999999</v>
      </c>
      <c r="BD181" s="641">
        <f t="shared" si="78"/>
        <v>999999999</v>
      </c>
      <c r="BE181" s="641">
        <f t="shared" si="78"/>
        <v>999999999</v>
      </c>
      <c r="BF181" s="641">
        <f t="shared" si="78"/>
        <v>999999999</v>
      </c>
      <c r="BG181" s="641">
        <f t="shared" si="78"/>
        <v>999999999</v>
      </c>
      <c r="BH181" s="641">
        <f t="shared" si="78"/>
        <v>999999999</v>
      </c>
      <c r="BI181" s="641">
        <f t="shared" si="78"/>
        <v>999999999</v>
      </c>
      <c r="BJ181" s="641">
        <f t="shared" si="78"/>
        <v>999999999</v>
      </c>
      <c r="BK181" s="641">
        <f t="shared" si="79"/>
        <v>999999999</v>
      </c>
      <c r="BL181" s="641">
        <f t="shared" si="79"/>
        <v>999999999</v>
      </c>
      <c r="BM181" s="641">
        <f t="shared" si="79"/>
        <v>999999999</v>
      </c>
      <c r="BN181" s="641">
        <f t="shared" si="79"/>
        <v>999999999</v>
      </c>
      <c r="BO181" s="641">
        <f t="shared" si="79"/>
        <v>999999999</v>
      </c>
      <c r="BP181" s="641">
        <f t="shared" si="79"/>
        <v>999999999</v>
      </c>
      <c r="BQ181" s="641">
        <f t="shared" si="79"/>
        <v>999999999</v>
      </c>
      <c r="BR181" s="641">
        <f t="shared" si="79"/>
        <v>999999999</v>
      </c>
      <c r="BS181" s="641">
        <f t="shared" si="79"/>
        <v>999999999</v>
      </c>
      <c r="BT181" s="641">
        <f t="shared" si="79"/>
        <v>999999999</v>
      </c>
      <c r="BU181" s="641">
        <f t="shared" si="80"/>
        <v>999999999</v>
      </c>
      <c r="BV181" s="641">
        <f t="shared" si="80"/>
        <v>999999999</v>
      </c>
      <c r="BW181" s="641">
        <f t="shared" si="80"/>
        <v>999999999</v>
      </c>
      <c r="BX181" s="641">
        <f t="shared" si="80"/>
        <v>999999999</v>
      </c>
      <c r="BY181" s="641">
        <f t="shared" si="80"/>
        <v>999999999</v>
      </c>
      <c r="BZ181" s="641">
        <f t="shared" si="80"/>
        <v>999999999</v>
      </c>
      <c r="CA181" s="641">
        <f t="shared" si="80"/>
        <v>999999999</v>
      </c>
      <c r="CB181" s="641">
        <f t="shared" si="80"/>
        <v>999999999</v>
      </c>
      <c r="CC181" s="641">
        <f t="shared" si="80"/>
        <v>999999999</v>
      </c>
      <c r="CD181" s="641">
        <f t="shared" si="80"/>
        <v>999999999</v>
      </c>
      <c r="CE181" s="641">
        <f t="shared" si="81"/>
        <v>999999999</v>
      </c>
      <c r="CF181" s="641">
        <f t="shared" si="81"/>
        <v>999999999</v>
      </c>
      <c r="CG181" s="641">
        <f t="shared" si="81"/>
        <v>999999999</v>
      </c>
      <c r="CH181" s="641">
        <f t="shared" si="81"/>
        <v>999999999</v>
      </c>
      <c r="CI181" s="641">
        <f t="shared" si="81"/>
        <v>999999999</v>
      </c>
      <c r="CJ181" s="641">
        <f t="shared" si="81"/>
        <v>999999999</v>
      </c>
      <c r="CK181" s="641">
        <f t="shared" si="81"/>
        <v>999999999</v>
      </c>
      <c r="CL181" s="641">
        <f t="shared" si="81"/>
        <v>999999999</v>
      </c>
      <c r="CM181" s="641">
        <f t="shared" si="81"/>
        <v>999999999</v>
      </c>
      <c r="CN181" s="641">
        <f t="shared" si="81"/>
        <v>999999999</v>
      </c>
      <c r="CO181" s="641">
        <f t="shared" si="82"/>
        <v>999999999</v>
      </c>
      <c r="CP181" s="641">
        <f t="shared" si="82"/>
        <v>999999999</v>
      </c>
      <c r="CQ181" s="641">
        <f t="shared" si="82"/>
        <v>999999999</v>
      </c>
      <c r="CR181" s="641">
        <f t="shared" si="82"/>
        <v>999999999</v>
      </c>
      <c r="CS181" s="641">
        <f t="shared" si="82"/>
        <v>999999999</v>
      </c>
      <c r="CT181" s="641">
        <f t="shared" si="82"/>
        <v>999999999</v>
      </c>
      <c r="CU181" s="641">
        <f t="shared" si="82"/>
        <v>999999999</v>
      </c>
      <c r="CV181" s="641">
        <f t="shared" si="82"/>
        <v>999999999</v>
      </c>
      <c r="CW181" s="641">
        <f t="shared" si="82"/>
        <v>999999999</v>
      </c>
      <c r="CX181" s="641">
        <f t="shared" si="82"/>
        <v>999999999</v>
      </c>
      <c r="CY181" s="641">
        <f t="shared" si="83"/>
        <v>999999999</v>
      </c>
      <c r="CZ181" s="641">
        <f t="shared" si="83"/>
        <v>999999999</v>
      </c>
      <c r="DA181" s="641">
        <f t="shared" si="83"/>
        <v>999999999</v>
      </c>
      <c r="DB181" s="641">
        <f t="shared" si="83"/>
        <v>999999999</v>
      </c>
      <c r="DC181" s="641">
        <f t="shared" si="83"/>
        <v>999999999</v>
      </c>
      <c r="DD181" s="641">
        <f t="shared" si="83"/>
        <v>999999999</v>
      </c>
      <c r="DE181" s="641">
        <f t="shared" si="83"/>
        <v>999999999</v>
      </c>
      <c r="DF181" s="641">
        <f t="shared" si="83"/>
        <v>999999999</v>
      </c>
      <c r="DG181" s="641">
        <f t="shared" si="83"/>
        <v>999999999</v>
      </c>
      <c r="DH181" s="641">
        <f t="shared" si="83"/>
        <v>999999999</v>
      </c>
      <c r="DI181" s="641">
        <f t="shared" si="84"/>
        <v>999999999</v>
      </c>
      <c r="DJ181" s="641">
        <f t="shared" si="84"/>
        <v>999999999</v>
      </c>
      <c r="DK181" s="641">
        <f t="shared" si="84"/>
        <v>999999999</v>
      </c>
      <c r="DL181" s="641">
        <f t="shared" si="84"/>
        <v>999999999</v>
      </c>
      <c r="DM181" s="641">
        <f t="shared" si="84"/>
        <v>999999999</v>
      </c>
      <c r="DN181" s="641">
        <f t="shared" si="84"/>
        <v>999999999</v>
      </c>
      <c r="DO181" s="641">
        <f t="shared" si="84"/>
        <v>999999999</v>
      </c>
      <c r="DP181" s="641">
        <f t="shared" si="84"/>
        <v>999999999</v>
      </c>
      <c r="DQ181" s="641">
        <f t="shared" si="84"/>
        <v>999999999</v>
      </c>
      <c r="DR181" s="641">
        <f t="shared" si="84"/>
        <v>999999999</v>
      </c>
      <c r="DS181" s="641">
        <f t="shared" si="85"/>
        <v>999999999</v>
      </c>
      <c r="DT181" s="641">
        <f t="shared" si="85"/>
        <v>999999999</v>
      </c>
      <c r="DU181" s="641">
        <f t="shared" si="85"/>
        <v>999999999</v>
      </c>
      <c r="DV181" s="641">
        <f t="shared" si="85"/>
        <v>999999999</v>
      </c>
      <c r="DW181" s="641">
        <f t="shared" si="85"/>
        <v>999999999</v>
      </c>
      <c r="DX181" s="641">
        <f t="shared" si="85"/>
        <v>999999999</v>
      </c>
      <c r="DY181" s="641">
        <f t="shared" si="85"/>
        <v>999999999</v>
      </c>
      <c r="DZ181" s="641">
        <f t="shared" si="85"/>
        <v>999999999</v>
      </c>
      <c r="EA181" s="641">
        <f t="shared" si="85"/>
        <v>999999999</v>
      </c>
      <c r="EB181" s="641">
        <f t="shared" si="85"/>
        <v>999999999</v>
      </c>
      <c r="EC181" s="641">
        <f t="shared" si="85"/>
        <v>999999999</v>
      </c>
    </row>
    <row r="182" spans="12:133" ht="15.5">
      <c r="L182"/>
      <c r="M182"/>
      <c r="N182"/>
      <c r="O182"/>
      <c r="P182"/>
      <c r="Q182"/>
      <c r="R182"/>
      <c r="S182"/>
      <c r="T182"/>
      <c r="U182"/>
      <c r="V182"/>
      <c r="W182"/>
      <c r="X182"/>
      <c r="Y182"/>
      <c r="Z182"/>
      <c r="AA182"/>
      <c r="AB182" s="5">
        <f t="shared" si="86"/>
        <v>2</v>
      </c>
      <c r="AC182" s="128">
        <v>39</v>
      </c>
      <c r="AD182" s="129">
        <f t="shared" si="55"/>
        <v>8066.506604000002</v>
      </c>
      <c r="AF182" s="128">
        <v>39</v>
      </c>
      <c r="AG182" s="641">
        <f t="shared" si="76"/>
        <v>489661.50660399999</v>
      </c>
      <c r="AH182" s="641">
        <f t="shared" si="76"/>
        <v>426709.50660399999</v>
      </c>
      <c r="AI182" s="641">
        <f t="shared" si="76"/>
        <v>363757.50660399999</v>
      </c>
      <c r="AJ182" s="641">
        <f t="shared" si="76"/>
        <v>300805.50660399999</v>
      </c>
      <c r="AK182" s="641">
        <f t="shared" si="76"/>
        <v>237853.50660399999</v>
      </c>
      <c r="AL182" s="641">
        <f t="shared" si="76"/>
        <v>174901.50660399999</v>
      </c>
      <c r="AM182" s="641">
        <f t="shared" si="76"/>
        <v>112986.50660399999</v>
      </c>
      <c r="AN182" s="641">
        <f t="shared" si="76"/>
        <v>60526.506604000002</v>
      </c>
      <c r="AO182" s="641">
        <f t="shared" si="76"/>
        <v>8066.506604000002</v>
      </c>
      <c r="AP182" s="641">
        <f t="shared" si="76"/>
        <v>999999999</v>
      </c>
      <c r="AQ182" s="641">
        <f t="shared" si="77"/>
        <v>999999999</v>
      </c>
      <c r="AR182" s="641">
        <f t="shared" si="77"/>
        <v>999999999</v>
      </c>
      <c r="AS182" s="641">
        <f t="shared" si="77"/>
        <v>999999999</v>
      </c>
      <c r="AT182" s="641">
        <f t="shared" si="77"/>
        <v>999999999</v>
      </c>
      <c r="AU182" s="641">
        <f t="shared" si="77"/>
        <v>999999999</v>
      </c>
      <c r="AV182" s="641">
        <f t="shared" si="77"/>
        <v>999999999</v>
      </c>
      <c r="AW182" s="641">
        <f t="shared" si="77"/>
        <v>999999999</v>
      </c>
      <c r="AX182" s="641">
        <f t="shared" si="77"/>
        <v>999999999</v>
      </c>
      <c r="AY182" s="641">
        <f t="shared" si="77"/>
        <v>999999999</v>
      </c>
      <c r="AZ182" s="641">
        <f t="shared" si="77"/>
        <v>999999999</v>
      </c>
      <c r="BA182" s="641">
        <f t="shared" si="78"/>
        <v>999999999</v>
      </c>
      <c r="BB182" s="641">
        <f t="shared" si="78"/>
        <v>999999999</v>
      </c>
      <c r="BC182" s="641">
        <f t="shared" si="78"/>
        <v>999999999</v>
      </c>
      <c r="BD182" s="641">
        <f t="shared" si="78"/>
        <v>999999999</v>
      </c>
      <c r="BE182" s="641">
        <f t="shared" si="78"/>
        <v>999999999</v>
      </c>
      <c r="BF182" s="641">
        <f t="shared" si="78"/>
        <v>999999999</v>
      </c>
      <c r="BG182" s="641">
        <f t="shared" si="78"/>
        <v>999999999</v>
      </c>
      <c r="BH182" s="641">
        <f t="shared" si="78"/>
        <v>999999999</v>
      </c>
      <c r="BI182" s="641">
        <f t="shared" si="78"/>
        <v>999999999</v>
      </c>
      <c r="BJ182" s="641">
        <f t="shared" si="78"/>
        <v>999999999</v>
      </c>
      <c r="BK182" s="641">
        <f t="shared" si="79"/>
        <v>999999999</v>
      </c>
      <c r="BL182" s="641">
        <f t="shared" si="79"/>
        <v>999999999</v>
      </c>
      <c r="BM182" s="641">
        <f t="shared" si="79"/>
        <v>999999999</v>
      </c>
      <c r="BN182" s="641">
        <f t="shared" si="79"/>
        <v>999999999</v>
      </c>
      <c r="BO182" s="641">
        <f t="shared" si="79"/>
        <v>999999999</v>
      </c>
      <c r="BP182" s="641">
        <f t="shared" si="79"/>
        <v>999999999</v>
      </c>
      <c r="BQ182" s="641">
        <f t="shared" si="79"/>
        <v>999999999</v>
      </c>
      <c r="BR182" s="641">
        <f t="shared" si="79"/>
        <v>999999999</v>
      </c>
      <c r="BS182" s="641">
        <f t="shared" si="79"/>
        <v>999999999</v>
      </c>
      <c r="BT182" s="641">
        <f t="shared" si="79"/>
        <v>999999999</v>
      </c>
      <c r="BU182" s="641">
        <f t="shared" si="80"/>
        <v>999999999</v>
      </c>
      <c r="BV182" s="641">
        <f t="shared" si="80"/>
        <v>999999999</v>
      </c>
      <c r="BW182" s="641">
        <f t="shared" si="80"/>
        <v>999999999</v>
      </c>
      <c r="BX182" s="641">
        <f t="shared" si="80"/>
        <v>999999999</v>
      </c>
      <c r="BY182" s="641">
        <f t="shared" si="80"/>
        <v>999999999</v>
      </c>
      <c r="BZ182" s="641">
        <f t="shared" si="80"/>
        <v>999999999</v>
      </c>
      <c r="CA182" s="641">
        <f t="shared" si="80"/>
        <v>999999999</v>
      </c>
      <c r="CB182" s="641">
        <f t="shared" si="80"/>
        <v>999999999</v>
      </c>
      <c r="CC182" s="641">
        <f t="shared" si="80"/>
        <v>999999999</v>
      </c>
      <c r="CD182" s="641">
        <f t="shared" si="80"/>
        <v>999999999</v>
      </c>
      <c r="CE182" s="641">
        <f t="shared" si="81"/>
        <v>999999999</v>
      </c>
      <c r="CF182" s="641">
        <f t="shared" si="81"/>
        <v>999999999</v>
      </c>
      <c r="CG182" s="641">
        <f t="shared" si="81"/>
        <v>999999999</v>
      </c>
      <c r="CH182" s="641">
        <f t="shared" si="81"/>
        <v>999999999</v>
      </c>
      <c r="CI182" s="641">
        <f t="shared" si="81"/>
        <v>999999999</v>
      </c>
      <c r="CJ182" s="641">
        <f t="shared" si="81"/>
        <v>999999999</v>
      </c>
      <c r="CK182" s="641">
        <f t="shared" si="81"/>
        <v>999999999</v>
      </c>
      <c r="CL182" s="641">
        <f t="shared" si="81"/>
        <v>999999999</v>
      </c>
      <c r="CM182" s="641">
        <f t="shared" si="81"/>
        <v>999999999</v>
      </c>
      <c r="CN182" s="641">
        <f t="shared" si="81"/>
        <v>999999999</v>
      </c>
      <c r="CO182" s="641">
        <f t="shared" si="82"/>
        <v>999999999</v>
      </c>
      <c r="CP182" s="641">
        <f t="shared" si="82"/>
        <v>999999999</v>
      </c>
      <c r="CQ182" s="641">
        <f t="shared" si="82"/>
        <v>999999999</v>
      </c>
      <c r="CR182" s="641">
        <f t="shared" si="82"/>
        <v>999999999</v>
      </c>
      <c r="CS182" s="641">
        <f t="shared" si="82"/>
        <v>999999999</v>
      </c>
      <c r="CT182" s="641">
        <f t="shared" si="82"/>
        <v>999999999</v>
      </c>
      <c r="CU182" s="641">
        <f t="shared" si="82"/>
        <v>999999999</v>
      </c>
      <c r="CV182" s="641">
        <f t="shared" si="82"/>
        <v>999999999</v>
      </c>
      <c r="CW182" s="641">
        <f t="shared" si="82"/>
        <v>999999999</v>
      </c>
      <c r="CX182" s="641">
        <f t="shared" si="82"/>
        <v>999999999</v>
      </c>
      <c r="CY182" s="641">
        <f t="shared" si="83"/>
        <v>999999999</v>
      </c>
      <c r="CZ182" s="641">
        <f t="shared" si="83"/>
        <v>999999999</v>
      </c>
      <c r="DA182" s="641">
        <f t="shared" si="83"/>
        <v>999999999</v>
      </c>
      <c r="DB182" s="641">
        <f t="shared" si="83"/>
        <v>999999999</v>
      </c>
      <c r="DC182" s="641">
        <f t="shared" si="83"/>
        <v>999999999</v>
      </c>
      <c r="DD182" s="641">
        <f t="shared" si="83"/>
        <v>999999999</v>
      </c>
      <c r="DE182" s="641">
        <f t="shared" si="83"/>
        <v>999999999</v>
      </c>
      <c r="DF182" s="641">
        <f t="shared" si="83"/>
        <v>999999999</v>
      </c>
      <c r="DG182" s="641">
        <f t="shared" si="83"/>
        <v>999999999</v>
      </c>
      <c r="DH182" s="641">
        <f t="shared" si="83"/>
        <v>999999999</v>
      </c>
      <c r="DI182" s="641">
        <f t="shared" si="84"/>
        <v>999999999</v>
      </c>
      <c r="DJ182" s="641">
        <f t="shared" si="84"/>
        <v>999999999</v>
      </c>
      <c r="DK182" s="641">
        <f t="shared" si="84"/>
        <v>999999999</v>
      </c>
      <c r="DL182" s="641">
        <f t="shared" si="84"/>
        <v>999999999</v>
      </c>
      <c r="DM182" s="641">
        <f t="shared" si="84"/>
        <v>999999999</v>
      </c>
      <c r="DN182" s="641">
        <f t="shared" si="84"/>
        <v>999999999</v>
      </c>
      <c r="DO182" s="641">
        <f t="shared" si="84"/>
        <v>999999999</v>
      </c>
      <c r="DP182" s="641">
        <f t="shared" si="84"/>
        <v>999999999</v>
      </c>
      <c r="DQ182" s="641">
        <f t="shared" si="84"/>
        <v>999999999</v>
      </c>
      <c r="DR182" s="641">
        <f t="shared" si="84"/>
        <v>999999999</v>
      </c>
      <c r="DS182" s="641">
        <f t="shared" si="85"/>
        <v>999999999</v>
      </c>
      <c r="DT182" s="641">
        <f t="shared" si="85"/>
        <v>999999999</v>
      </c>
      <c r="DU182" s="641">
        <f t="shared" si="85"/>
        <v>999999999</v>
      </c>
      <c r="DV182" s="641">
        <f t="shared" si="85"/>
        <v>999999999</v>
      </c>
      <c r="DW182" s="641">
        <f t="shared" si="85"/>
        <v>999999999</v>
      </c>
      <c r="DX182" s="641">
        <f t="shared" si="85"/>
        <v>999999999</v>
      </c>
      <c r="DY182" s="641">
        <f t="shared" si="85"/>
        <v>999999999</v>
      </c>
      <c r="DZ182" s="641">
        <f t="shared" si="85"/>
        <v>999999999</v>
      </c>
      <c r="EA182" s="641">
        <f t="shared" si="85"/>
        <v>999999999</v>
      </c>
      <c r="EB182" s="641">
        <f t="shared" si="85"/>
        <v>999999999</v>
      </c>
      <c r="EC182" s="641">
        <f t="shared" si="85"/>
        <v>999999999</v>
      </c>
    </row>
    <row r="183" spans="12:133" ht="15.5">
      <c r="L183"/>
      <c r="M183"/>
      <c r="N183"/>
      <c r="O183"/>
      <c r="P183"/>
      <c r="Q183"/>
      <c r="R183"/>
      <c r="S183"/>
      <c r="T183"/>
      <c r="U183"/>
      <c r="V183"/>
      <c r="W183"/>
      <c r="X183"/>
      <c r="Y183"/>
      <c r="Z183"/>
      <c r="AA183"/>
      <c r="AB183" s="5">
        <f t="shared" si="86"/>
        <v>2</v>
      </c>
      <c r="AC183" s="128">
        <v>40</v>
      </c>
      <c r="AD183" s="129">
        <f t="shared" si="55"/>
        <v>8066.506604000002</v>
      </c>
      <c r="AF183" s="128">
        <v>40</v>
      </c>
      <c r="AG183" s="641">
        <f t="shared" ref="AG183:AP192" si="87">IF(VLOOKUP($AF183,$T$61:$X$161,2)+VLOOKUP(AG$142,$T$61:$X$161,$AF$141)+VLOOKUP(0,$T$61:$X$161,$AF$140)+VLOOKUP(0,$T$61:$X$161,5)+$Y$51+$Z$44-$U$17&lt;0,999999999,VLOOKUP($AF183,$T$61:$X$161,2)+VLOOKUP(AG$142,$T$61:$X$161,$AF$141)+VLOOKUP(0,$T$61:$X$161,$AF$140)+VLOOKUP(0,$T$61:$X$161,5)+$Y$51+$Z$44-$U$17)</f>
        <v>489661.50660399999</v>
      </c>
      <c r="AH183" s="641">
        <f t="shared" si="87"/>
        <v>426709.50660399999</v>
      </c>
      <c r="AI183" s="641">
        <f t="shared" si="87"/>
        <v>363757.50660399999</v>
      </c>
      <c r="AJ183" s="641">
        <f t="shared" si="87"/>
        <v>300805.50660399999</v>
      </c>
      <c r="AK183" s="641">
        <f t="shared" si="87"/>
        <v>237853.50660399999</v>
      </c>
      <c r="AL183" s="641">
        <f t="shared" si="87"/>
        <v>174901.50660399999</v>
      </c>
      <c r="AM183" s="641">
        <f t="shared" si="87"/>
        <v>112986.50660399999</v>
      </c>
      <c r="AN183" s="641">
        <f t="shared" si="87"/>
        <v>60526.506604000002</v>
      </c>
      <c r="AO183" s="641">
        <f t="shared" si="87"/>
        <v>8066.506604000002</v>
      </c>
      <c r="AP183" s="641">
        <f t="shared" si="87"/>
        <v>999999999</v>
      </c>
      <c r="AQ183" s="641">
        <f t="shared" ref="AQ183:AZ192" si="88">IF(VLOOKUP($AF183,$T$61:$X$161,2)+VLOOKUP(AQ$142,$T$61:$X$161,$AF$141)+VLOOKUP(0,$T$61:$X$161,$AF$140)+VLOOKUP(0,$T$61:$X$161,5)+$Y$51+$Z$44-$U$17&lt;0,999999999,VLOOKUP($AF183,$T$61:$X$161,2)+VLOOKUP(AQ$142,$T$61:$X$161,$AF$141)+VLOOKUP(0,$T$61:$X$161,$AF$140)+VLOOKUP(0,$T$61:$X$161,5)+$Y$51+$Z$44-$U$17)</f>
        <v>999999999</v>
      </c>
      <c r="AR183" s="641">
        <f t="shared" si="88"/>
        <v>999999999</v>
      </c>
      <c r="AS183" s="641">
        <f t="shared" si="88"/>
        <v>999999999</v>
      </c>
      <c r="AT183" s="641">
        <f t="shared" si="88"/>
        <v>999999999</v>
      </c>
      <c r="AU183" s="641">
        <f t="shared" si="88"/>
        <v>999999999</v>
      </c>
      <c r="AV183" s="641">
        <f t="shared" si="88"/>
        <v>999999999</v>
      </c>
      <c r="AW183" s="641">
        <f t="shared" si="88"/>
        <v>999999999</v>
      </c>
      <c r="AX183" s="641">
        <f t="shared" si="88"/>
        <v>999999999</v>
      </c>
      <c r="AY183" s="641">
        <f t="shared" si="88"/>
        <v>999999999</v>
      </c>
      <c r="AZ183" s="641">
        <f t="shared" si="88"/>
        <v>999999999</v>
      </c>
      <c r="BA183" s="641">
        <f t="shared" ref="BA183:BJ192" si="89">IF(VLOOKUP($AF183,$T$61:$X$161,2)+VLOOKUP(BA$142,$T$61:$X$161,$AF$141)+VLOOKUP(0,$T$61:$X$161,$AF$140)+VLOOKUP(0,$T$61:$X$161,5)+$Y$51+$Z$44-$U$17&lt;0,999999999,VLOOKUP($AF183,$T$61:$X$161,2)+VLOOKUP(BA$142,$T$61:$X$161,$AF$141)+VLOOKUP(0,$T$61:$X$161,$AF$140)+VLOOKUP(0,$T$61:$X$161,5)+$Y$51+$Z$44-$U$17)</f>
        <v>999999999</v>
      </c>
      <c r="BB183" s="641">
        <f t="shared" si="89"/>
        <v>999999999</v>
      </c>
      <c r="BC183" s="641">
        <f t="shared" si="89"/>
        <v>999999999</v>
      </c>
      <c r="BD183" s="641">
        <f t="shared" si="89"/>
        <v>999999999</v>
      </c>
      <c r="BE183" s="641">
        <f t="shared" si="89"/>
        <v>999999999</v>
      </c>
      <c r="BF183" s="641">
        <f t="shared" si="89"/>
        <v>999999999</v>
      </c>
      <c r="BG183" s="641">
        <f t="shared" si="89"/>
        <v>999999999</v>
      </c>
      <c r="BH183" s="641">
        <f t="shared" si="89"/>
        <v>999999999</v>
      </c>
      <c r="BI183" s="641">
        <f t="shared" si="89"/>
        <v>999999999</v>
      </c>
      <c r="BJ183" s="641">
        <f t="shared" si="89"/>
        <v>999999999</v>
      </c>
      <c r="BK183" s="641">
        <f t="shared" ref="BK183:BT192" si="90">IF(VLOOKUP($AF183,$T$61:$X$161,2)+VLOOKUP(BK$142,$T$61:$X$161,$AF$141)+VLOOKUP(0,$T$61:$X$161,$AF$140)+VLOOKUP(0,$T$61:$X$161,5)+$Y$51+$Z$44-$U$17&lt;0,999999999,VLOOKUP($AF183,$T$61:$X$161,2)+VLOOKUP(BK$142,$T$61:$X$161,$AF$141)+VLOOKUP(0,$T$61:$X$161,$AF$140)+VLOOKUP(0,$T$61:$X$161,5)+$Y$51+$Z$44-$U$17)</f>
        <v>999999999</v>
      </c>
      <c r="BL183" s="641">
        <f t="shared" si="90"/>
        <v>999999999</v>
      </c>
      <c r="BM183" s="641">
        <f t="shared" si="90"/>
        <v>999999999</v>
      </c>
      <c r="BN183" s="641">
        <f t="shared" si="90"/>
        <v>999999999</v>
      </c>
      <c r="BO183" s="641">
        <f t="shared" si="90"/>
        <v>999999999</v>
      </c>
      <c r="BP183" s="641">
        <f t="shared" si="90"/>
        <v>999999999</v>
      </c>
      <c r="BQ183" s="641">
        <f t="shared" si="90"/>
        <v>999999999</v>
      </c>
      <c r="BR183" s="641">
        <f t="shared" si="90"/>
        <v>999999999</v>
      </c>
      <c r="BS183" s="641">
        <f t="shared" si="90"/>
        <v>999999999</v>
      </c>
      <c r="BT183" s="641">
        <f t="shared" si="90"/>
        <v>999999999</v>
      </c>
      <c r="BU183" s="641">
        <f t="shared" ref="BU183:CD192" si="91">IF(VLOOKUP($AF183,$T$61:$X$161,2)+VLOOKUP(BU$142,$T$61:$X$161,$AF$141)+VLOOKUP(0,$T$61:$X$161,$AF$140)+VLOOKUP(0,$T$61:$X$161,5)+$Y$51+$Z$44-$U$17&lt;0,999999999,VLOOKUP($AF183,$T$61:$X$161,2)+VLOOKUP(BU$142,$T$61:$X$161,$AF$141)+VLOOKUP(0,$T$61:$X$161,$AF$140)+VLOOKUP(0,$T$61:$X$161,5)+$Y$51+$Z$44-$U$17)</f>
        <v>999999999</v>
      </c>
      <c r="BV183" s="641">
        <f t="shared" si="91"/>
        <v>999999999</v>
      </c>
      <c r="BW183" s="641">
        <f t="shared" si="91"/>
        <v>999999999</v>
      </c>
      <c r="BX183" s="641">
        <f t="shared" si="91"/>
        <v>999999999</v>
      </c>
      <c r="BY183" s="641">
        <f t="shared" si="91"/>
        <v>999999999</v>
      </c>
      <c r="BZ183" s="641">
        <f t="shared" si="91"/>
        <v>999999999</v>
      </c>
      <c r="CA183" s="641">
        <f t="shared" si="91"/>
        <v>999999999</v>
      </c>
      <c r="CB183" s="641">
        <f t="shared" si="91"/>
        <v>999999999</v>
      </c>
      <c r="CC183" s="641">
        <f t="shared" si="91"/>
        <v>999999999</v>
      </c>
      <c r="CD183" s="641">
        <f t="shared" si="91"/>
        <v>999999999</v>
      </c>
      <c r="CE183" s="641">
        <f t="shared" ref="CE183:CN192" si="92">IF(VLOOKUP($AF183,$T$61:$X$161,2)+VLOOKUP(CE$142,$T$61:$X$161,$AF$141)+VLOOKUP(0,$T$61:$X$161,$AF$140)+VLOOKUP(0,$T$61:$X$161,5)+$Y$51+$Z$44-$U$17&lt;0,999999999,VLOOKUP($AF183,$T$61:$X$161,2)+VLOOKUP(CE$142,$T$61:$X$161,$AF$141)+VLOOKUP(0,$T$61:$X$161,$AF$140)+VLOOKUP(0,$T$61:$X$161,5)+$Y$51+$Z$44-$U$17)</f>
        <v>999999999</v>
      </c>
      <c r="CF183" s="641">
        <f t="shared" si="92"/>
        <v>999999999</v>
      </c>
      <c r="CG183" s="641">
        <f t="shared" si="92"/>
        <v>999999999</v>
      </c>
      <c r="CH183" s="641">
        <f t="shared" si="92"/>
        <v>999999999</v>
      </c>
      <c r="CI183" s="641">
        <f t="shared" si="92"/>
        <v>999999999</v>
      </c>
      <c r="CJ183" s="641">
        <f t="shared" si="92"/>
        <v>999999999</v>
      </c>
      <c r="CK183" s="641">
        <f t="shared" si="92"/>
        <v>999999999</v>
      </c>
      <c r="CL183" s="641">
        <f t="shared" si="92"/>
        <v>999999999</v>
      </c>
      <c r="CM183" s="641">
        <f t="shared" si="92"/>
        <v>999999999</v>
      </c>
      <c r="CN183" s="641">
        <f t="shared" si="92"/>
        <v>999999999</v>
      </c>
      <c r="CO183" s="641">
        <f t="shared" ref="CO183:CX192" si="93">IF(VLOOKUP($AF183,$T$61:$X$161,2)+VLOOKUP(CO$142,$T$61:$X$161,$AF$141)+VLOOKUP(0,$T$61:$X$161,$AF$140)+VLOOKUP(0,$T$61:$X$161,5)+$Y$51+$Z$44-$U$17&lt;0,999999999,VLOOKUP($AF183,$T$61:$X$161,2)+VLOOKUP(CO$142,$T$61:$X$161,$AF$141)+VLOOKUP(0,$T$61:$X$161,$AF$140)+VLOOKUP(0,$T$61:$X$161,5)+$Y$51+$Z$44-$U$17)</f>
        <v>999999999</v>
      </c>
      <c r="CP183" s="641">
        <f t="shared" si="93"/>
        <v>999999999</v>
      </c>
      <c r="CQ183" s="641">
        <f t="shared" si="93"/>
        <v>999999999</v>
      </c>
      <c r="CR183" s="641">
        <f t="shared" si="93"/>
        <v>999999999</v>
      </c>
      <c r="CS183" s="641">
        <f t="shared" si="93"/>
        <v>999999999</v>
      </c>
      <c r="CT183" s="641">
        <f t="shared" si="93"/>
        <v>999999999</v>
      </c>
      <c r="CU183" s="641">
        <f t="shared" si="93"/>
        <v>999999999</v>
      </c>
      <c r="CV183" s="641">
        <f t="shared" si="93"/>
        <v>999999999</v>
      </c>
      <c r="CW183" s="641">
        <f t="shared" si="93"/>
        <v>999999999</v>
      </c>
      <c r="CX183" s="641">
        <f t="shared" si="93"/>
        <v>999999999</v>
      </c>
      <c r="CY183" s="641">
        <f t="shared" ref="CY183:DH192" si="94">IF(VLOOKUP($AF183,$T$61:$X$161,2)+VLOOKUP(CY$142,$T$61:$X$161,$AF$141)+VLOOKUP(0,$T$61:$X$161,$AF$140)+VLOOKUP(0,$T$61:$X$161,5)+$Y$51+$Z$44-$U$17&lt;0,999999999,VLOOKUP($AF183,$T$61:$X$161,2)+VLOOKUP(CY$142,$T$61:$X$161,$AF$141)+VLOOKUP(0,$T$61:$X$161,$AF$140)+VLOOKUP(0,$T$61:$X$161,5)+$Y$51+$Z$44-$U$17)</f>
        <v>999999999</v>
      </c>
      <c r="CZ183" s="641">
        <f t="shared" si="94"/>
        <v>999999999</v>
      </c>
      <c r="DA183" s="641">
        <f t="shared" si="94"/>
        <v>999999999</v>
      </c>
      <c r="DB183" s="641">
        <f t="shared" si="94"/>
        <v>999999999</v>
      </c>
      <c r="DC183" s="641">
        <f t="shared" si="94"/>
        <v>999999999</v>
      </c>
      <c r="DD183" s="641">
        <f t="shared" si="94"/>
        <v>999999999</v>
      </c>
      <c r="DE183" s="641">
        <f t="shared" si="94"/>
        <v>999999999</v>
      </c>
      <c r="DF183" s="641">
        <f t="shared" si="94"/>
        <v>999999999</v>
      </c>
      <c r="DG183" s="641">
        <f t="shared" si="94"/>
        <v>999999999</v>
      </c>
      <c r="DH183" s="641">
        <f t="shared" si="94"/>
        <v>999999999</v>
      </c>
      <c r="DI183" s="641">
        <f t="shared" ref="DI183:DR192" si="95">IF(VLOOKUP($AF183,$T$61:$X$161,2)+VLOOKUP(DI$142,$T$61:$X$161,$AF$141)+VLOOKUP(0,$T$61:$X$161,$AF$140)+VLOOKUP(0,$T$61:$X$161,5)+$Y$51+$Z$44-$U$17&lt;0,999999999,VLOOKUP($AF183,$T$61:$X$161,2)+VLOOKUP(DI$142,$T$61:$X$161,$AF$141)+VLOOKUP(0,$T$61:$X$161,$AF$140)+VLOOKUP(0,$T$61:$X$161,5)+$Y$51+$Z$44-$U$17)</f>
        <v>999999999</v>
      </c>
      <c r="DJ183" s="641">
        <f t="shared" si="95"/>
        <v>999999999</v>
      </c>
      <c r="DK183" s="641">
        <f t="shared" si="95"/>
        <v>999999999</v>
      </c>
      <c r="DL183" s="641">
        <f t="shared" si="95"/>
        <v>999999999</v>
      </c>
      <c r="DM183" s="641">
        <f t="shared" si="95"/>
        <v>999999999</v>
      </c>
      <c r="DN183" s="641">
        <f t="shared" si="95"/>
        <v>999999999</v>
      </c>
      <c r="DO183" s="641">
        <f t="shared" si="95"/>
        <v>999999999</v>
      </c>
      <c r="DP183" s="641">
        <f t="shared" si="95"/>
        <v>999999999</v>
      </c>
      <c r="DQ183" s="641">
        <f t="shared" si="95"/>
        <v>999999999</v>
      </c>
      <c r="DR183" s="641">
        <f t="shared" si="95"/>
        <v>999999999</v>
      </c>
      <c r="DS183" s="641">
        <f t="shared" ref="DS183:EC192" si="96">IF(VLOOKUP($AF183,$T$61:$X$161,2)+VLOOKUP(DS$142,$T$61:$X$161,$AF$141)+VLOOKUP(0,$T$61:$X$161,$AF$140)+VLOOKUP(0,$T$61:$X$161,5)+$Y$51+$Z$44-$U$17&lt;0,999999999,VLOOKUP($AF183,$T$61:$X$161,2)+VLOOKUP(DS$142,$T$61:$X$161,$AF$141)+VLOOKUP(0,$T$61:$X$161,$AF$140)+VLOOKUP(0,$T$61:$X$161,5)+$Y$51+$Z$44-$U$17)</f>
        <v>999999999</v>
      </c>
      <c r="DT183" s="641">
        <f t="shared" si="96"/>
        <v>999999999</v>
      </c>
      <c r="DU183" s="641">
        <f t="shared" si="96"/>
        <v>999999999</v>
      </c>
      <c r="DV183" s="641">
        <f t="shared" si="96"/>
        <v>999999999</v>
      </c>
      <c r="DW183" s="641">
        <f t="shared" si="96"/>
        <v>999999999</v>
      </c>
      <c r="DX183" s="641">
        <f t="shared" si="96"/>
        <v>999999999</v>
      </c>
      <c r="DY183" s="641">
        <f t="shared" si="96"/>
        <v>999999999</v>
      </c>
      <c r="DZ183" s="641">
        <f t="shared" si="96"/>
        <v>999999999</v>
      </c>
      <c r="EA183" s="641">
        <f t="shared" si="96"/>
        <v>999999999</v>
      </c>
      <c r="EB183" s="641">
        <f t="shared" si="96"/>
        <v>999999999</v>
      </c>
      <c r="EC183" s="641">
        <f t="shared" si="96"/>
        <v>999999999</v>
      </c>
    </row>
    <row r="184" spans="12:133" ht="15.5">
      <c r="L184"/>
      <c r="M184"/>
      <c r="N184"/>
      <c r="O184"/>
      <c r="P184"/>
      <c r="Q184"/>
      <c r="R184"/>
      <c r="S184"/>
      <c r="T184"/>
      <c r="U184"/>
      <c r="V184"/>
      <c r="W184"/>
      <c r="X184"/>
      <c r="Y184"/>
      <c r="Z184"/>
      <c r="AA184"/>
      <c r="AB184" s="5">
        <f t="shared" si="86"/>
        <v>2</v>
      </c>
      <c r="AC184" s="128">
        <v>41</v>
      </c>
      <c r="AD184" s="129">
        <f t="shared" si="55"/>
        <v>8066.506604000002</v>
      </c>
      <c r="AF184" s="128">
        <v>41</v>
      </c>
      <c r="AG184" s="641">
        <f t="shared" si="87"/>
        <v>489661.50660399999</v>
      </c>
      <c r="AH184" s="641">
        <f t="shared" si="87"/>
        <v>426709.50660399999</v>
      </c>
      <c r="AI184" s="641">
        <f t="shared" si="87"/>
        <v>363757.50660399999</v>
      </c>
      <c r="AJ184" s="641">
        <f t="shared" si="87"/>
        <v>300805.50660399999</v>
      </c>
      <c r="AK184" s="641">
        <f t="shared" si="87"/>
        <v>237853.50660399999</v>
      </c>
      <c r="AL184" s="641">
        <f t="shared" si="87"/>
        <v>174901.50660399999</v>
      </c>
      <c r="AM184" s="641">
        <f t="shared" si="87"/>
        <v>112986.50660399999</v>
      </c>
      <c r="AN184" s="641">
        <f t="shared" si="87"/>
        <v>60526.506604000002</v>
      </c>
      <c r="AO184" s="641">
        <f t="shared" si="87"/>
        <v>8066.506604000002</v>
      </c>
      <c r="AP184" s="641">
        <f t="shared" si="87"/>
        <v>999999999</v>
      </c>
      <c r="AQ184" s="641">
        <f t="shared" si="88"/>
        <v>999999999</v>
      </c>
      <c r="AR184" s="641">
        <f t="shared" si="88"/>
        <v>999999999</v>
      </c>
      <c r="AS184" s="641">
        <f t="shared" si="88"/>
        <v>999999999</v>
      </c>
      <c r="AT184" s="641">
        <f t="shared" si="88"/>
        <v>999999999</v>
      </c>
      <c r="AU184" s="641">
        <f t="shared" si="88"/>
        <v>999999999</v>
      </c>
      <c r="AV184" s="641">
        <f t="shared" si="88"/>
        <v>999999999</v>
      </c>
      <c r="AW184" s="641">
        <f t="shared" si="88"/>
        <v>999999999</v>
      </c>
      <c r="AX184" s="641">
        <f t="shared" si="88"/>
        <v>999999999</v>
      </c>
      <c r="AY184" s="641">
        <f t="shared" si="88"/>
        <v>999999999</v>
      </c>
      <c r="AZ184" s="641">
        <f t="shared" si="88"/>
        <v>999999999</v>
      </c>
      <c r="BA184" s="641">
        <f t="shared" si="89"/>
        <v>999999999</v>
      </c>
      <c r="BB184" s="641">
        <f t="shared" si="89"/>
        <v>999999999</v>
      </c>
      <c r="BC184" s="641">
        <f t="shared" si="89"/>
        <v>999999999</v>
      </c>
      <c r="BD184" s="641">
        <f t="shared" si="89"/>
        <v>999999999</v>
      </c>
      <c r="BE184" s="641">
        <f t="shared" si="89"/>
        <v>999999999</v>
      </c>
      <c r="BF184" s="641">
        <f t="shared" si="89"/>
        <v>999999999</v>
      </c>
      <c r="BG184" s="641">
        <f t="shared" si="89"/>
        <v>999999999</v>
      </c>
      <c r="BH184" s="641">
        <f t="shared" si="89"/>
        <v>999999999</v>
      </c>
      <c r="BI184" s="641">
        <f t="shared" si="89"/>
        <v>999999999</v>
      </c>
      <c r="BJ184" s="641">
        <f t="shared" si="89"/>
        <v>999999999</v>
      </c>
      <c r="BK184" s="641">
        <f t="shared" si="90"/>
        <v>999999999</v>
      </c>
      <c r="BL184" s="641">
        <f t="shared" si="90"/>
        <v>999999999</v>
      </c>
      <c r="BM184" s="641">
        <f t="shared" si="90"/>
        <v>999999999</v>
      </c>
      <c r="BN184" s="641">
        <f t="shared" si="90"/>
        <v>999999999</v>
      </c>
      <c r="BO184" s="641">
        <f t="shared" si="90"/>
        <v>999999999</v>
      </c>
      <c r="BP184" s="641">
        <f t="shared" si="90"/>
        <v>999999999</v>
      </c>
      <c r="BQ184" s="641">
        <f t="shared" si="90"/>
        <v>999999999</v>
      </c>
      <c r="BR184" s="641">
        <f t="shared" si="90"/>
        <v>999999999</v>
      </c>
      <c r="BS184" s="641">
        <f t="shared" si="90"/>
        <v>999999999</v>
      </c>
      <c r="BT184" s="641">
        <f t="shared" si="90"/>
        <v>999999999</v>
      </c>
      <c r="BU184" s="641">
        <f t="shared" si="91"/>
        <v>999999999</v>
      </c>
      <c r="BV184" s="641">
        <f t="shared" si="91"/>
        <v>999999999</v>
      </c>
      <c r="BW184" s="641">
        <f t="shared" si="91"/>
        <v>999999999</v>
      </c>
      <c r="BX184" s="641">
        <f t="shared" si="91"/>
        <v>999999999</v>
      </c>
      <c r="BY184" s="641">
        <f t="shared" si="91"/>
        <v>999999999</v>
      </c>
      <c r="BZ184" s="641">
        <f t="shared" si="91"/>
        <v>999999999</v>
      </c>
      <c r="CA184" s="641">
        <f t="shared" si="91"/>
        <v>999999999</v>
      </c>
      <c r="CB184" s="641">
        <f t="shared" si="91"/>
        <v>999999999</v>
      </c>
      <c r="CC184" s="641">
        <f t="shared" si="91"/>
        <v>999999999</v>
      </c>
      <c r="CD184" s="641">
        <f t="shared" si="91"/>
        <v>999999999</v>
      </c>
      <c r="CE184" s="641">
        <f t="shared" si="92"/>
        <v>999999999</v>
      </c>
      <c r="CF184" s="641">
        <f t="shared" si="92"/>
        <v>999999999</v>
      </c>
      <c r="CG184" s="641">
        <f t="shared" si="92"/>
        <v>999999999</v>
      </c>
      <c r="CH184" s="641">
        <f t="shared" si="92"/>
        <v>999999999</v>
      </c>
      <c r="CI184" s="641">
        <f t="shared" si="92"/>
        <v>999999999</v>
      </c>
      <c r="CJ184" s="641">
        <f t="shared" si="92"/>
        <v>999999999</v>
      </c>
      <c r="CK184" s="641">
        <f t="shared" si="92"/>
        <v>999999999</v>
      </c>
      <c r="CL184" s="641">
        <f t="shared" si="92"/>
        <v>999999999</v>
      </c>
      <c r="CM184" s="641">
        <f t="shared" si="92"/>
        <v>999999999</v>
      </c>
      <c r="CN184" s="641">
        <f t="shared" si="92"/>
        <v>999999999</v>
      </c>
      <c r="CO184" s="641">
        <f t="shared" si="93"/>
        <v>999999999</v>
      </c>
      <c r="CP184" s="641">
        <f t="shared" si="93"/>
        <v>999999999</v>
      </c>
      <c r="CQ184" s="641">
        <f t="shared" si="93"/>
        <v>999999999</v>
      </c>
      <c r="CR184" s="641">
        <f t="shared" si="93"/>
        <v>999999999</v>
      </c>
      <c r="CS184" s="641">
        <f t="shared" si="93"/>
        <v>999999999</v>
      </c>
      <c r="CT184" s="641">
        <f t="shared" si="93"/>
        <v>999999999</v>
      </c>
      <c r="CU184" s="641">
        <f t="shared" si="93"/>
        <v>999999999</v>
      </c>
      <c r="CV184" s="641">
        <f t="shared" si="93"/>
        <v>999999999</v>
      </c>
      <c r="CW184" s="641">
        <f t="shared" si="93"/>
        <v>999999999</v>
      </c>
      <c r="CX184" s="641">
        <f t="shared" si="93"/>
        <v>999999999</v>
      </c>
      <c r="CY184" s="641">
        <f t="shared" si="94"/>
        <v>999999999</v>
      </c>
      <c r="CZ184" s="641">
        <f t="shared" si="94"/>
        <v>999999999</v>
      </c>
      <c r="DA184" s="641">
        <f t="shared" si="94"/>
        <v>999999999</v>
      </c>
      <c r="DB184" s="641">
        <f t="shared" si="94"/>
        <v>999999999</v>
      </c>
      <c r="DC184" s="641">
        <f t="shared" si="94"/>
        <v>999999999</v>
      </c>
      <c r="DD184" s="641">
        <f t="shared" si="94"/>
        <v>999999999</v>
      </c>
      <c r="DE184" s="641">
        <f t="shared" si="94"/>
        <v>999999999</v>
      </c>
      <c r="DF184" s="641">
        <f t="shared" si="94"/>
        <v>999999999</v>
      </c>
      <c r="DG184" s="641">
        <f t="shared" si="94"/>
        <v>999999999</v>
      </c>
      <c r="DH184" s="641">
        <f t="shared" si="94"/>
        <v>999999999</v>
      </c>
      <c r="DI184" s="641">
        <f t="shared" si="95"/>
        <v>999999999</v>
      </c>
      <c r="DJ184" s="641">
        <f t="shared" si="95"/>
        <v>999999999</v>
      </c>
      <c r="DK184" s="641">
        <f t="shared" si="95"/>
        <v>999999999</v>
      </c>
      <c r="DL184" s="641">
        <f t="shared" si="95"/>
        <v>999999999</v>
      </c>
      <c r="DM184" s="641">
        <f t="shared" si="95"/>
        <v>999999999</v>
      </c>
      <c r="DN184" s="641">
        <f t="shared" si="95"/>
        <v>999999999</v>
      </c>
      <c r="DO184" s="641">
        <f t="shared" si="95"/>
        <v>999999999</v>
      </c>
      <c r="DP184" s="641">
        <f t="shared" si="95"/>
        <v>999999999</v>
      </c>
      <c r="DQ184" s="641">
        <f t="shared" si="95"/>
        <v>999999999</v>
      </c>
      <c r="DR184" s="641">
        <f t="shared" si="95"/>
        <v>999999999</v>
      </c>
      <c r="DS184" s="641">
        <f t="shared" si="96"/>
        <v>999999999</v>
      </c>
      <c r="DT184" s="641">
        <f t="shared" si="96"/>
        <v>999999999</v>
      </c>
      <c r="DU184" s="641">
        <f t="shared" si="96"/>
        <v>999999999</v>
      </c>
      <c r="DV184" s="641">
        <f t="shared" si="96"/>
        <v>999999999</v>
      </c>
      <c r="DW184" s="641">
        <f t="shared" si="96"/>
        <v>999999999</v>
      </c>
      <c r="DX184" s="641">
        <f t="shared" si="96"/>
        <v>999999999</v>
      </c>
      <c r="DY184" s="641">
        <f t="shared" si="96"/>
        <v>999999999</v>
      </c>
      <c r="DZ184" s="641">
        <f t="shared" si="96"/>
        <v>999999999</v>
      </c>
      <c r="EA184" s="641">
        <f t="shared" si="96"/>
        <v>999999999</v>
      </c>
      <c r="EB184" s="641">
        <f t="shared" si="96"/>
        <v>999999999</v>
      </c>
      <c r="EC184" s="641">
        <f t="shared" si="96"/>
        <v>999999999</v>
      </c>
    </row>
    <row r="185" spans="12:133" ht="15.5">
      <c r="L185"/>
      <c r="M185"/>
      <c r="N185"/>
      <c r="O185"/>
      <c r="P185"/>
      <c r="Q185"/>
      <c r="R185"/>
      <c r="S185"/>
      <c r="T185"/>
      <c r="U185"/>
      <c r="V185"/>
      <c r="W185"/>
      <c r="X185"/>
      <c r="Y185"/>
      <c r="Z185"/>
      <c r="AA185"/>
      <c r="AB185" s="5">
        <f t="shared" si="86"/>
        <v>2</v>
      </c>
      <c r="AC185" s="128">
        <v>42</v>
      </c>
      <c r="AD185" s="129">
        <f t="shared" si="55"/>
        <v>8066.506604000002</v>
      </c>
      <c r="AF185" s="128">
        <v>42</v>
      </c>
      <c r="AG185" s="641">
        <f t="shared" si="87"/>
        <v>489661.50660399999</v>
      </c>
      <c r="AH185" s="641">
        <f t="shared" si="87"/>
        <v>426709.50660399999</v>
      </c>
      <c r="AI185" s="641">
        <f t="shared" si="87"/>
        <v>363757.50660399999</v>
      </c>
      <c r="AJ185" s="641">
        <f t="shared" si="87"/>
        <v>300805.50660399999</v>
      </c>
      <c r="AK185" s="641">
        <f t="shared" si="87"/>
        <v>237853.50660399999</v>
      </c>
      <c r="AL185" s="641">
        <f t="shared" si="87"/>
        <v>174901.50660399999</v>
      </c>
      <c r="AM185" s="641">
        <f t="shared" si="87"/>
        <v>112986.50660399999</v>
      </c>
      <c r="AN185" s="641">
        <f t="shared" si="87"/>
        <v>60526.506604000002</v>
      </c>
      <c r="AO185" s="641">
        <f t="shared" si="87"/>
        <v>8066.506604000002</v>
      </c>
      <c r="AP185" s="641">
        <f t="shared" si="87"/>
        <v>999999999</v>
      </c>
      <c r="AQ185" s="641">
        <f t="shared" si="88"/>
        <v>999999999</v>
      </c>
      <c r="AR185" s="641">
        <f t="shared" si="88"/>
        <v>999999999</v>
      </c>
      <c r="AS185" s="641">
        <f t="shared" si="88"/>
        <v>999999999</v>
      </c>
      <c r="AT185" s="641">
        <f t="shared" si="88"/>
        <v>999999999</v>
      </c>
      <c r="AU185" s="641">
        <f t="shared" si="88"/>
        <v>999999999</v>
      </c>
      <c r="AV185" s="641">
        <f t="shared" si="88"/>
        <v>999999999</v>
      </c>
      <c r="AW185" s="641">
        <f t="shared" si="88"/>
        <v>999999999</v>
      </c>
      <c r="AX185" s="641">
        <f t="shared" si="88"/>
        <v>999999999</v>
      </c>
      <c r="AY185" s="641">
        <f t="shared" si="88"/>
        <v>999999999</v>
      </c>
      <c r="AZ185" s="641">
        <f t="shared" si="88"/>
        <v>999999999</v>
      </c>
      <c r="BA185" s="641">
        <f t="shared" si="89"/>
        <v>999999999</v>
      </c>
      <c r="BB185" s="641">
        <f t="shared" si="89"/>
        <v>999999999</v>
      </c>
      <c r="BC185" s="641">
        <f t="shared" si="89"/>
        <v>999999999</v>
      </c>
      <c r="BD185" s="641">
        <f t="shared" si="89"/>
        <v>999999999</v>
      </c>
      <c r="BE185" s="641">
        <f t="shared" si="89"/>
        <v>999999999</v>
      </c>
      <c r="BF185" s="641">
        <f t="shared" si="89"/>
        <v>999999999</v>
      </c>
      <c r="BG185" s="641">
        <f t="shared" si="89"/>
        <v>999999999</v>
      </c>
      <c r="BH185" s="641">
        <f t="shared" si="89"/>
        <v>999999999</v>
      </c>
      <c r="BI185" s="641">
        <f t="shared" si="89"/>
        <v>999999999</v>
      </c>
      <c r="BJ185" s="641">
        <f t="shared" si="89"/>
        <v>999999999</v>
      </c>
      <c r="BK185" s="641">
        <f t="shared" si="90"/>
        <v>999999999</v>
      </c>
      <c r="BL185" s="641">
        <f t="shared" si="90"/>
        <v>999999999</v>
      </c>
      <c r="BM185" s="641">
        <f t="shared" si="90"/>
        <v>999999999</v>
      </c>
      <c r="BN185" s="641">
        <f t="shared" si="90"/>
        <v>999999999</v>
      </c>
      <c r="BO185" s="641">
        <f t="shared" si="90"/>
        <v>999999999</v>
      </c>
      <c r="BP185" s="641">
        <f t="shared" si="90"/>
        <v>999999999</v>
      </c>
      <c r="BQ185" s="641">
        <f t="shared" si="90"/>
        <v>999999999</v>
      </c>
      <c r="BR185" s="641">
        <f t="shared" si="90"/>
        <v>999999999</v>
      </c>
      <c r="BS185" s="641">
        <f t="shared" si="90"/>
        <v>999999999</v>
      </c>
      <c r="BT185" s="641">
        <f t="shared" si="90"/>
        <v>999999999</v>
      </c>
      <c r="BU185" s="641">
        <f t="shared" si="91"/>
        <v>999999999</v>
      </c>
      <c r="BV185" s="641">
        <f t="shared" si="91"/>
        <v>999999999</v>
      </c>
      <c r="BW185" s="641">
        <f t="shared" si="91"/>
        <v>999999999</v>
      </c>
      <c r="BX185" s="641">
        <f t="shared" si="91"/>
        <v>999999999</v>
      </c>
      <c r="BY185" s="641">
        <f t="shared" si="91"/>
        <v>999999999</v>
      </c>
      <c r="BZ185" s="641">
        <f t="shared" si="91"/>
        <v>999999999</v>
      </c>
      <c r="CA185" s="641">
        <f t="shared" si="91"/>
        <v>999999999</v>
      </c>
      <c r="CB185" s="641">
        <f t="shared" si="91"/>
        <v>999999999</v>
      </c>
      <c r="CC185" s="641">
        <f t="shared" si="91"/>
        <v>999999999</v>
      </c>
      <c r="CD185" s="641">
        <f t="shared" si="91"/>
        <v>999999999</v>
      </c>
      <c r="CE185" s="641">
        <f t="shared" si="92"/>
        <v>999999999</v>
      </c>
      <c r="CF185" s="641">
        <f t="shared" si="92"/>
        <v>999999999</v>
      </c>
      <c r="CG185" s="641">
        <f t="shared" si="92"/>
        <v>999999999</v>
      </c>
      <c r="CH185" s="641">
        <f t="shared" si="92"/>
        <v>999999999</v>
      </c>
      <c r="CI185" s="641">
        <f t="shared" si="92"/>
        <v>999999999</v>
      </c>
      <c r="CJ185" s="641">
        <f t="shared" si="92"/>
        <v>999999999</v>
      </c>
      <c r="CK185" s="641">
        <f t="shared" si="92"/>
        <v>999999999</v>
      </c>
      <c r="CL185" s="641">
        <f t="shared" si="92"/>
        <v>999999999</v>
      </c>
      <c r="CM185" s="641">
        <f t="shared" si="92"/>
        <v>999999999</v>
      </c>
      <c r="CN185" s="641">
        <f t="shared" si="92"/>
        <v>999999999</v>
      </c>
      <c r="CO185" s="641">
        <f t="shared" si="93"/>
        <v>999999999</v>
      </c>
      <c r="CP185" s="641">
        <f t="shared" si="93"/>
        <v>999999999</v>
      </c>
      <c r="CQ185" s="641">
        <f t="shared" si="93"/>
        <v>999999999</v>
      </c>
      <c r="CR185" s="641">
        <f t="shared" si="93"/>
        <v>999999999</v>
      </c>
      <c r="CS185" s="641">
        <f t="shared" si="93"/>
        <v>999999999</v>
      </c>
      <c r="CT185" s="641">
        <f t="shared" si="93"/>
        <v>999999999</v>
      </c>
      <c r="CU185" s="641">
        <f t="shared" si="93"/>
        <v>999999999</v>
      </c>
      <c r="CV185" s="641">
        <f t="shared" si="93"/>
        <v>999999999</v>
      </c>
      <c r="CW185" s="641">
        <f t="shared" si="93"/>
        <v>999999999</v>
      </c>
      <c r="CX185" s="641">
        <f t="shared" si="93"/>
        <v>999999999</v>
      </c>
      <c r="CY185" s="641">
        <f t="shared" si="94"/>
        <v>999999999</v>
      </c>
      <c r="CZ185" s="641">
        <f t="shared" si="94"/>
        <v>999999999</v>
      </c>
      <c r="DA185" s="641">
        <f t="shared" si="94"/>
        <v>999999999</v>
      </c>
      <c r="DB185" s="641">
        <f t="shared" si="94"/>
        <v>999999999</v>
      </c>
      <c r="DC185" s="641">
        <f t="shared" si="94"/>
        <v>999999999</v>
      </c>
      <c r="DD185" s="641">
        <f t="shared" si="94"/>
        <v>999999999</v>
      </c>
      <c r="DE185" s="641">
        <f t="shared" si="94"/>
        <v>999999999</v>
      </c>
      <c r="DF185" s="641">
        <f t="shared" si="94"/>
        <v>999999999</v>
      </c>
      <c r="DG185" s="641">
        <f t="shared" si="94"/>
        <v>999999999</v>
      </c>
      <c r="DH185" s="641">
        <f t="shared" si="94"/>
        <v>999999999</v>
      </c>
      <c r="DI185" s="641">
        <f t="shared" si="95"/>
        <v>999999999</v>
      </c>
      <c r="DJ185" s="641">
        <f t="shared" si="95"/>
        <v>999999999</v>
      </c>
      <c r="DK185" s="641">
        <f t="shared" si="95"/>
        <v>999999999</v>
      </c>
      <c r="DL185" s="641">
        <f t="shared" si="95"/>
        <v>999999999</v>
      </c>
      <c r="DM185" s="641">
        <f t="shared" si="95"/>
        <v>999999999</v>
      </c>
      <c r="DN185" s="641">
        <f t="shared" si="95"/>
        <v>999999999</v>
      </c>
      <c r="DO185" s="641">
        <f t="shared" si="95"/>
        <v>999999999</v>
      </c>
      <c r="DP185" s="641">
        <f t="shared" si="95"/>
        <v>999999999</v>
      </c>
      <c r="DQ185" s="641">
        <f t="shared" si="95"/>
        <v>999999999</v>
      </c>
      <c r="DR185" s="641">
        <f t="shared" si="95"/>
        <v>999999999</v>
      </c>
      <c r="DS185" s="641">
        <f t="shared" si="96"/>
        <v>999999999</v>
      </c>
      <c r="DT185" s="641">
        <f t="shared" si="96"/>
        <v>999999999</v>
      </c>
      <c r="DU185" s="641">
        <f t="shared" si="96"/>
        <v>999999999</v>
      </c>
      <c r="DV185" s="641">
        <f t="shared" si="96"/>
        <v>999999999</v>
      </c>
      <c r="DW185" s="641">
        <f t="shared" si="96"/>
        <v>999999999</v>
      </c>
      <c r="DX185" s="641">
        <f t="shared" si="96"/>
        <v>999999999</v>
      </c>
      <c r="DY185" s="641">
        <f t="shared" si="96"/>
        <v>999999999</v>
      </c>
      <c r="DZ185" s="641">
        <f t="shared" si="96"/>
        <v>999999999</v>
      </c>
      <c r="EA185" s="641">
        <f t="shared" si="96"/>
        <v>999999999</v>
      </c>
      <c r="EB185" s="641">
        <f t="shared" si="96"/>
        <v>999999999</v>
      </c>
      <c r="EC185" s="641">
        <f t="shared" si="96"/>
        <v>999999999</v>
      </c>
    </row>
    <row r="186" spans="12:133" ht="15.5">
      <c r="T186"/>
      <c r="U186"/>
      <c r="V186"/>
      <c r="W186"/>
      <c r="X186"/>
      <c r="Y186"/>
      <c r="AB186" s="5">
        <f t="shared" si="86"/>
        <v>2</v>
      </c>
      <c r="AC186" s="128">
        <v>43</v>
      </c>
      <c r="AD186" s="129">
        <f t="shared" si="55"/>
        <v>8066.506604000002</v>
      </c>
      <c r="AF186" s="128">
        <v>43</v>
      </c>
      <c r="AG186" s="641">
        <f t="shared" si="87"/>
        <v>489661.50660399999</v>
      </c>
      <c r="AH186" s="641">
        <f t="shared" si="87"/>
        <v>426709.50660399999</v>
      </c>
      <c r="AI186" s="641">
        <f t="shared" si="87"/>
        <v>363757.50660399999</v>
      </c>
      <c r="AJ186" s="641">
        <f t="shared" si="87"/>
        <v>300805.50660399999</v>
      </c>
      <c r="AK186" s="641">
        <f t="shared" si="87"/>
        <v>237853.50660399999</v>
      </c>
      <c r="AL186" s="641">
        <f t="shared" si="87"/>
        <v>174901.50660399999</v>
      </c>
      <c r="AM186" s="641">
        <f t="shared" si="87"/>
        <v>112986.50660399999</v>
      </c>
      <c r="AN186" s="641">
        <f t="shared" si="87"/>
        <v>60526.506604000002</v>
      </c>
      <c r="AO186" s="641">
        <f t="shared" si="87"/>
        <v>8066.506604000002</v>
      </c>
      <c r="AP186" s="641">
        <f t="shared" si="87"/>
        <v>999999999</v>
      </c>
      <c r="AQ186" s="641">
        <f t="shared" si="88"/>
        <v>999999999</v>
      </c>
      <c r="AR186" s="641">
        <f t="shared" si="88"/>
        <v>999999999</v>
      </c>
      <c r="AS186" s="641">
        <f t="shared" si="88"/>
        <v>999999999</v>
      </c>
      <c r="AT186" s="641">
        <f t="shared" si="88"/>
        <v>999999999</v>
      </c>
      <c r="AU186" s="641">
        <f t="shared" si="88"/>
        <v>999999999</v>
      </c>
      <c r="AV186" s="641">
        <f t="shared" si="88"/>
        <v>999999999</v>
      </c>
      <c r="AW186" s="641">
        <f t="shared" si="88"/>
        <v>999999999</v>
      </c>
      <c r="AX186" s="641">
        <f t="shared" si="88"/>
        <v>999999999</v>
      </c>
      <c r="AY186" s="641">
        <f t="shared" si="88"/>
        <v>999999999</v>
      </c>
      <c r="AZ186" s="641">
        <f t="shared" si="88"/>
        <v>999999999</v>
      </c>
      <c r="BA186" s="641">
        <f t="shared" si="89"/>
        <v>999999999</v>
      </c>
      <c r="BB186" s="641">
        <f t="shared" si="89"/>
        <v>999999999</v>
      </c>
      <c r="BC186" s="641">
        <f t="shared" si="89"/>
        <v>999999999</v>
      </c>
      <c r="BD186" s="641">
        <f t="shared" si="89"/>
        <v>999999999</v>
      </c>
      <c r="BE186" s="641">
        <f t="shared" si="89"/>
        <v>999999999</v>
      </c>
      <c r="BF186" s="641">
        <f t="shared" si="89"/>
        <v>999999999</v>
      </c>
      <c r="BG186" s="641">
        <f t="shared" si="89"/>
        <v>999999999</v>
      </c>
      <c r="BH186" s="641">
        <f t="shared" si="89"/>
        <v>999999999</v>
      </c>
      <c r="BI186" s="641">
        <f t="shared" si="89"/>
        <v>999999999</v>
      </c>
      <c r="BJ186" s="641">
        <f t="shared" si="89"/>
        <v>999999999</v>
      </c>
      <c r="BK186" s="641">
        <f t="shared" si="90"/>
        <v>999999999</v>
      </c>
      <c r="BL186" s="641">
        <f t="shared" si="90"/>
        <v>999999999</v>
      </c>
      <c r="BM186" s="641">
        <f t="shared" si="90"/>
        <v>999999999</v>
      </c>
      <c r="BN186" s="641">
        <f t="shared" si="90"/>
        <v>999999999</v>
      </c>
      <c r="BO186" s="641">
        <f t="shared" si="90"/>
        <v>999999999</v>
      </c>
      <c r="BP186" s="641">
        <f t="shared" si="90"/>
        <v>999999999</v>
      </c>
      <c r="BQ186" s="641">
        <f t="shared" si="90"/>
        <v>999999999</v>
      </c>
      <c r="BR186" s="641">
        <f t="shared" si="90"/>
        <v>999999999</v>
      </c>
      <c r="BS186" s="641">
        <f t="shared" si="90"/>
        <v>999999999</v>
      </c>
      <c r="BT186" s="641">
        <f t="shared" si="90"/>
        <v>999999999</v>
      </c>
      <c r="BU186" s="641">
        <f t="shared" si="91"/>
        <v>999999999</v>
      </c>
      <c r="BV186" s="641">
        <f t="shared" si="91"/>
        <v>999999999</v>
      </c>
      <c r="BW186" s="641">
        <f t="shared" si="91"/>
        <v>999999999</v>
      </c>
      <c r="BX186" s="641">
        <f t="shared" si="91"/>
        <v>999999999</v>
      </c>
      <c r="BY186" s="641">
        <f t="shared" si="91"/>
        <v>999999999</v>
      </c>
      <c r="BZ186" s="641">
        <f t="shared" si="91"/>
        <v>999999999</v>
      </c>
      <c r="CA186" s="641">
        <f t="shared" si="91"/>
        <v>999999999</v>
      </c>
      <c r="CB186" s="641">
        <f t="shared" si="91"/>
        <v>999999999</v>
      </c>
      <c r="CC186" s="641">
        <f t="shared" si="91"/>
        <v>999999999</v>
      </c>
      <c r="CD186" s="641">
        <f t="shared" si="91"/>
        <v>999999999</v>
      </c>
      <c r="CE186" s="641">
        <f t="shared" si="92"/>
        <v>999999999</v>
      </c>
      <c r="CF186" s="641">
        <f t="shared" si="92"/>
        <v>999999999</v>
      </c>
      <c r="CG186" s="641">
        <f t="shared" si="92"/>
        <v>999999999</v>
      </c>
      <c r="CH186" s="641">
        <f t="shared" si="92"/>
        <v>999999999</v>
      </c>
      <c r="CI186" s="641">
        <f t="shared" si="92"/>
        <v>999999999</v>
      </c>
      <c r="CJ186" s="641">
        <f t="shared" si="92"/>
        <v>999999999</v>
      </c>
      <c r="CK186" s="641">
        <f t="shared" si="92"/>
        <v>999999999</v>
      </c>
      <c r="CL186" s="641">
        <f t="shared" si="92"/>
        <v>999999999</v>
      </c>
      <c r="CM186" s="641">
        <f t="shared" si="92"/>
        <v>999999999</v>
      </c>
      <c r="CN186" s="641">
        <f t="shared" si="92"/>
        <v>999999999</v>
      </c>
      <c r="CO186" s="641">
        <f t="shared" si="93"/>
        <v>999999999</v>
      </c>
      <c r="CP186" s="641">
        <f t="shared" si="93"/>
        <v>999999999</v>
      </c>
      <c r="CQ186" s="641">
        <f t="shared" si="93"/>
        <v>999999999</v>
      </c>
      <c r="CR186" s="641">
        <f t="shared" si="93"/>
        <v>999999999</v>
      </c>
      <c r="CS186" s="641">
        <f t="shared" si="93"/>
        <v>999999999</v>
      </c>
      <c r="CT186" s="641">
        <f t="shared" si="93"/>
        <v>999999999</v>
      </c>
      <c r="CU186" s="641">
        <f t="shared" si="93"/>
        <v>999999999</v>
      </c>
      <c r="CV186" s="641">
        <f t="shared" si="93"/>
        <v>999999999</v>
      </c>
      <c r="CW186" s="641">
        <f t="shared" si="93"/>
        <v>999999999</v>
      </c>
      <c r="CX186" s="641">
        <f t="shared" si="93"/>
        <v>999999999</v>
      </c>
      <c r="CY186" s="641">
        <f t="shared" si="94"/>
        <v>999999999</v>
      </c>
      <c r="CZ186" s="641">
        <f t="shared" si="94"/>
        <v>999999999</v>
      </c>
      <c r="DA186" s="641">
        <f t="shared" si="94"/>
        <v>999999999</v>
      </c>
      <c r="DB186" s="641">
        <f t="shared" si="94"/>
        <v>999999999</v>
      </c>
      <c r="DC186" s="641">
        <f t="shared" si="94"/>
        <v>999999999</v>
      </c>
      <c r="DD186" s="641">
        <f t="shared" si="94"/>
        <v>999999999</v>
      </c>
      <c r="DE186" s="641">
        <f t="shared" si="94"/>
        <v>999999999</v>
      </c>
      <c r="DF186" s="641">
        <f t="shared" si="94"/>
        <v>999999999</v>
      </c>
      <c r="DG186" s="641">
        <f t="shared" si="94"/>
        <v>999999999</v>
      </c>
      <c r="DH186" s="641">
        <f t="shared" si="94"/>
        <v>999999999</v>
      </c>
      <c r="DI186" s="641">
        <f t="shared" si="95"/>
        <v>999999999</v>
      </c>
      <c r="DJ186" s="641">
        <f t="shared" si="95"/>
        <v>999999999</v>
      </c>
      <c r="DK186" s="641">
        <f t="shared" si="95"/>
        <v>999999999</v>
      </c>
      <c r="DL186" s="641">
        <f t="shared" si="95"/>
        <v>999999999</v>
      </c>
      <c r="DM186" s="641">
        <f t="shared" si="95"/>
        <v>999999999</v>
      </c>
      <c r="DN186" s="641">
        <f t="shared" si="95"/>
        <v>999999999</v>
      </c>
      <c r="DO186" s="641">
        <f t="shared" si="95"/>
        <v>999999999</v>
      </c>
      <c r="DP186" s="641">
        <f t="shared" si="95"/>
        <v>999999999</v>
      </c>
      <c r="DQ186" s="641">
        <f t="shared" si="95"/>
        <v>999999999</v>
      </c>
      <c r="DR186" s="641">
        <f t="shared" si="95"/>
        <v>999999999</v>
      </c>
      <c r="DS186" s="641">
        <f t="shared" si="96"/>
        <v>999999999</v>
      </c>
      <c r="DT186" s="641">
        <f t="shared" si="96"/>
        <v>999999999</v>
      </c>
      <c r="DU186" s="641">
        <f t="shared" si="96"/>
        <v>999999999</v>
      </c>
      <c r="DV186" s="641">
        <f t="shared" si="96"/>
        <v>999999999</v>
      </c>
      <c r="DW186" s="641">
        <f t="shared" si="96"/>
        <v>999999999</v>
      </c>
      <c r="DX186" s="641">
        <f t="shared" si="96"/>
        <v>999999999</v>
      </c>
      <c r="DY186" s="641">
        <f t="shared" si="96"/>
        <v>999999999</v>
      </c>
      <c r="DZ186" s="641">
        <f t="shared" si="96"/>
        <v>999999999</v>
      </c>
      <c r="EA186" s="641">
        <f t="shared" si="96"/>
        <v>999999999</v>
      </c>
      <c r="EB186" s="641">
        <f t="shared" si="96"/>
        <v>999999999</v>
      </c>
      <c r="EC186" s="641">
        <f t="shared" si="96"/>
        <v>999999999</v>
      </c>
    </row>
    <row r="187" spans="12:133" ht="15.5">
      <c r="T187"/>
      <c r="U187"/>
      <c r="V187"/>
      <c r="W187"/>
      <c r="X187"/>
      <c r="AB187" s="5">
        <f t="shared" si="86"/>
        <v>2</v>
      </c>
      <c r="AC187" s="128">
        <v>44</v>
      </c>
      <c r="AD187" s="129">
        <f t="shared" si="55"/>
        <v>8066.506604000002</v>
      </c>
      <c r="AF187" s="128">
        <v>44</v>
      </c>
      <c r="AG187" s="641">
        <f t="shared" si="87"/>
        <v>489661.50660399999</v>
      </c>
      <c r="AH187" s="641">
        <f t="shared" si="87"/>
        <v>426709.50660399999</v>
      </c>
      <c r="AI187" s="641">
        <f t="shared" si="87"/>
        <v>363757.50660399999</v>
      </c>
      <c r="AJ187" s="641">
        <f t="shared" si="87"/>
        <v>300805.50660399999</v>
      </c>
      <c r="AK187" s="641">
        <f t="shared" si="87"/>
        <v>237853.50660399999</v>
      </c>
      <c r="AL187" s="641">
        <f t="shared" si="87"/>
        <v>174901.50660399999</v>
      </c>
      <c r="AM187" s="641">
        <f t="shared" si="87"/>
        <v>112986.50660399999</v>
      </c>
      <c r="AN187" s="641">
        <f t="shared" si="87"/>
        <v>60526.506604000002</v>
      </c>
      <c r="AO187" s="641">
        <f t="shared" si="87"/>
        <v>8066.506604000002</v>
      </c>
      <c r="AP187" s="641">
        <f t="shared" si="87"/>
        <v>999999999</v>
      </c>
      <c r="AQ187" s="641">
        <f t="shared" si="88"/>
        <v>999999999</v>
      </c>
      <c r="AR187" s="641">
        <f t="shared" si="88"/>
        <v>999999999</v>
      </c>
      <c r="AS187" s="641">
        <f t="shared" si="88"/>
        <v>999999999</v>
      </c>
      <c r="AT187" s="641">
        <f t="shared" si="88"/>
        <v>999999999</v>
      </c>
      <c r="AU187" s="641">
        <f t="shared" si="88"/>
        <v>999999999</v>
      </c>
      <c r="AV187" s="641">
        <f t="shared" si="88"/>
        <v>999999999</v>
      </c>
      <c r="AW187" s="641">
        <f t="shared" si="88"/>
        <v>999999999</v>
      </c>
      <c r="AX187" s="641">
        <f t="shared" si="88"/>
        <v>999999999</v>
      </c>
      <c r="AY187" s="641">
        <f t="shared" si="88"/>
        <v>999999999</v>
      </c>
      <c r="AZ187" s="641">
        <f t="shared" si="88"/>
        <v>999999999</v>
      </c>
      <c r="BA187" s="641">
        <f t="shared" si="89"/>
        <v>999999999</v>
      </c>
      <c r="BB187" s="641">
        <f t="shared" si="89"/>
        <v>999999999</v>
      </c>
      <c r="BC187" s="641">
        <f t="shared" si="89"/>
        <v>999999999</v>
      </c>
      <c r="BD187" s="641">
        <f t="shared" si="89"/>
        <v>999999999</v>
      </c>
      <c r="BE187" s="641">
        <f t="shared" si="89"/>
        <v>999999999</v>
      </c>
      <c r="BF187" s="641">
        <f t="shared" si="89"/>
        <v>999999999</v>
      </c>
      <c r="BG187" s="641">
        <f t="shared" si="89"/>
        <v>999999999</v>
      </c>
      <c r="BH187" s="641">
        <f t="shared" si="89"/>
        <v>999999999</v>
      </c>
      <c r="BI187" s="641">
        <f t="shared" si="89"/>
        <v>999999999</v>
      </c>
      <c r="BJ187" s="641">
        <f t="shared" si="89"/>
        <v>999999999</v>
      </c>
      <c r="BK187" s="641">
        <f t="shared" si="90"/>
        <v>999999999</v>
      </c>
      <c r="BL187" s="641">
        <f t="shared" si="90"/>
        <v>999999999</v>
      </c>
      <c r="BM187" s="641">
        <f t="shared" si="90"/>
        <v>999999999</v>
      </c>
      <c r="BN187" s="641">
        <f t="shared" si="90"/>
        <v>999999999</v>
      </c>
      <c r="BO187" s="641">
        <f t="shared" si="90"/>
        <v>999999999</v>
      </c>
      <c r="BP187" s="641">
        <f t="shared" si="90"/>
        <v>999999999</v>
      </c>
      <c r="BQ187" s="641">
        <f t="shared" si="90"/>
        <v>999999999</v>
      </c>
      <c r="BR187" s="641">
        <f t="shared" si="90"/>
        <v>999999999</v>
      </c>
      <c r="BS187" s="641">
        <f t="shared" si="90"/>
        <v>999999999</v>
      </c>
      <c r="BT187" s="641">
        <f t="shared" si="90"/>
        <v>999999999</v>
      </c>
      <c r="BU187" s="641">
        <f t="shared" si="91"/>
        <v>999999999</v>
      </c>
      <c r="BV187" s="641">
        <f t="shared" si="91"/>
        <v>999999999</v>
      </c>
      <c r="BW187" s="641">
        <f t="shared" si="91"/>
        <v>999999999</v>
      </c>
      <c r="BX187" s="641">
        <f t="shared" si="91"/>
        <v>999999999</v>
      </c>
      <c r="BY187" s="641">
        <f t="shared" si="91"/>
        <v>999999999</v>
      </c>
      <c r="BZ187" s="641">
        <f t="shared" si="91"/>
        <v>999999999</v>
      </c>
      <c r="CA187" s="641">
        <f t="shared" si="91"/>
        <v>999999999</v>
      </c>
      <c r="CB187" s="641">
        <f t="shared" si="91"/>
        <v>999999999</v>
      </c>
      <c r="CC187" s="641">
        <f t="shared" si="91"/>
        <v>999999999</v>
      </c>
      <c r="CD187" s="641">
        <f t="shared" si="91"/>
        <v>999999999</v>
      </c>
      <c r="CE187" s="641">
        <f t="shared" si="92"/>
        <v>999999999</v>
      </c>
      <c r="CF187" s="641">
        <f t="shared" si="92"/>
        <v>999999999</v>
      </c>
      <c r="CG187" s="641">
        <f t="shared" si="92"/>
        <v>999999999</v>
      </c>
      <c r="CH187" s="641">
        <f t="shared" si="92"/>
        <v>999999999</v>
      </c>
      <c r="CI187" s="641">
        <f t="shared" si="92"/>
        <v>999999999</v>
      </c>
      <c r="CJ187" s="641">
        <f t="shared" si="92"/>
        <v>999999999</v>
      </c>
      <c r="CK187" s="641">
        <f t="shared" si="92"/>
        <v>999999999</v>
      </c>
      <c r="CL187" s="641">
        <f t="shared" si="92"/>
        <v>999999999</v>
      </c>
      <c r="CM187" s="641">
        <f t="shared" si="92"/>
        <v>999999999</v>
      </c>
      <c r="CN187" s="641">
        <f t="shared" si="92"/>
        <v>999999999</v>
      </c>
      <c r="CO187" s="641">
        <f t="shared" si="93"/>
        <v>999999999</v>
      </c>
      <c r="CP187" s="641">
        <f t="shared" si="93"/>
        <v>999999999</v>
      </c>
      <c r="CQ187" s="641">
        <f t="shared" si="93"/>
        <v>999999999</v>
      </c>
      <c r="CR187" s="641">
        <f t="shared" si="93"/>
        <v>999999999</v>
      </c>
      <c r="CS187" s="641">
        <f t="shared" si="93"/>
        <v>999999999</v>
      </c>
      <c r="CT187" s="641">
        <f t="shared" si="93"/>
        <v>999999999</v>
      </c>
      <c r="CU187" s="641">
        <f t="shared" si="93"/>
        <v>999999999</v>
      </c>
      <c r="CV187" s="641">
        <f t="shared" si="93"/>
        <v>999999999</v>
      </c>
      <c r="CW187" s="641">
        <f t="shared" si="93"/>
        <v>999999999</v>
      </c>
      <c r="CX187" s="641">
        <f t="shared" si="93"/>
        <v>999999999</v>
      </c>
      <c r="CY187" s="641">
        <f t="shared" si="94"/>
        <v>999999999</v>
      </c>
      <c r="CZ187" s="641">
        <f t="shared" si="94"/>
        <v>999999999</v>
      </c>
      <c r="DA187" s="641">
        <f t="shared" si="94"/>
        <v>999999999</v>
      </c>
      <c r="DB187" s="641">
        <f t="shared" si="94"/>
        <v>999999999</v>
      </c>
      <c r="DC187" s="641">
        <f t="shared" si="94"/>
        <v>999999999</v>
      </c>
      <c r="DD187" s="641">
        <f t="shared" si="94"/>
        <v>999999999</v>
      </c>
      <c r="DE187" s="641">
        <f t="shared" si="94"/>
        <v>999999999</v>
      </c>
      <c r="DF187" s="641">
        <f t="shared" si="94"/>
        <v>999999999</v>
      </c>
      <c r="DG187" s="641">
        <f t="shared" si="94"/>
        <v>999999999</v>
      </c>
      <c r="DH187" s="641">
        <f t="shared" si="94"/>
        <v>999999999</v>
      </c>
      <c r="DI187" s="641">
        <f t="shared" si="95"/>
        <v>999999999</v>
      </c>
      <c r="DJ187" s="641">
        <f t="shared" si="95"/>
        <v>999999999</v>
      </c>
      <c r="DK187" s="641">
        <f t="shared" si="95"/>
        <v>999999999</v>
      </c>
      <c r="DL187" s="641">
        <f t="shared" si="95"/>
        <v>999999999</v>
      </c>
      <c r="DM187" s="641">
        <f t="shared" si="95"/>
        <v>999999999</v>
      </c>
      <c r="DN187" s="641">
        <f t="shared" si="95"/>
        <v>999999999</v>
      </c>
      <c r="DO187" s="641">
        <f t="shared" si="95"/>
        <v>999999999</v>
      </c>
      <c r="DP187" s="641">
        <f t="shared" si="95"/>
        <v>999999999</v>
      </c>
      <c r="DQ187" s="641">
        <f t="shared" si="95"/>
        <v>999999999</v>
      </c>
      <c r="DR187" s="641">
        <f t="shared" si="95"/>
        <v>999999999</v>
      </c>
      <c r="DS187" s="641">
        <f t="shared" si="96"/>
        <v>999999999</v>
      </c>
      <c r="DT187" s="641">
        <f t="shared" si="96"/>
        <v>999999999</v>
      </c>
      <c r="DU187" s="641">
        <f t="shared" si="96"/>
        <v>999999999</v>
      </c>
      <c r="DV187" s="641">
        <f t="shared" si="96"/>
        <v>999999999</v>
      </c>
      <c r="DW187" s="641">
        <f t="shared" si="96"/>
        <v>999999999</v>
      </c>
      <c r="DX187" s="641">
        <f t="shared" si="96"/>
        <v>999999999</v>
      </c>
      <c r="DY187" s="641">
        <f t="shared" si="96"/>
        <v>999999999</v>
      </c>
      <c r="DZ187" s="641">
        <f t="shared" si="96"/>
        <v>999999999</v>
      </c>
      <c r="EA187" s="641">
        <f t="shared" si="96"/>
        <v>999999999</v>
      </c>
      <c r="EB187" s="641">
        <f t="shared" si="96"/>
        <v>999999999</v>
      </c>
      <c r="EC187" s="641">
        <f t="shared" si="96"/>
        <v>999999999</v>
      </c>
    </row>
    <row r="188" spans="12:133" ht="15.5">
      <c r="AB188" s="5">
        <f t="shared" si="86"/>
        <v>2</v>
      </c>
      <c r="AC188" s="128">
        <v>45</v>
      </c>
      <c r="AD188" s="129">
        <f t="shared" si="55"/>
        <v>8066.506604000002</v>
      </c>
      <c r="AF188" s="128">
        <v>45</v>
      </c>
      <c r="AG188" s="641">
        <f t="shared" si="87"/>
        <v>489661.50660399999</v>
      </c>
      <c r="AH188" s="641">
        <f t="shared" si="87"/>
        <v>426709.50660399999</v>
      </c>
      <c r="AI188" s="641">
        <f t="shared" si="87"/>
        <v>363757.50660399999</v>
      </c>
      <c r="AJ188" s="641">
        <f t="shared" si="87"/>
        <v>300805.50660399999</v>
      </c>
      <c r="AK188" s="641">
        <f t="shared" si="87"/>
        <v>237853.50660399999</v>
      </c>
      <c r="AL188" s="641">
        <f t="shared" si="87"/>
        <v>174901.50660399999</v>
      </c>
      <c r="AM188" s="641">
        <f t="shared" si="87"/>
        <v>112986.50660399999</v>
      </c>
      <c r="AN188" s="641">
        <f t="shared" si="87"/>
        <v>60526.506604000002</v>
      </c>
      <c r="AO188" s="641">
        <f t="shared" si="87"/>
        <v>8066.506604000002</v>
      </c>
      <c r="AP188" s="641">
        <f t="shared" si="87"/>
        <v>999999999</v>
      </c>
      <c r="AQ188" s="641">
        <f t="shared" si="88"/>
        <v>999999999</v>
      </c>
      <c r="AR188" s="641">
        <f t="shared" si="88"/>
        <v>999999999</v>
      </c>
      <c r="AS188" s="641">
        <f t="shared" si="88"/>
        <v>999999999</v>
      </c>
      <c r="AT188" s="641">
        <f t="shared" si="88"/>
        <v>999999999</v>
      </c>
      <c r="AU188" s="641">
        <f t="shared" si="88"/>
        <v>999999999</v>
      </c>
      <c r="AV188" s="641">
        <f t="shared" si="88"/>
        <v>999999999</v>
      </c>
      <c r="AW188" s="641">
        <f t="shared" si="88"/>
        <v>999999999</v>
      </c>
      <c r="AX188" s="641">
        <f t="shared" si="88"/>
        <v>999999999</v>
      </c>
      <c r="AY188" s="641">
        <f t="shared" si="88"/>
        <v>999999999</v>
      </c>
      <c r="AZ188" s="641">
        <f t="shared" si="88"/>
        <v>999999999</v>
      </c>
      <c r="BA188" s="641">
        <f t="shared" si="89"/>
        <v>999999999</v>
      </c>
      <c r="BB188" s="641">
        <f t="shared" si="89"/>
        <v>999999999</v>
      </c>
      <c r="BC188" s="641">
        <f t="shared" si="89"/>
        <v>999999999</v>
      </c>
      <c r="BD188" s="641">
        <f t="shared" si="89"/>
        <v>999999999</v>
      </c>
      <c r="BE188" s="641">
        <f t="shared" si="89"/>
        <v>999999999</v>
      </c>
      <c r="BF188" s="641">
        <f t="shared" si="89"/>
        <v>999999999</v>
      </c>
      <c r="BG188" s="641">
        <f t="shared" si="89"/>
        <v>999999999</v>
      </c>
      <c r="BH188" s="641">
        <f t="shared" si="89"/>
        <v>999999999</v>
      </c>
      <c r="BI188" s="641">
        <f t="shared" si="89"/>
        <v>999999999</v>
      </c>
      <c r="BJ188" s="641">
        <f t="shared" si="89"/>
        <v>999999999</v>
      </c>
      <c r="BK188" s="641">
        <f t="shared" si="90"/>
        <v>999999999</v>
      </c>
      <c r="BL188" s="641">
        <f t="shared" si="90"/>
        <v>999999999</v>
      </c>
      <c r="BM188" s="641">
        <f t="shared" si="90"/>
        <v>999999999</v>
      </c>
      <c r="BN188" s="641">
        <f t="shared" si="90"/>
        <v>999999999</v>
      </c>
      <c r="BO188" s="641">
        <f t="shared" si="90"/>
        <v>999999999</v>
      </c>
      <c r="BP188" s="641">
        <f t="shared" si="90"/>
        <v>999999999</v>
      </c>
      <c r="BQ188" s="641">
        <f t="shared" si="90"/>
        <v>999999999</v>
      </c>
      <c r="BR188" s="641">
        <f t="shared" si="90"/>
        <v>999999999</v>
      </c>
      <c r="BS188" s="641">
        <f t="shared" si="90"/>
        <v>999999999</v>
      </c>
      <c r="BT188" s="641">
        <f t="shared" si="90"/>
        <v>999999999</v>
      </c>
      <c r="BU188" s="641">
        <f t="shared" si="91"/>
        <v>999999999</v>
      </c>
      <c r="BV188" s="641">
        <f t="shared" si="91"/>
        <v>999999999</v>
      </c>
      <c r="BW188" s="641">
        <f t="shared" si="91"/>
        <v>999999999</v>
      </c>
      <c r="BX188" s="641">
        <f t="shared" si="91"/>
        <v>999999999</v>
      </c>
      <c r="BY188" s="641">
        <f t="shared" si="91"/>
        <v>999999999</v>
      </c>
      <c r="BZ188" s="641">
        <f t="shared" si="91"/>
        <v>999999999</v>
      </c>
      <c r="CA188" s="641">
        <f t="shared" si="91"/>
        <v>999999999</v>
      </c>
      <c r="CB188" s="641">
        <f t="shared" si="91"/>
        <v>999999999</v>
      </c>
      <c r="CC188" s="641">
        <f t="shared" si="91"/>
        <v>999999999</v>
      </c>
      <c r="CD188" s="641">
        <f t="shared" si="91"/>
        <v>999999999</v>
      </c>
      <c r="CE188" s="641">
        <f t="shared" si="92"/>
        <v>999999999</v>
      </c>
      <c r="CF188" s="641">
        <f t="shared" si="92"/>
        <v>999999999</v>
      </c>
      <c r="CG188" s="641">
        <f t="shared" si="92"/>
        <v>999999999</v>
      </c>
      <c r="CH188" s="641">
        <f t="shared" si="92"/>
        <v>999999999</v>
      </c>
      <c r="CI188" s="641">
        <f t="shared" si="92"/>
        <v>999999999</v>
      </c>
      <c r="CJ188" s="641">
        <f t="shared" si="92"/>
        <v>999999999</v>
      </c>
      <c r="CK188" s="641">
        <f t="shared" si="92"/>
        <v>999999999</v>
      </c>
      <c r="CL188" s="641">
        <f t="shared" si="92"/>
        <v>999999999</v>
      </c>
      <c r="CM188" s="641">
        <f t="shared" si="92"/>
        <v>999999999</v>
      </c>
      <c r="CN188" s="641">
        <f t="shared" si="92"/>
        <v>999999999</v>
      </c>
      <c r="CO188" s="641">
        <f t="shared" si="93"/>
        <v>999999999</v>
      </c>
      <c r="CP188" s="641">
        <f t="shared" si="93"/>
        <v>999999999</v>
      </c>
      <c r="CQ188" s="641">
        <f t="shared" si="93"/>
        <v>999999999</v>
      </c>
      <c r="CR188" s="641">
        <f t="shared" si="93"/>
        <v>999999999</v>
      </c>
      <c r="CS188" s="641">
        <f t="shared" si="93"/>
        <v>999999999</v>
      </c>
      <c r="CT188" s="641">
        <f t="shared" si="93"/>
        <v>999999999</v>
      </c>
      <c r="CU188" s="641">
        <f t="shared" si="93"/>
        <v>999999999</v>
      </c>
      <c r="CV188" s="641">
        <f t="shared" si="93"/>
        <v>999999999</v>
      </c>
      <c r="CW188" s="641">
        <f t="shared" si="93"/>
        <v>999999999</v>
      </c>
      <c r="CX188" s="641">
        <f t="shared" si="93"/>
        <v>999999999</v>
      </c>
      <c r="CY188" s="641">
        <f t="shared" si="94"/>
        <v>999999999</v>
      </c>
      <c r="CZ188" s="641">
        <f t="shared" si="94"/>
        <v>999999999</v>
      </c>
      <c r="DA188" s="641">
        <f t="shared" si="94"/>
        <v>999999999</v>
      </c>
      <c r="DB188" s="641">
        <f t="shared" si="94"/>
        <v>999999999</v>
      </c>
      <c r="DC188" s="641">
        <f t="shared" si="94"/>
        <v>999999999</v>
      </c>
      <c r="DD188" s="641">
        <f t="shared" si="94"/>
        <v>999999999</v>
      </c>
      <c r="DE188" s="641">
        <f t="shared" si="94"/>
        <v>999999999</v>
      </c>
      <c r="DF188" s="641">
        <f t="shared" si="94"/>
        <v>999999999</v>
      </c>
      <c r="DG188" s="641">
        <f t="shared" si="94"/>
        <v>999999999</v>
      </c>
      <c r="DH188" s="641">
        <f t="shared" si="94"/>
        <v>999999999</v>
      </c>
      <c r="DI188" s="641">
        <f t="shared" si="95"/>
        <v>999999999</v>
      </c>
      <c r="DJ188" s="641">
        <f t="shared" si="95"/>
        <v>999999999</v>
      </c>
      <c r="DK188" s="641">
        <f t="shared" si="95"/>
        <v>999999999</v>
      </c>
      <c r="DL188" s="641">
        <f t="shared" si="95"/>
        <v>999999999</v>
      </c>
      <c r="DM188" s="641">
        <f t="shared" si="95"/>
        <v>999999999</v>
      </c>
      <c r="DN188" s="641">
        <f t="shared" si="95"/>
        <v>999999999</v>
      </c>
      <c r="DO188" s="641">
        <f t="shared" si="95"/>
        <v>999999999</v>
      </c>
      <c r="DP188" s="641">
        <f t="shared" si="95"/>
        <v>999999999</v>
      </c>
      <c r="DQ188" s="641">
        <f t="shared" si="95"/>
        <v>999999999</v>
      </c>
      <c r="DR188" s="641">
        <f t="shared" si="95"/>
        <v>999999999</v>
      </c>
      <c r="DS188" s="641">
        <f t="shared" si="96"/>
        <v>999999999</v>
      </c>
      <c r="DT188" s="641">
        <f t="shared" si="96"/>
        <v>999999999</v>
      </c>
      <c r="DU188" s="641">
        <f t="shared" si="96"/>
        <v>999999999</v>
      </c>
      <c r="DV188" s="641">
        <f t="shared" si="96"/>
        <v>999999999</v>
      </c>
      <c r="DW188" s="641">
        <f t="shared" si="96"/>
        <v>999999999</v>
      </c>
      <c r="DX188" s="641">
        <f t="shared" si="96"/>
        <v>999999999</v>
      </c>
      <c r="DY188" s="641">
        <f t="shared" si="96"/>
        <v>999999999</v>
      </c>
      <c r="DZ188" s="641">
        <f t="shared" si="96"/>
        <v>999999999</v>
      </c>
      <c r="EA188" s="641">
        <f t="shared" si="96"/>
        <v>999999999</v>
      </c>
      <c r="EB188" s="641">
        <f t="shared" si="96"/>
        <v>999999999</v>
      </c>
      <c r="EC188" s="641">
        <f t="shared" si="96"/>
        <v>999999999</v>
      </c>
    </row>
    <row r="189" spans="12:133" ht="15.5">
      <c r="AB189" s="5">
        <f t="shared" si="86"/>
        <v>2</v>
      </c>
      <c r="AC189" s="128">
        <v>46</v>
      </c>
      <c r="AD189" s="129">
        <f t="shared" si="55"/>
        <v>8066.506604000002</v>
      </c>
      <c r="AF189" s="128">
        <v>46</v>
      </c>
      <c r="AG189" s="641">
        <f t="shared" si="87"/>
        <v>489661.50660399999</v>
      </c>
      <c r="AH189" s="641">
        <f t="shared" si="87"/>
        <v>426709.50660399999</v>
      </c>
      <c r="AI189" s="641">
        <f t="shared" si="87"/>
        <v>363757.50660399999</v>
      </c>
      <c r="AJ189" s="641">
        <f t="shared" si="87"/>
        <v>300805.50660399999</v>
      </c>
      <c r="AK189" s="641">
        <f t="shared" si="87"/>
        <v>237853.50660399999</v>
      </c>
      <c r="AL189" s="641">
        <f t="shared" si="87"/>
        <v>174901.50660399999</v>
      </c>
      <c r="AM189" s="641">
        <f t="shared" si="87"/>
        <v>112986.50660399999</v>
      </c>
      <c r="AN189" s="641">
        <f t="shared" si="87"/>
        <v>60526.506604000002</v>
      </c>
      <c r="AO189" s="641">
        <f t="shared" si="87"/>
        <v>8066.506604000002</v>
      </c>
      <c r="AP189" s="641">
        <f t="shared" si="87"/>
        <v>999999999</v>
      </c>
      <c r="AQ189" s="641">
        <f t="shared" si="88"/>
        <v>999999999</v>
      </c>
      <c r="AR189" s="641">
        <f t="shared" si="88"/>
        <v>999999999</v>
      </c>
      <c r="AS189" s="641">
        <f t="shared" si="88"/>
        <v>999999999</v>
      </c>
      <c r="AT189" s="641">
        <f t="shared" si="88"/>
        <v>999999999</v>
      </c>
      <c r="AU189" s="641">
        <f t="shared" si="88"/>
        <v>999999999</v>
      </c>
      <c r="AV189" s="641">
        <f t="shared" si="88"/>
        <v>999999999</v>
      </c>
      <c r="AW189" s="641">
        <f t="shared" si="88"/>
        <v>999999999</v>
      </c>
      <c r="AX189" s="641">
        <f t="shared" si="88"/>
        <v>999999999</v>
      </c>
      <c r="AY189" s="641">
        <f t="shared" si="88"/>
        <v>999999999</v>
      </c>
      <c r="AZ189" s="641">
        <f t="shared" si="88"/>
        <v>999999999</v>
      </c>
      <c r="BA189" s="641">
        <f t="shared" si="89"/>
        <v>999999999</v>
      </c>
      <c r="BB189" s="641">
        <f t="shared" si="89"/>
        <v>999999999</v>
      </c>
      <c r="BC189" s="641">
        <f t="shared" si="89"/>
        <v>999999999</v>
      </c>
      <c r="BD189" s="641">
        <f t="shared" si="89"/>
        <v>999999999</v>
      </c>
      <c r="BE189" s="641">
        <f t="shared" si="89"/>
        <v>999999999</v>
      </c>
      <c r="BF189" s="641">
        <f t="shared" si="89"/>
        <v>999999999</v>
      </c>
      <c r="BG189" s="641">
        <f t="shared" si="89"/>
        <v>999999999</v>
      </c>
      <c r="BH189" s="641">
        <f t="shared" si="89"/>
        <v>999999999</v>
      </c>
      <c r="BI189" s="641">
        <f t="shared" si="89"/>
        <v>999999999</v>
      </c>
      <c r="BJ189" s="641">
        <f t="shared" si="89"/>
        <v>999999999</v>
      </c>
      <c r="BK189" s="641">
        <f t="shared" si="90"/>
        <v>999999999</v>
      </c>
      <c r="BL189" s="641">
        <f t="shared" si="90"/>
        <v>999999999</v>
      </c>
      <c r="BM189" s="641">
        <f t="shared" si="90"/>
        <v>999999999</v>
      </c>
      <c r="BN189" s="641">
        <f t="shared" si="90"/>
        <v>999999999</v>
      </c>
      <c r="BO189" s="641">
        <f t="shared" si="90"/>
        <v>999999999</v>
      </c>
      <c r="BP189" s="641">
        <f t="shared" si="90"/>
        <v>999999999</v>
      </c>
      <c r="BQ189" s="641">
        <f t="shared" si="90"/>
        <v>999999999</v>
      </c>
      <c r="BR189" s="641">
        <f t="shared" si="90"/>
        <v>999999999</v>
      </c>
      <c r="BS189" s="641">
        <f t="shared" si="90"/>
        <v>999999999</v>
      </c>
      <c r="BT189" s="641">
        <f t="shared" si="90"/>
        <v>999999999</v>
      </c>
      <c r="BU189" s="641">
        <f t="shared" si="91"/>
        <v>999999999</v>
      </c>
      <c r="BV189" s="641">
        <f t="shared" si="91"/>
        <v>999999999</v>
      </c>
      <c r="BW189" s="641">
        <f t="shared" si="91"/>
        <v>999999999</v>
      </c>
      <c r="BX189" s="641">
        <f t="shared" si="91"/>
        <v>999999999</v>
      </c>
      <c r="BY189" s="641">
        <f t="shared" si="91"/>
        <v>999999999</v>
      </c>
      <c r="BZ189" s="641">
        <f t="shared" si="91"/>
        <v>999999999</v>
      </c>
      <c r="CA189" s="641">
        <f t="shared" si="91"/>
        <v>999999999</v>
      </c>
      <c r="CB189" s="641">
        <f t="shared" si="91"/>
        <v>999999999</v>
      </c>
      <c r="CC189" s="641">
        <f t="shared" si="91"/>
        <v>999999999</v>
      </c>
      <c r="CD189" s="641">
        <f t="shared" si="91"/>
        <v>999999999</v>
      </c>
      <c r="CE189" s="641">
        <f t="shared" si="92"/>
        <v>999999999</v>
      </c>
      <c r="CF189" s="641">
        <f t="shared" si="92"/>
        <v>999999999</v>
      </c>
      <c r="CG189" s="641">
        <f t="shared" si="92"/>
        <v>999999999</v>
      </c>
      <c r="CH189" s="641">
        <f t="shared" si="92"/>
        <v>999999999</v>
      </c>
      <c r="CI189" s="641">
        <f t="shared" si="92"/>
        <v>999999999</v>
      </c>
      <c r="CJ189" s="641">
        <f t="shared" si="92"/>
        <v>999999999</v>
      </c>
      <c r="CK189" s="641">
        <f t="shared" si="92"/>
        <v>999999999</v>
      </c>
      <c r="CL189" s="641">
        <f t="shared" si="92"/>
        <v>999999999</v>
      </c>
      <c r="CM189" s="641">
        <f t="shared" si="92"/>
        <v>999999999</v>
      </c>
      <c r="CN189" s="641">
        <f t="shared" si="92"/>
        <v>999999999</v>
      </c>
      <c r="CO189" s="641">
        <f t="shared" si="93"/>
        <v>999999999</v>
      </c>
      <c r="CP189" s="641">
        <f t="shared" si="93"/>
        <v>999999999</v>
      </c>
      <c r="CQ189" s="641">
        <f t="shared" si="93"/>
        <v>999999999</v>
      </c>
      <c r="CR189" s="641">
        <f t="shared" si="93"/>
        <v>999999999</v>
      </c>
      <c r="CS189" s="641">
        <f t="shared" si="93"/>
        <v>999999999</v>
      </c>
      <c r="CT189" s="641">
        <f t="shared" si="93"/>
        <v>999999999</v>
      </c>
      <c r="CU189" s="641">
        <f t="shared" si="93"/>
        <v>999999999</v>
      </c>
      <c r="CV189" s="641">
        <f t="shared" si="93"/>
        <v>999999999</v>
      </c>
      <c r="CW189" s="641">
        <f t="shared" si="93"/>
        <v>999999999</v>
      </c>
      <c r="CX189" s="641">
        <f t="shared" si="93"/>
        <v>999999999</v>
      </c>
      <c r="CY189" s="641">
        <f t="shared" si="94"/>
        <v>999999999</v>
      </c>
      <c r="CZ189" s="641">
        <f t="shared" si="94"/>
        <v>999999999</v>
      </c>
      <c r="DA189" s="641">
        <f t="shared" si="94"/>
        <v>999999999</v>
      </c>
      <c r="DB189" s="641">
        <f t="shared" si="94"/>
        <v>999999999</v>
      </c>
      <c r="DC189" s="641">
        <f t="shared" si="94"/>
        <v>999999999</v>
      </c>
      <c r="DD189" s="641">
        <f t="shared" si="94"/>
        <v>999999999</v>
      </c>
      <c r="DE189" s="641">
        <f t="shared" si="94"/>
        <v>999999999</v>
      </c>
      <c r="DF189" s="641">
        <f t="shared" si="94"/>
        <v>999999999</v>
      </c>
      <c r="DG189" s="641">
        <f t="shared" si="94"/>
        <v>999999999</v>
      </c>
      <c r="DH189" s="641">
        <f t="shared" si="94"/>
        <v>999999999</v>
      </c>
      <c r="DI189" s="641">
        <f t="shared" si="95"/>
        <v>999999999</v>
      </c>
      <c r="DJ189" s="641">
        <f t="shared" si="95"/>
        <v>999999999</v>
      </c>
      <c r="DK189" s="641">
        <f t="shared" si="95"/>
        <v>999999999</v>
      </c>
      <c r="DL189" s="641">
        <f t="shared" si="95"/>
        <v>999999999</v>
      </c>
      <c r="DM189" s="641">
        <f t="shared" si="95"/>
        <v>999999999</v>
      </c>
      <c r="DN189" s="641">
        <f t="shared" si="95"/>
        <v>999999999</v>
      </c>
      <c r="DO189" s="641">
        <f t="shared" si="95"/>
        <v>999999999</v>
      </c>
      <c r="DP189" s="641">
        <f t="shared" si="95"/>
        <v>999999999</v>
      </c>
      <c r="DQ189" s="641">
        <f t="shared" si="95"/>
        <v>999999999</v>
      </c>
      <c r="DR189" s="641">
        <f t="shared" si="95"/>
        <v>999999999</v>
      </c>
      <c r="DS189" s="641">
        <f t="shared" si="96"/>
        <v>999999999</v>
      </c>
      <c r="DT189" s="641">
        <f t="shared" si="96"/>
        <v>999999999</v>
      </c>
      <c r="DU189" s="641">
        <f t="shared" si="96"/>
        <v>999999999</v>
      </c>
      <c r="DV189" s="641">
        <f t="shared" si="96"/>
        <v>999999999</v>
      </c>
      <c r="DW189" s="641">
        <f t="shared" si="96"/>
        <v>999999999</v>
      </c>
      <c r="DX189" s="641">
        <f t="shared" si="96"/>
        <v>999999999</v>
      </c>
      <c r="DY189" s="641">
        <f t="shared" si="96"/>
        <v>999999999</v>
      </c>
      <c r="DZ189" s="641">
        <f t="shared" si="96"/>
        <v>999999999</v>
      </c>
      <c r="EA189" s="641">
        <f t="shared" si="96"/>
        <v>999999999</v>
      </c>
      <c r="EB189" s="641">
        <f t="shared" si="96"/>
        <v>999999999</v>
      </c>
      <c r="EC189" s="641">
        <f t="shared" si="96"/>
        <v>999999999</v>
      </c>
    </row>
    <row r="190" spans="12:133" ht="15.5">
      <c r="AB190" s="5">
        <f t="shared" si="86"/>
        <v>2</v>
      </c>
      <c r="AC190" s="128">
        <v>47</v>
      </c>
      <c r="AD190" s="129">
        <f t="shared" si="55"/>
        <v>8066.506604000002</v>
      </c>
      <c r="AF190" s="128">
        <v>47</v>
      </c>
      <c r="AG190" s="641">
        <f t="shared" si="87"/>
        <v>489661.50660399999</v>
      </c>
      <c r="AH190" s="641">
        <f t="shared" si="87"/>
        <v>426709.50660399999</v>
      </c>
      <c r="AI190" s="641">
        <f t="shared" si="87"/>
        <v>363757.50660399999</v>
      </c>
      <c r="AJ190" s="641">
        <f t="shared" si="87"/>
        <v>300805.50660399999</v>
      </c>
      <c r="AK190" s="641">
        <f t="shared" si="87"/>
        <v>237853.50660399999</v>
      </c>
      <c r="AL190" s="641">
        <f t="shared" si="87"/>
        <v>174901.50660399999</v>
      </c>
      <c r="AM190" s="641">
        <f t="shared" si="87"/>
        <v>112986.50660399999</v>
      </c>
      <c r="AN190" s="641">
        <f t="shared" si="87"/>
        <v>60526.506604000002</v>
      </c>
      <c r="AO190" s="641">
        <f t="shared" si="87"/>
        <v>8066.506604000002</v>
      </c>
      <c r="AP190" s="641">
        <f t="shared" si="87"/>
        <v>999999999</v>
      </c>
      <c r="AQ190" s="641">
        <f t="shared" si="88"/>
        <v>999999999</v>
      </c>
      <c r="AR190" s="641">
        <f t="shared" si="88"/>
        <v>999999999</v>
      </c>
      <c r="AS190" s="641">
        <f t="shared" si="88"/>
        <v>999999999</v>
      </c>
      <c r="AT190" s="641">
        <f t="shared" si="88"/>
        <v>999999999</v>
      </c>
      <c r="AU190" s="641">
        <f t="shared" si="88"/>
        <v>999999999</v>
      </c>
      <c r="AV190" s="641">
        <f t="shared" si="88"/>
        <v>999999999</v>
      </c>
      <c r="AW190" s="641">
        <f t="shared" si="88"/>
        <v>999999999</v>
      </c>
      <c r="AX190" s="641">
        <f t="shared" si="88"/>
        <v>999999999</v>
      </c>
      <c r="AY190" s="641">
        <f t="shared" si="88"/>
        <v>999999999</v>
      </c>
      <c r="AZ190" s="641">
        <f t="shared" si="88"/>
        <v>999999999</v>
      </c>
      <c r="BA190" s="641">
        <f t="shared" si="89"/>
        <v>999999999</v>
      </c>
      <c r="BB190" s="641">
        <f t="shared" si="89"/>
        <v>999999999</v>
      </c>
      <c r="BC190" s="641">
        <f t="shared" si="89"/>
        <v>999999999</v>
      </c>
      <c r="BD190" s="641">
        <f t="shared" si="89"/>
        <v>999999999</v>
      </c>
      <c r="BE190" s="641">
        <f t="shared" si="89"/>
        <v>999999999</v>
      </c>
      <c r="BF190" s="641">
        <f t="shared" si="89"/>
        <v>999999999</v>
      </c>
      <c r="BG190" s="641">
        <f t="shared" si="89"/>
        <v>999999999</v>
      </c>
      <c r="BH190" s="641">
        <f t="shared" si="89"/>
        <v>999999999</v>
      </c>
      <c r="BI190" s="641">
        <f t="shared" si="89"/>
        <v>999999999</v>
      </c>
      <c r="BJ190" s="641">
        <f t="shared" si="89"/>
        <v>999999999</v>
      </c>
      <c r="BK190" s="641">
        <f t="shared" si="90"/>
        <v>999999999</v>
      </c>
      <c r="BL190" s="641">
        <f t="shared" si="90"/>
        <v>999999999</v>
      </c>
      <c r="BM190" s="641">
        <f t="shared" si="90"/>
        <v>999999999</v>
      </c>
      <c r="BN190" s="641">
        <f t="shared" si="90"/>
        <v>999999999</v>
      </c>
      <c r="BO190" s="641">
        <f t="shared" si="90"/>
        <v>999999999</v>
      </c>
      <c r="BP190" s="641">
        <f t="shared" si="90"/>
        <v>999999999</v>
      </c>
      <c r="BQ190" s="641">
        <f t="shared" si="90"/>
        <v>999999999</v>
      </c>
      <c r="BR190" s="641">
        <f t="shared" si="90"/>
        <v>999999999</v>
      </c>
      <c r="BS190" s="641">
        <f t="shared" si="90"/>
        <v>999999999</v>
      </c>
      <c r="BT190" s="641">
        <f t="shared" si="90"/>
        <v>999999999</v>
      </c>
      <c r="BU190" s="641">
        <f t="shared" si="91"/>
        <v>999999999</v>
      </c>
      <c r="BV190" s="641">
        <f t="shared" si="91"/>
        <v>999999999</v>
      </c>
      <c r="BW190" s="641">
        <f t="shared" si="91"/>
        <v>999999999</v>
      </c>
      <c r="BX190" s="641">
        <f t="shared" si="91"/>
        <v>999999999</v>
      </c>
      <c r="BY190" s="641">
        <f t="shared" si="91"/>
        <v>999999999</v>
      </c>
      <c r="BZ190" s="641">
        <f t="shared" si="91"/>
        <v>999999999</v>
      </c>
      <c r="CA190" s="641">
        <f t="shared" si="91"/>
        <v>999999999</v>
      </c>
      <c r="CB190" s="641">
        <f t="shared" si="91"/>
        <v>999999999</v>
      </c>
      <c r="CC190" s="641">
        <f t="shared" si="91"/>
        <v>999999999</v>
      </c>
      <c r="CD190" s="641">
        <f t="shared" si="91"/>
        <v>999999999</v>
      </c>
      <c r="CE190" s="641">
        <f t="shared" si="92"/>
        <v>999999999</v>
      </c>
      <c r="CF190" s="641">
        <f t="shared" si="92"/>
        <v>999999999</v>
      </c>
      <c r="CG190" s="641">
        <f t="shared" si="92"/>
        <v>999999999</v>
      </c>
      <c r="CH190" s="641">
        <f t="shared" si="92"/>
        <v>999999999</v>
      </c>
      <c r="CI190" s="641">
        <f t="shared" si="92"/>
        <v>999999999</v>
      </c>
      <c r="CJ190" s="641">
        <f t="shared" si="92"/>
        <v>999999999</v>
      </c>
      <c r="CK190" s="641">
        <f t="shared" si="92"/>
        <v>999999999</v>
      </c>
      <c r="CL190" s="641">
        <f t="shared" si="92"/>
        <v>999999999</v>
      </c>
      <c r="CM190" s="641">
        <f t="shared" si="92"/>
        <v>999999999</v>
      </c>
      <c r="CN190" s="641">
        <f t="shared" si="92"/>
        <v>999999999</v>
      </c>
      <c r="CO190" s="641">
        <f t="shared" si="93"/>
        <v>999999999</v>
      </c>
      <c r="CP190" s="641">
        <f t="shared" si="93"/>
        <v>999999999</v>
      </c>
      <c r="CQ190" s="641">
        <f t="shared" si="93"/>
        <v>999999999</v>
      </c>
      <c r="CR190" s="641">
        <f t="shared" si="93"/>
        <v>999999999</v>
      </c>
      <c r="CS190" s="641">
        <f t="shared" si="93"/>
        <v>999999999</v>
      </c>
      <c r="CT190" s="641">
        <f t="shared" si="93"/>
        <v>999999999</v>
      </c>
      <c r="CU190" s="641">
        <f t="shared" si="93"/>
        <v>999999999</v>
      </c>
      <c r="CV190" s="641">
        <f t="shared" si="93"/>
        <v>999999999</v>
      </c>
      <c r="CW190" s="641">
        <f t="shared" si="93"/>
        <v>999999999</v>
      </c>
      <c r="CX190" s="641">
        <f t="shared" si="93"/>
        <v>999999999</v>
      </c>
      <c r="CY190" s="641">
        <f t="shared" si="94"/>
        <v>999999999</v>
      </c>
      <c r="CZ190" s="641">
        <f t="shared" si="94"/>
        <v>999999999</v>
      </c>
      <c r="DA190" s="641">
        <f t="shared" si="94"/>
        <v>999999999</v>
      </c>
      <c r="DB190" s="641">
        <f t="shared" si="94"/>
        <v>999999999</v>
      </c>
      <c r="DC190" s="641">
        <f t="shared" si="94"/>
        <v>999999999</v>
      </c>
      <c r="DD190" s="641">
        <f t="shared" si="94"/>
        <v>999999999</v>
      </c>
      <c r="DE190" s="641">
        <f t="shared" si="94"/>
        <v>999999999</v>
      </c>
      <c r="DF190" s="641">
        <f t="shared" si="94"/>
        <v>999999999</v>
      </c>
      <c r="DG190" s="641">
        <f t="shared" si="94"/>
        <v>999999999</v>
      </c>
      <c r="DH190" s="641">
        <f t="shared" si="94"/>
        <v>999999999</v>
      </c>
      <c r="DI190" s="641">
        <f t="shared" si="95"/>
        <v>999999999</v>
      </c>
      <c r="DJ190" s="641">
        <f t="shared" si="95"/>
        <v>999999999</v>
      </c>
      <c r="DK190" s="641">
        <f t="shared" si="95"/>
        <v>999999999</v>
      </c>
      <c r="DL190" s="641">
        <f t="shared" si="95"/>
        <v>999999999</v>
      </c>
      <c r="DM190" s="641">
        <f t="shared" si="95"/>
        <v>999999999</v>
      </c>
      <c r="DN190" s="641">
        <f t="shared" si="95"/>
        <v>999999999</v>
      </c>
      <c r="DO190" s="641">
        <f t="shared" si="95"/>
        <v>999999999</v>
      </c>
      <c r="DP190" s="641">
        <f t="shared" si="95"/>
        <v>999999999</v>
      </c>
      <c r="DQ190" s="641">
        <f t="shared" si="95"/>
        <v>999999999</v>
      </c>
      <c r="DR190" s="641">
        <f t="shared" si="95"/>
        <v>999999999</v>
      </c>
      <c r="DS190" s="641">
        <f t="shared" si="96"/>
        <v>999999999</v>
      </c>
      <c r="DT190" s="641">
        <f t="shared" si="96"/>
        <v>999999999</v>
      </c>
      <c r="DU190" s="641">
        <f t="shared" si="96"/>
        <v>999999999</v>
      </c>
      <c r="DV190" s="641">
        <f t="shared" si="96"/>
        <v>999999999</v>
      </c>
      <c r="DW190" s="641">
        <f t="shared" si="96"/>
        <v>999999999</v>
      </c>
      <c r="DX190" s="641">
        <f t="shared" si="96"/>
        <v>999999999</v>
      </c>
      <c r="DY190" s="641">
        <f t="shared" si="96"/>
        <v>999999999</v>
      </c>
      <c r="DZ190" s="641">
        <f t="shared" si="96"/>
        <v>999999999</v>
      </c>
      <c r="EA190" s="641">
        <f t="shared" si="96"/>
        <v>999999999</v>
      </c>
      <c r="EB190" s="641">
        <f t="shared" si="96"/>
        <v>999999999</v>
      </c>
      <c r="EC190" s="641">
        <f t="shared" si="96"/>
        <v>999999999</v>
      </c>
    </row>
    <row r="191" spans="12:133" ht="15.5">
      <c r="AB191" s="5">
        <f t="shared" si="86"/>
        <v>2</v>
      </c>
      <c r="AC191" s="128">
        <v>48</v>
      </c>
      <c r="AD191" s="129">
        <f t="shared" si="55"/>
        <v>8066.506604000002</v>
      </c>
      <c r="AF191" s="128">
        <v>48</v>
      </c>
      <c r="AG191" s="641">
        <f t="shared" si="87"/>
        <v>489661.50660399999</v>
      </c>
      <c r="AH191" s="641">
        <f t="shared" si="87"/>
        <v>426709.50660399999</v>
      </c>
      <c r="AI191" s="641">
        <f t="shared" si="87"/>
        <v>363757.50660399999</v>
      </c>
      <c r="AJ191" s="641">
        <f t="shared" si="87"/>
        <v>300805.50660399999</v>
      </c>
      <c r="AK191" s="641">
        <f t="shared" si="87"/>
        <v>237853.50660399999</v>
      </c>
      <c r="AL191" s="641">
        <f t="shared" si="87"/>
        <v>174901.50660399999</v>
      </c>
      <c r="AM191" s="641">
        <f t="shared" si="87"/>
        <v>112986.50660399999</v>
      </c>
      <c r="AN191" s="641">
        <f t="shared" si="87"/>
        <v>60526.506604000002</v>
      </c>
      <c r="AO191" s="641">
        <f t="shared" si="87"/>
        <v>8066.506604000002</v>
      </c>
      <c r="AP191" s="641">
        <f t="shared" si="87"/>
        <v>999999999</v>
      </c>
      <c r="AQ191" s="641">
        <f t="shared" si="88"/>
        <v>999999999</v>
      </c>
      <c r="AR191" s="641">
        <f t="shared" si="88"/>
        <v>999999999</v>
      </c>
      <c r="AS191" s="641">
        <f t="shared" si="88"/>
        <v>999999999</v>
      </c>
      <c r="AT191" s="641">
        <f t="shared" si="88"/>
        <v>999999999</v>
      </c>
      <c r="AU191" s="641">
        <f t="shared" si="88"/>
        <v>999999999</v>
      </c>
      <c r="AV191" s="641">
        <f t="shared" si="88"/>
        <v>999999999</v>
      </c>
      <c r="AW191" s="641">
        <f t="shared" si="88"/>
        <v>999999999</v>
      </c>
      <c r="AX191" s="641">
        <f t="shared" si="88"/>
        <v>999999999</v>
      </c>
      <c r="AY191" s="641">
        <f t="shared" si="88"/>
        <v>999999999</v>
      </c>
      <c r="AZ191" s="641">
        <f t="shared" si="88"/>
        <v>999999999</v>
      </c>
      <c r="BA191" s="641">
        <f t="shared" si="89"/>
        <v>999999999</v>
      </c>
      <c r="BB191" s="641">
        <f t="shared" si="89"/>
        <v>999999999</v>
      </c>
      <c r="BC191" s="641">
        <f t="shared" si="89"/>
        <v>999999999</v>
      </c>
      <c r="BD191" s="641">
        <f t="shared" si="89"/>
        <v>999999999</v>
      </c>
      <c r="BE191" s="641">
        <f t="shared" si="89"/>
        <v>999999999</v>
      </c>
      <c r="BF191" s="641">
        <f t="shared" si="89"/>
        <v>999999999</v>
      </c>
      <c r="BG191" s="641">
        <f t="shared" si="89"/>
        <v>999999999</v>
      </c>
      <c r="BH191" s="641">
        <f t="shared" si="89"/>
        <v>999999999</v>
      </c>
      <c r="BI191" s="641">
        <f t="shared" si="89"/>
        <v>999999999</v>
      </c>
      <c r="BJ191" s="641">
        <f t="shared" si="89"/>
        <v>999999999</v>
      </c>
      <c r="BK191" s="641">
        <f t="shared" si="90"/>
        <v>999999999</v>
      </c>
      <c r="BL191" s="641">
        <f t="shared" si="90"/>
        <v>999999999</v>
      </c>
      <c r="BM191" s="641">
        <f t="shared" si="90"/>
        <v>999999999</v>
      </c>
      <c r="BN191" s="641">
        <f t="shared" si="90"/>
        <v>999999999</v>
      </c>
      <c r="BO191" s="641">
        <f t="shared" si="90"/>
        <v>999999999</v>
      </c>
      <c r="BP191" s="641">
        <f t="shared" si="90"/>
        <v>999999999</v>
      </c>
      <c r="BQ191" s="641">
        <f t="shared" si="90"/>
        <v>999999999</v>
      </c>
      <c r="BR191" s="641">
        <f t="shared" si="90"/>
        <v>999999999</v>
      </c>
      <c r="BS191" s="641">
        <f t="shared" si="90"/>
        <v>999999999</v>
      </c>
      <c r="BT191" s="641">
        <f t="shared" si="90"/>
        <v>999999999</v>
      </c>
      <c r="BU191" s="641">
        <f t="shared" si="91"/>
        <v>999999999</v>
      </c>
      <c r="BV191" s="641">
        <f t="shared" si="91"/>
        <v>999999999</v>
      </c>
      <c r="BW191" s="641">
        <f t="shared" si="91"/>
        <v>999999999</v>
      </c>
      <c r="BX191" s="641">
        <f t="shared" si="91"/>
        <v>999999999</v>
      </c>
      <c r="BY191" s="641">
        <f t="shared" si="91"/>
        <v>999999999</v>
      </c>
      <c r="BZ191" s="641">
        <f t="shared" si="91"/>
        <v>999999999</v>
      </c>
      <c r="CA191" s="641">
        <f t="shared" si="91"/>
        <v>999999999</v>
      </c>
      <c r="CB191" s="641">
        <f t="shared" si="91"/>
        <v>999999999</v>
      </c>
      <c r="CC191" s="641">
        <f t="shared" si="91"/>
        <v>999999999</v>
      </c>
      <c r="CD191" s="641">
        <f t="shared" si="91"/>
        <v>999999999</v>
      </c>
      <c r="CE191" s="641">
        <f t="shared" si="92"/>
        <v>999999999</v>
      </c>
      <c r="CF191" s="641">
        <f t="shared" si="92"/>
        <v>999999999</v>
      </c>
      <c r="CG191" s="641">
        <f t="shared" si="92"/>
        <v>999999999</v>
      </c>
      <c r="CH191" s="641">
        <f t="shared" si="92"/>
        <v>999999999</v>
      </c>
      <c r="CI191" s="641">
        <f t="shared" si="92"/>
        <v>999999999</v>
      </c>
      <c r="CJ191" s="641">
        <f t="shared" si="92"/>
        <v>999999999</v>
      </c>
      <c r="CK191" s="641">
        <f t="shared" si="92"/>
        <v>999999999</v>
      </c>
      <c r="CL191" s="641">
        <f t="shared" si="92"/>
        <v>999999999</v>
      </c>
      <c r="CM191" s="641">
        <f t="shared" si="92"/>
        <v>999999999</v>
      </c>
      <c r="CN191" s="641">
        <f t="shared" si="92"/>
        <v>999999999</v>
      </c>
      <c r="CO191" s="641">
        <f t="shared" si="93"/>
        <v>999999999</v>
      </c>
      <c r="CP191" s="641">
        <f t="shared" si="93"/>
        <v>999999999</v>
      </c>
      <c r="CQ191" s="641">
        <f t="shared" si="93"/>
        <v>999999999</v>
      </c>
      <c r="CR191" s="641">
        <f t="shared" si="93"/>
        <v>999999999</v>
      </c>
      <c r="CS191" s="641">
        <f t="shared" si="93"/>
        <v>999999999</v>
      </c>
      <c r="CT191" s="641">
        <f t="shared" si="93"/>
        <v>999999999</v>
      </c>
      <c r="CU191" s="641">
        <f t="shared" si="93"/>
        <v>999999999</v>
      </c>
      <c r="CV191" s="641">
        <f t="shared" si="93"/>
        <v>999999999</v>
      </c>
      <c r="CW191" s="641">
        <f t="shared" si="93"/>
        <v>999999999</v>
      </c>
      <c r="CX191" s="641">
        <f t="shared" si="93"/>
        <v>999999999</v>
      </c>
      <c r="CY191" s="641">
        <f t="shared" si="94"/>
        <v>999999999</v>
      </c>
      <c r="CZ191" s="641">
        <f t="shared" si="94"/>
        <v>999999999</v>
      </c>
      <c r="DA191" s="641">
        <f t="shared" si="94"/>
        <v>999999999</v>
      </c>
      <c r="DB191" s="641">
        <f t="shared" si="94"/>
        <v>999999999</v>
      </c>
      <c r="DC191" s="641">
        <f t="shared" si="94"/>
        <v>999999999</v>
      </c>
      <c r="DD191" s="641">
        <f t="shared" si="94"/>
        <v>999999999</v>
      </c>
      <c r="DE191" s="641">
        <f t="shared" si="94"/>
        <v>999999999</v>
      </c>
      <c r="DF191" s="641">
        <f t="shared" si="94"/>
        <v>999999999</v>
      </c>
      <c r="DG191" s="641">
        <f t="shared" si="94"/>
        <v>999999999</v>
      </c>
      <c r="DH191" s="641">
        <f t="shared" si="94"/>
        <v>999999999</v>
      </c>
      <c r="DI191" s="641">
        <f t="shared" si="95"/>
        <v>999999999</v>
      </c>
      <c r="DJ191" s="641">
        <f t="shared" si="95"/>
        <v>999999999</v>
      </c>
      <c r="DK191" s="641">
        <f t="shared" si="95"/>
        <v>999999999</v>
      </c>
      <c r="DL191" s="641">
        <f t="shared" si="95"/>
        <v>999999999</v>
      </c>
      <c r="DM191" s="641">
        <f t="shared" si="95"/>
        <v>999999999</v>
      </c>
      <c r="DN191" s="641">
        <f t="shared" si="95"/>
        <v>999999999</v>
      </c>
      <c r="DO191" s="641">
        <f t="shared" si="95"/>
        <v>999999999</v>
      </c>
      <c r="DP191" s="641">
        <f t="shared" si="95"/>
        <v>999999999</v>
      </c>
      <c r="DQ191" s="641">
        <f t="shared" si="95"/>
        <v>999999999</v>
      </c>
      <c r="DR191" s="641">
        <f t="shared" si="95"/>
        <v>999999999</v>
      </c>
      <c r="DS191" s="641">
        <f t="shared" si="96"/>
        <v>999999999</v>
      </c>
      <c r="DT191" s="641">
        <f t="shared" si="96"/>
        <v>999999999</v>
      </c>
      <c r="DU191" s="641">
        <f t="shared" si="96"/>
        <v>999999999</v>
      </c>
      <c r="DV191" s="641">
        <f t="shared" si="96"/>
        <v>999999999</v>
      </c>
      <c r="DW191" s="641">
        <f t="shared" si="96"/>
        <v>999999999</v>
      </c>
      <c r="DX191" s="641">
        <f t="shared" si="96"/>
        <v>999999999</v>
      </c>
      <c r="DY191" s="641">
        <f t="shared" si="96"/>
        <v>999999999</v>
      </c>
      <c r="DZ191" s="641">
        <f t="shared" si="96"/>
        <v>999999999</v>
      </c>
      <c r="EA191" s="641">
        <f t="shared" si="96"/>
        <v>999999999</v>
      </c>
      <c r="EB191" s="641">
        <f t="shared" si="96"/>
        <v>999999999</v>
      </c>
      <c r="EC191" s="641">
        <f t="shared" si="96"/>
        <v>999999999</v>
      </c>
    </row>
    <row r="192" spans="12:133" ht="15.5">
      <c r="AB192" s="5">
        <f t="shared" si="86"/>
        <v>2</v>
      </c>
      <c r="AC192" s="128">
        <v>49</v>
      </c>
      <c r="AD192" s="129">
        <f t="shared" si="55"/>
        <v>8066.506604000002</v>
      </c>
      <c r="AF192" s="128">
        <v>49</v>
      </c>
      <c r="AG192" s="641">
        <f t="shared" si="87"/>
        <v>489661.50660399999</v>
      </c>
      <c r="AH192" s="641">
        <f t="shared" si="87"/>
        <v>426709.50660399999</v>
      </c>
      <c r="AI192" s="641">
        <f t="shared" si="87"/>
        <v>363757.50660399999</v>
      </c>
      <c r="AJ192" s="641">
        <f t="shared" si="87"/>
        <v>300805.50660399999</v>
      </c>
      <c r="AK192" s="641">
        <f t="shared" si="87"/>
        <v>237853.50660399999</v>
      </c>
      <c r="AL192" s="641">
        <f t="shared" si="87"/>
        <v>174901.50660399999</v>
      </c>
      <c r="AM192" s="641">
        <f t="shared" si="87"/>
        <v>112986.50660399999</v>
      </c>
      <c r="AN192" s="641">
        <f t="shared" si="87"/>
        <v>60526.506604000002</v>
      </c>
      <c r="AO192" s="641">
        <f t="shared" si="87"/>
        <v>8066.506604000002</v>
      </c>
      <c r="AP192" s="641">
        <f t="shared" si="87"/>
        <v>999999999</v>
      </c>
      <c r="AQ192" s="641">
        <f t="shared" si="88"/>
        <v>999999999</v>
      </c>
      <c r="AR192" s="641">
        <f t="shared" si="88"/>
        <v>999999999</v>
      </c>
      <c r="AS192" s="641">
        <f t="shared" si="88"/>
        <v>999999999</v>
      </c>
      <c r="AT192" s="641">
        <f t="shared" si="88"/>
        <v>999999999</v>
      </c>
      <c r="AU192" s="641">
        <f t="shared" si="88"/>
        <v>999999999</v>
      </c>
      <c r="AV192" s="641">
        <f t="shared" si="88"/>
        <v>999999999</v>
      </c>
      <c r="AW192" s="641">
        <f t="shared" si="88"/>
        <v>999999999</v>
      </c>
      <c r="AX192" s="641">
        <f t="shared" si="88"/>
        <v>999999999</v>
      </c>
      <c r="AY192" s="641">
        <f t="shared" si="88"/>
        <v>999999999</v>
      </c>
      <c r="AZ192" s="641">
        <f t="shared" si="88"/>
        <v>999999999</v>
      </c>
      <c r="BA192" s="641">
        <f t="shared" si="89"/>
        <v>999999999</v>
      </c>
      <c r="BB192" s="641">
        <f t="shared" si="89"/>
        <v>999999999</v>
      </c>
      <c r="BC192" s="641">
        <f t="shared" si="89"/>
        <v>999999999</v>
      </c>
      <c r="BD192" s="641">
        <f t="shared" si="89"/>
        <v>999999999</v>
      </c>
      <c r="BE192" s="641">
        <f t="shared" si="89"/>
        <v>999999999</v>
      </c>
      <c r="BF192" s="641">
        <f t="shared" si="89"/>
        <v>999999999</v>
      </c>
      <c r="BG192" s="641">
        <f t="shared" si="89"/>
        <v>999999999</v>
      </c>
      <c r="BH192" s="641">
        <f t="shared" si="89"/>
        <v>999999999</v>
      </c>
      <c r="BI192" s="641">
        <f t="shared" si="89"/>
        <v>999999999</v>
      </c>
      <c r="BJ192" s="641">
        <f t="shared" si="89"/>
        <v>999999999</v>
      </c>
      <c r="BK192" s="641">
        <f t="shared" si="90"/>
        <v>999999999</v>
      </c>
      <c r="BL192" s="641">
        <f t="shared" si="90"/>
        <v>999999999</v>
      </c>
      <c r="BM192" s="641">
        <f t="shared" si="90"/>
        <v>999999999</v>
      </c>
      <c r="BN192" s="641">
        <f t="shared" si="90"/>
        <v>999999999</v>
      </c>
      <c r="BO192" s="641">
        <f t="shared" si="90"/>
        <v>999999999</v>
      </c>
      <c r="BP192" s="641">
        <f t="shared" si="90"/>
        <v>999999999</v>
      </c>
      <c r="BQ192" s="641">
        <f t="shared" si="90"/>
        <v>999999999</v>
      </c>
      <c r="BR192" s="641">
        <f t="shared" si="90"/>
        <v>999999999</v>
      </c>
      <c r="BS192" s="641">
        <f t="shared" si="90"/>
        <v>999999999</v>
      </c>
      <c r="BT192" s="641">
        <f t="shared" si="90"/>
        <v>999999999</v>
      </c>
      <c r="BU192" s="641">
        <f t="shared" si="91"/>
        <v>999999999</v>
      </c>
      <c r="BV192" s="641">
        <f t="shared" si="91"/>
        <v>999999999</v>
      </c>
      <c r="BW192" s="641">
        <f t="shared" si="91"/>
        <v>999999999</v>
      </c>
      <c r="BX192" s="641">
        <f t="shared" si="91"/>
        <v>999999999</v>
      </c>
      <c r="BY192" s="641">
        <f t="shared" si="91"/>
        <v>999999999</v>
      </c>
      <c r="BZ192" s="641">
        <f t="shared" si="91"/>
        <v>999999999</v>
      </c>
      <c r="CA192" s="641">
        <f t="shared" si="91"/>
        <v>999999999</v>
      </c>
      <c r="CB192" s="641">
        <f t="shared" si="91"/>
        <v>999999999</v>
      </c>
      <c r="CC192" s="641">
        <f t="shared" si="91"/>
        <v>999999999</v>
      </c>
      <c r="CD192" s="641">
        <f t="shared" si="91"/>
        <v>999999999</v>
      </c>
      <c r="CE192" s="641">
        <f t="shared" si="92"/>
        <v>999999999</v>
      </c>
      <c r="CF192" s="641">
        <f t="shared" si="92"/>
        <v>999999999</v>
      </c>
      <c r="CG192" s="641">
        <f t="shared" si="92"/>
        <v>999999999</v>
      </c>
      <c r="CH192" s="641">
        <f t="shared" si="92"/>
        <v>999999999</v>
      </c>
      <c r="CI192" s="641">
        <f t="shared" si="92"/>
        <v>999999999</v>
      </c>
      <c r="CJ192" s="641">
        <f t="shared" si="92"/>
        <v>999999999</v>
      </c>
      <c r="CK192" s="641">
        <f t="shared" si="92"/>
        <v>999999999</v>
      </c>
      <c r="CL192" s="641">
        <f t="shared" si="92"/>
        <v>999999999</v>
      </c>
      <c r="CM192" s="641">
        <f t="shared" si="92"/>
        <v>999999999</v>
      </c>
      <c r="CN192" s="641">
        <f t="shared" si="92"/>
        <v>999999999</v>
      </c>
      <c r="CO192" s="641">
        <f t="shared" si="93"/>
        <v>999999999</v>
      </c>
      <c r="CP192" s="641">
        <f t="shared" si="93"/>
        <v>999999999</v>
      </c>
      <c r="CQ192" s="641">
        <f t="shared" si="93"/>
        <v>999999999</v>
      </c>
      <c r="CR192" s="641">
        <f t="shared" si="93"/>
        <v>999999999</v>
      </c>
      <c r="CS192" s="641">
        <f t="shared" si="93"/>
        <v>999999999</v>
      </c>
      <c r="CT192" s="641">
        <f t="shared" si="93"/>
        <v>999999999</v>
      </c>
      <c r="CU192" s="641">
        <f t="shared" si="93"/>
        <v>999999999</v>
      </c>
      <c r="CV192" s="641">
        <f t="shared" si="93"/>
        <v>999999999</v>
      </c>
      <c r="CW192" s="641">
        <f t="shared" si="93"/>
        <v>999999999</v>
      </c>
      <c r="CX192" s="641">
        <f t="shared" si="93"/>
        <v>999999999</v>
      </c>
      <c r="CY192" s="641">
        <f t="shared" si="94"/>
        <v>999999999</v>
      </c>
      <c r="CZ192" s="641">
        <f t="shared" si="94"/>
        <v>999999999</v>
      </c>
      <c r="DA192" s="641">
        <f t="shared" si="94"/>
        <v>999999999</v>
      </c>
      <c r="DB192" s="641">
        <f t="shared" si="94"/>
        <v>999999999</v>
      </c>
      <c r="DC192" s="641">
        <f t="shared" si="94"/>
        <v>999999999</v>
      </c>
      <c r="DD192" s="641">
        <f t="shared" si="94"/>
        <v>999999999</v>
      </c>
      <c r="DE192" s="641">
        <f t="shared" si="94"/>
        <v>999999999</v>
      </c>
      <c r="DF192" s="641">
        <f t="shared" si="94"/>
        <v>999999999</v>
      </c>
      <c r="DG192" s="641">
        <f t="shared" si="94"/>
        <v>999999999</v>
      </c>
      <c r="DH192" s="641">
        <f t="shared" si="94"/>
        <v>999999999</v>
      </c>
      <c r="DI192" s="641">
        <f t="shared" si="95"/>
        <v>999999999</v>
      </c>
      <c r="DJ192" s="641">
        <f t="shared" si="95"/>
        <v>999999999</v>
      </c>
      <c r="DK192" s="641">
        <f t="shared" si="95"/>
        <v>999999999</v>
      </c>
      <c r="DL192" s="641">
        <f t="shared" si="95"/>
        <v>999999999</v>
      </c>
      <c r="DM192" s="641">
        <f t="shared" si="95"/>
        <v>999999999</v>
      </c>
      <c r="DN192" s="641">
        <f t="shared" si="95"/>
        <v>999999999</v>
      </c>
      <c r="DO192" s="641">
        <f t="shared" si="95"/>
        <v>999999999</v>
      </c>
      <c r="DP192" s="641">
        <f t="shared" si="95"/>
        <v>999999999</v>
      </c>
      <c r="DQ192" s="641">
        <f t="shared" si="95"/>
        <v>999999999</v>
      </c>
      <c r="DR192" s="641">
        <f t="shared" si="95"/>
        <v>999999999</v>
      </c>
      <c r="DS192" s="641">
        <f t="shared" si="96"/>
        <v>999999999</v>
      </c>
      <c r="DT192" s="641">
        <f t="shared" si="96"/>
        <v>999999999</v>
      </c>
      <c r="DU192" s="641">
        <f t="shared" si="96"/>
        <v>999999999</v>
      </c>
      <c r="DV192" s="641">
        <f t="shared" si="96"/>
        <v>999999999</v>
      </c>
      <c r="DW192" s="641">
        <f t="shared" si="96"/>
        <v>999999999</v>
      </c>
      <c r="DX192" s="641">
        <f t="shared" si="96"/>
        <v>999999999</v>
      </c>
      <c r="DY192" s="641">
        <f t="shared" si="96"/>
        <v>999999999</v>
      </c>
      <c r="DZ192" s="641">
        <f t="shared" si="96"/>
        <v>999999999</v>
      </c>
      <c r="EA192" s="641">
        <f t="shared" si="96"/>
        <v>999999999</v>
      </c>
      <c r="EB192" s="641">
        <f t="shared" si="96"/>
        <v>999999999</v>
      </c>
      <c r="EC192" s="641">
        <f t="shared" si="96"/>
        <v>999999999</v>
      </c>
    </row>
    <row r="193" spans="28:133" ht="15.5">
      <c r="AB193" s="5">
        <f t="shared" si="86"/>
        <v>2</v>
      </c>
      <c r="AC193" s="128">
        <v>50</v>
      </c>
      <c r="AD193" s="129">
        <f t="shared" si="55"/>
        <v>8066.506604000002</v>
      </c>
      <c r="AF193" s="128">
        <v>50</v>
      </c>
      <c r="AG193" s="641">
        <f t="shared" ref="AG193:AP202" si="97">IF(VLOOKUP($AF193,$T$61:$X$161,2)+VLOOKUP(AG$142,$T$61:$X$161,$AF$141)+VLOOKUP(0,$T$61:$X$161,$AF$140)+VLOOKUP(0,$T$61:$X$161,5)+$Y$51+$Z$44-$U$17&lt;0,999999999,VLOOKUP($AF193,$T$61:$X$161,2)+VLOOKUP(AG$142,$T$61:$X$161,$AF$141)+VLOOKUP(0,$T$61:$X$161,$AF$140)+VLOOKUP(0,$T$61:$X$161,5)+$Y$51+$Z$44-$U$17)</f>
        <v>489661.50660399999</v>
      </c>
      <c r="AH193" s="641">
        <f t="shared" si="97"/>
        <v>426709.50660399999</v>
      </c>
      <c r="AI193" s="641">
        <f t="shared" si="97"/>
        <v>363757.50660399999</v>
      </c>
      <c r="AJ193" s="641">
        <f t="shared" si="97"/>
        <v>300805.50660399999</v>
      </c>
      <c r="AK193" s="641">
        <f t="shared" si="97"/>
        <v>237853.50660399999</v>
      </c>
      <c r="AL193" s="641">
        <f t="shared" si="97"/>
        <v>174901.50660399999</v>
      </c>
      <c r="AM193" s="641">
        <f t="shared" si="97"/>
        <v>112986.50660399999</v>
      </c>
      <c r="AN193" s="641">
        <f t="shared" si="97"/>
        <v>60526.506604000002</v>
      </c>
      <c r="AO193" s="641">
        <f t="shared" si="97"/>
        <v>8066.506604000002</v>
      </c>
      <c r="AP193" s="641">
        <f t="shared" si="97"/>
        <v>999999999</v>
      </c>
      <c r="AQ193" s="641">
        <f t="shared" ref="AQ193:AZ202" si="98">IF(VLOOKUP($AF193,$T$61:$X$161,2)+VLOOKUP(AQ$142,$T$61:$X$161,$AF$141)+VLOOKUP(0,$T$61:$X$161,$AF$140)+VLOOKUP(0,$T$61:$X$161,5)+$Y$51+$Z$44-$U$17&lt;0,999999999,VLOOKUP($AF193,$T$61:$X$161,2)+VLOOKUP(AQ$142,$T$61:$X$161,$AF$141)+VLOOKUP(0,$T$61:$X$161,$AF$140)+VLOOKUP(0,$T$61:$X$161,5)+$Y$51+$Z$44-$U$17)</f>
        <v>999999999</v>
      </c>
      <c r="AR193" s="641">
        <f t="shared" si="98"/>
        <v>999999999</v>
      </c>
      <c r="AS193" s="641">
        <f t="shared" si="98"/>
        <v>999999999</v>
      </c>
      <c r="AT193" s="641">
        <f t="shared" si="98"/>
        <v>999999999</v>
      </c>
      <c r="AU193" s="641">
        <f t="shared" si="98"/>
        <v>999999999</v>
      </c>
      <c r="AV193" s="641">
        <f t="shared" si="98"/>
        <v>999999999</v>
      </c>
      <c r="AW193" s="641">
        <f t="shared" si="98"/>
        <v>999999999</v>
      </c>
      <c r="AX193" s="641">
        <f t="shared" si="98"/>
        <v>999999999</v>
      </c>
      <c r="AY193" s="641">
        <f t="shared" si="98"/>
        <v>999999999</v>
      </c>
      <c r="AZ193" s="641">
        <f t="shared" si="98"/>
        <v>999999999</v>
      </c>
      <c r="BA193" s="641">
        <f t="shared" ref="BA193:BJ202" si="99">IF(VLOOKUP($AF193,$T$61:$X$161,2)+VLOOKUP(BA$142,$T$61:$X$161,$AF$141)+VLOOKUP(0,$T$61:$X$161,$AF$140)+VLOOKUP(0,$T$61:$X$161,5)+$Y$51+$Z$44-$U$17&lt;0,999999999,VLOOKUP($AF193,$T$61:$X$161,2)+VLOOKUP(BA$142,$T$61:$X$161,$AF$141)+VLOOKUP(0,$T$61:$X$161,$AF$140)+VLOOKUP(0,$T$61:$X$161,5)+$Y$51+$Z$44-$U$17)</f>
        <v>999999999</v>
      </c>
      <c r="BB193" s="641">
        <f t="shared" si="99"/>
        <v>999999999</v>
      </c>
      <c r="BC193" s="641">
        <f t="shared" si="99"/>
        <v>999999999</v>
      </c>
      <c r="BD193" s="641">
        <f t="shared" si="99"/>
        <v>999999999</v>
      </c>
      <c r="BE193" s="641">
        <f t="shared" si="99"/>
        <v>999999999</v>
      </c>
      <c r="BF193" s="641">
        <f t="shared" si="99"/>
        <v>999999999</v>
      </c>
      <c r="BG193" s="641">
        <f t="shared" si="99"/>
        <v>999999999</v>
      </c>
      <c r="BH193" s="641">
        <f t="shared" si="99"/>
        <v>999999999</v>
      </c>
      <c r="BI193" s="641">
        <f t="shared" si="99"/>
        <v>999999999</v>
      </c>
      <c r="BJ193" s="641">
        <f t="shared" si="99"/>
        <v>999999999</v>
      </c>
      <c r="BK193" s="641">
        <f t="shared" ref="BK193:BT202" si="100">IF(VLOOKUP($AF193,$T$61:$X$161,2)+VLOOKUP(BK$142,$T$61:$X$161,$AF$141)+VLOOKUP(0,$T$61:$X$161,$AF$140)+VLOOKUP(0,$T$61:$X$161,5)+$Y$51+$Z$44-$U$17&lt;0,999999999,VLOOKUP($AF193,$T$61:$X$161,2)+VLOOKUP(BK$142,$T$61:$X$161,$AF$141)+VLOOKUP(0,$T$61:$X$161,$AF$140)+VLOOKUP(0,$T$61:$X$161,5)+$Y$51+$Z$44-$U$17)</f>
        <v>999999999</v>
      </c>
      <c r="BL193" s="641">
        <f t="shared" si="100"/>
        <v>999999999</v>
      </c>
      <c r="BM193" s="641">
        <f t="shared" si="100"/>
        <v>999999999</v>
      </c>
      <c r="BN193" s="641">
        <f t="shared" si="100"/>
        <v>999999999</v>
      </c>
      <c r="BO193" s="641">
        <f t="shared" si="100"/>
        <v>999999999</v>
      </c>
      <c r="BP193" s="641">
        <f t="shared" si="100"/>
        <v>999999999</v>
      </c>
      <c r="BQ193" s="641">
        <f t="shared" si="100"/>
        <v>999999999</v>
      </c>
      <c r="BR193" s="641">
        <f t="shared" si="100"/>
        <v>999999999</v>
      </c>
      <c r="BS193" s="641">
        <f t="shared" si="100"/>
        <v>999999999</v>
      </c>
      <c r="BT193" s="641">
        <f t="shared" si="100"/>
        <v>999999999</v>
      </c>
      <c r="BU193" s="641">
        <f t="shared" ref="BU193:CD202" si="101">IF(VLOOKUP($AF193,$T$61:$X$161,2)+VLOOKUP(BU$142,$T$61:$X$161,$AF$141)+VLOOKUP(0,$T$61:$X$161,$AF$140)+VLOOKUP(0,$T$61:$X$161,5)+$Y$51+$Z$44-$U$17&lt;0,999999999,VLOOKUP($AF193,$T$61:$X$161,2)+VLOOKUP(BU$142,$T$61:$X$161,$AF$141)+VLOOKUP(0,$T$61:$X$161,$AF$140)+VLOOKUP(0,$T$61:$X$161,5)+$Y$51+$Z$44-$U$17)</f>
        <v>999999999</v>
      </c>
      <c r="BV193" s="641">
        <f t="shared" si="101"/>
        <v>999999999</v>
      </c>
      <c r="BW193" s="641">
        <f t="shared" si="101"/>
        <v>999999999</v>
      </c>
      <c r="BX193" s="641">
        <f t="shared" si="101"/>
        <v>999999999</v>
      </c>
      <c r="BY193" s="641">
        <f t="shared" si="101"/>
        <v>999999999</v>
      </c>
      <c r="BZ193" s="641">
        <f t="shared" si="101"/>
        <v>999999999</v>
      </c>
      <c r="CA193" s="641">
        <f t="shared" si="101"/>
        <v>999999999</v>
      </c>
      <c r="CB193" s="641">
        <f t="shared" si="101"/>
        <v>999999999</v>
      </c>
      <c r="CC193" s="641">
        <f t="shared" si="101"/>
        <v>999999999</v>
      </c>
      <c r="CD193" s="641">
        <f t="shared" si="101"/>
        <v>999999999</v>
      </c>
      <c r="CE193" s="641">
        <f t="shared" ref="CE193:CN202" si="102">IF(VLOOKUP($AF193,$T$61:$X$161,2)+VLOOKUP(CE$142,$T$61:$X$161,$AF$141)+VLOOKUP(0,$T$61:$X$161,$AF$140)+VLOOKUP(0,$T$61:$X$161,5)+$Y$51+$Z$44-$U$17&lt;0,999999999,VLOOKUP($AF193,$T$61:$X$161,2)+VLOOKUP(CE$142,$T$61:$X$161,$AF$141)+VLOOKUP(0,$T$61:$X$161,$AF$140)+VLOOKUP(0,$T$61:$X$161,5)+$Y$51+$Z$44-$U$17)</f>
        <v>999999999</v>
      </c>
      <c r="CF193" s="641">
        <f t="shared" si="102"/>
        <v>999999999</v>
      </c>
      <c r="CG193" s="641">
        <f t="shared" si="102"/>
        <v>999999999</v>
      </c>
      <c r="CH193" s="641">
        <f t="shared" si="102"/>
        <v>999999999</v>
      </c>
      <c r="CI193" s="641">
        <f t="shared" si="102"/>
        <v>999999999</v>
      </c>
      <c r="CJ193" s="641">
        <f t="shared" si="102"/>
        <v>999999999</v>
      </c>
      <c r="CK193" s="641">
        <f t="shared" si="102"/>
        <v>999999999</v>
      </c>
      <c r="CL193" s="641">
        <f t="shared" si="102"/>
        <v>999999999</v>
      </c>
      <c r="CM193" s="641">
        <f t="shared" si="102"/>
        <v>999999999</v>
      </c>
      <c r="CN193" s="641">
        <f t="shared" si="102"/>
        <v>999999999</v>
      </c>
      <c r="CO193" s="641">
        <f t="shared" ref="CO193:CX202" si="103">IF(VLOOKUP($AF193,$T$61:$X$161,2)+VLOOKUP(CO$142,$T$61:$X$161,$AF$141)+VLOOKUP(0,$T$61:$X$161,$AF$140)+VLOOKUP(0,$T$61:$X$161,5)+$Y$51+$Z$44-$U$17&lt;0,999999999,VLOOKUP($AF193,$T$61:$X$161,2)+VLOOKUP(CO$142,$T$61:$X$161,$AF$141)+VLOOKUP(0,$T$61:$X$161,$AF$140)+VLOOKUP(0,$T$61:$X$161,5)+$Y$51+$Z$44-$U$17)</f>
        <v>999999999</v>
      </c>
      <c r="CP193" s="641">
        <f t="shared" si="103"/>
        <v>999999999</v>
      </c>
      <c r="CQ193" s="641">
        <f t="shared" si="103"/>
        <v>999999999</v>
      </c>
      <c r="CR193" s="641">
        <f t="shared" si="103"/>
        <v>999999999</v>
      </c>
      <c r="CS193" s="641">
        <f t="shared" si="103"/>
        <v>999999999</v>
      </c>
      <c r="CT193" s="641">
        <f t="shared" si="103"/>
        <v>999999999</v>
      </c>
      <c r="CU193" s="641">
        <f t="shared" si="103"/>
        <v>999999999</v>
      </c>
      <c r="CV193" s="641">
        <f t="shared" si="103"/>
        <v>999999999</v>
      </c>
      <c r="CW193" s="641">
        <f t="shared" si="103"/>
        <v>999999999</v>
      </c>
      <c r="CX193" s="641">
        <f t="shared" si="103"/>
        <v>999999999</v>
      </c>
      <c r="CY193" s="641">
        <f t="shared" ref="CY193:DH202" si="104">IF(VLOOKUP($AF193,$T$61:$X$161,2)+VLOOKUP(CY$142,$T$61:$X$161,$AF$141)+VLOOKUP(0,$T$61:$X$161,$AF$140)+VLOOKUP(0,$T$61:$X$161,5)+$Y$51+$Z$44-$U$17&lt;0,999999999,VLOOKUP($AF193,$T$61:$X$161,2)+VLOOKUP(CY$142,$T$61:$X$161,$AF$141)+VLOOKUP(0,$T$61:$X$161,$AF$140)+VLOOKUP(0,$T$61:$X$161,5)+$Y$51+$Z$44-$U$17)</f>
        <v>999999999</v>
      </c>
      <c r="CZ193" s="641">
        <f t="shared" si="104"/>
        <v>999999999</v>
      </c>
      <c r="DA193" s="641">
        <f t="shared" si="104"/>
        <v>999999999</v>
      </c>
      <c r="DB193" s="641">
        <f t="shared" si="104"/>
        <v>999999999</v>
      </c>
      <c r="DC193" s="641">
        <f t="shared" si="104"/>
        <v>999999999</v>
      </c>
      <c r="DD193" s="641">
        <f t="shared" si="104"/>
        <v>999999999</v>
      </c>
      <c r="DE193" s="641">
        <f t="shared" si="104"/>
        <v>999999999</v>
      </c>
      <c r="DF193" s="641">
        <f t="shared" si="104"/>
        <v>999999999</v>
      </c>
      <c r="DG193" s="641">
        <f t="shared" si="104"/>
        <v>999999999</v>
      </c>
      <c r="DH193" s="641">
        <f t="shared" si="104"/>
        <v>999999999</v>
      </c>
      <c r="DI193" s="641">
        <f t="shared" ref="DI193:DR202" si="105">IF(VLOOKUP($AF193,$T$61:$X$161,2)+VLOOKUP(DI$142,$T$61:$X$161,$AF$141)+VLOOKUP(0,$T$61:$X$161,$AF$140)+VLOOKUP(0,$T$61:$X$161,5)+$Y$51+$Z$44-$U$17&lt;0,999999999,VLOOKUP($AF193,$T$61:$X$161,2)+VLOOKUP(DI$142,$T$61:$X$161,$AF$141)+VLOOKUP(0,$T$61:$X$161,$AF$140)+VLOOKUP(0,$T$61:$X$161,5)+$Y$51+$Z$44-$U$17)</f>
        <v>999999999</v>
      </c>
      <c r="DJ193" s="641">
        <f t="shared" si="105"/>
        <v>999999999</v>
      </c>
      <c r="DK193" s="641">
        <f t="shared" si="105"/>
        <v>999999999</v>
      </c>
      <c r="DL193" s="641">
        <f t="shared" si="105"/>
        <v>999999999</v>
      </c>
      <c r="DM193" s="641">
        <f t="shared" si="105"/>
        <v>999999999</v>
      </c>
      <c r="DN193" s="641">
        <f t="shared" si="105"/>
        <v>999999999</v>
      </c>
      <c r="DO193" s="641">
        <f t="shared" si="105"/>
        <v>999999999</v>
      </c>
      <c r="DP193" s="641">
        <f t="shared" si="105"/>
        <v>999999999</v>
      </c>
      <c r="DQ193" s="641">
        <f t="shared" si="105"/>
        <v>999999999</v>
      </c>
      <c r="DR193" s="641">
        <f t="shared" si="105"/>
        <v>999999999</v>
      </c>
      <c r="DS193" s="641">
        <f t="shared" ref="DS193:EC202" si="106">IF(VLOOKUP($AF193,$T$61:$X$161,2)+VLOOKUP(DS$142,$T$61:$X$161,$AF$141)+VLOOKUP(0,$T$61:$X$161,$AF$140)+VLOOKUP(0,$T$61:$X$161,5)+$Y$51+$Z$44-$U$17&lt;0,999999999,VLOOKUP($AF193,$T$61:$X$161,2)+VLOOKUP(DS$142,$T$61:$X$161,$AF$141)+VLOOKUP(0,$T$61:$X$161,$AF$140)+VLOOKUP(0,$T$61:$X$161,5)+$Y$51+$Z$44-$U$17)</f>
        <v>999999999</v>
      </c>
      <c r="DT193" s="641">
        <f t="shared" si="106"/>
        <v>999999999</v>
      </c>
      <c r="DU193" s="641">
        <f t="shared" si="106"/>
        <v>999999999</v>
      </c>
      <c r="DV193" s="641">
        <f t="shared" si="106"/>
        <v>999999999</v>
      </c>
      <c r="DW193" s="641">
        <f t="shared" si="106"/>
        <v>999999999</v>
      </c>
      <c r="DX193" s="641">
        <f t="shared" si="106"/>
        <v>999999999</v>
      </c>
      <c r="DY193" s="641">
        <f t="shared" si="106"/>
        <v>999999999</v>
      </c>
      <c r="DZ193" s="641">
        <f t="shared" si="106"/>
        <v>999999999</v>
      </c>
      <c r="EA193" s="641">
        <f t="shared" si="106"/>
        <v>999999999</v>
      </c>
      <c r="EB193" s="641">
        <f t="shared" si="106"/>
        <v>999999999</v>
      </c>
      <c r="EC193" s="641">
        <f t="shared" si="106"/>
        <v>999999999</v>
      </c>
    </row>
    <row r="194" spans="28:133" ht="15.5">
      <c r="AB194" s="5">
        <f t="shared" si="86"/>
        <v>2</v>
      </c>
      <c r="AC194" s="128">
        <v>51</v>
      </c>
      <c r="AD194" s="129">
        <f>MIN(AG194:CE194)</f>
        <v>8066.506604000002</v>
      </c>
      <c r="AF194" s="128">
        <v>51</v>
      </c>
      <c r="AG194" s="641">
        <f t="shared" si="97"/>
        <v>489661.50660399999</v>
      </c>
      <c r="AH194" s="641">
        <f t="shared" si="97"/>
        <v>426709.50660399999</v>
      </c>
      <c r="AI194" s="641">
        <f t="shared" si="97"/>
        <v>363757.50660399999</v>
      </c>
      <c r="AJ194" s="641">
        <f t="shared" si="97"/>
        <v>300805.50660399999</v>
      </c>
      <c r="AK194" s="641">
        <f t="shared" si="97"/>
        <v>237853.50660399999</v>
      </c>
      <c r="AL194" s="641">
        <f t="shared" si="97"/>
        <v>174901.50660399999</v>
      </c>
      <c r="AM194" s="641">
        <f t="shared" si="97"/>
        <v>112986.50660399999</v>
      </c>
      <c r="AN194" s="641">
        <f t="shared" si="97"/>
        <v>60526.506604000002</v>
      </c>
      <c r="AO194" s="641">
        <f t="shared" si="97"/>
        <v>8066.506604000002</v>
      </c>
      <c r="AP194" s="641">
        <f t="shared" si="97"/>
        <v>999999999</v>
      </c>
      <c r="AQ194" s="641">
        <f t="shared" si="98"/>
        <v>999999999</v>
      </c>
      <c r="AR194" s="641">
        <f t="shared" si="98"/>
        <v>999999999</v>
      </c>
      <c r="AS194" s="641">
        <f t="shared" si="98"/>
        <v>999999999</v>
      </c>
      <c r="AT194" s="641">
        <f t="shared" si="98"/>
        <v>999999999</v>
      </c>
      <c r="AU194" s="641">
        <f t="shared" si="98"/>
        <v>999999999</v>
      </c>
      <c r="AV194" s="641">
        <f t="shared" si="98"/>
        <v>999999999</v>
      </c>
      <c r="AW194" s="641">
        <f t="shared" si="98"/>
        <v>999999999</v>
      </c>
      <c r="AX194" s="641">
        <f t="shared" si="98"/>
        <v>999999999</v>
      </c>
      <c r="AY194" s="641">
        <f t="shared" si="98"/>
        <v>999999999</v>
      </c>
      <c r="AZ194" s="641">
        <f t="shared" si="98"/>
        <v>999999999</v>
      </c>
      <c r="BA194" s="641">
        <f t="shared" si="99"/>
        <v>999999999</v>
      </c>
      <c r="BB194" s="641">
        <f t="shared" si="99"/>
        <v>999999999</v>
      </c>
      <c r="BC194" s="641">
        <f t="shared" si="99"/>
        <v>999999999</v>
      </c>
      <c r="BD194" s="641">
        <f t="shared" si="99"/>
        <v>999999999</v>
      </c>
      <c r="BE194" s="641">
        <f t="shared" si="99"/>
        <v>999999999</v>
      </c>
      <c r="BF194" s="641">
        <f t="shared" si="99"/>
        <v>999999999</v>
      </c>
      <c r="BG194" s="641">
        <f t="shared" si="99"/>
        <v>999999999</v>
      </c>
      <c r="BH194" s="641">
        <f t="shared" si="99"/>
        <v>999999999</v>
      </c>
      <c r="BI194" s="641">
        <f t="shared" si="99"/>
        <v>999999999</v>
      </c>
      <c r="BJ194" s="641">
        <f t="shared" si="99"/>
        <v>999999999</v>
      </c>
      <c r="BK194" s="641">
        <f t="shared" si="100"/>
        <v>999999999</v>
      </c>
      <c r="BL194" s="641">
        <f t="shared" si="100"/>
        <v>999999999</v>
      </c>
      <c r="BM194" s="641">
        <f t="shared" si="100"/>
        <v>999999999</v>
      </c>
      <c r="BN194" s="641">
        <f t="shared" si="100"/>
        <v>999999999</v>
      </c>
      <c r="BO194" s="641">
        <f t="shared" si="100"/>
        <v>999999999</v>
      </c>
      <c r="BP194" s="641">
        <f t="shared" si="100"/>
        <v>999999999</v>
      </c>
      <c r="BQ194" s="641">
        <f t="shared" si="100"/>
        <v>999999999</v>
      </c>
      <c r="BR194" s="641">
        <f t="shared" si="100"/>
        <v>999999999</v>
      </c>
      <c r="BS194" s="641">
        <f t="shared" si="100"/>
        <v>999999999</v>
      </c>
      <c r="BT194" s="641">
        <f t="shared" si="100"/>
        <v>999999999</v>
      </c>
      <c r="BU194" s="641">
        <f t="shared" si="101"/>
        <v>999999999</v>
      </c>
      <c r="BV194" s="641">
        <f t="shared" si="101"/>
        <v>999999999</v>
      </c>
      <c r="BW194" s="641">
        <f t="shared" si="101"/>
        <v>999999999</v>
      </c>
      <c r="BX194" s="641">
        <f t="shared" si="101"/>
        <v>999999999</v>
      </c>
      <c r="BY194" s="641">
        <f t="shared" si="101"/>
        <v>999999999</v>
      </c>
      <c r="BZ194" s="641">
        <f t="shared" si="101"/>
        <v>999999999</v>
      </c>
      <c r="CA194" s="641">
        <f t="shared" si="101"/>
        <v>999999999</v>
      </c>
      <c r="CB194" s="641">
        <f t="shared" si="101"/>
        <v>999999999</v>
      </c>
      <c r="CC194" s="641">
        <f t="shared" si="101"/>
        <v>999999999</v>
      </c>
      <c r="CD194" s="641">
        <f t="shared" si="101"/>
        <v>999999999</v>
      </c>
      <c r="CE194" s="641">
        <f t="shared" si="102"/>
        <v>999999999</v>
      </c>
      <c r="CF194" s="641">
        <f t="shared" si="102"/>
        <v>999999999</v>
      </c>
      <c r="CG194" s="641">
        <f t="shared" si="102"/>
        <v>999999999</v>
      </c>
      <c r="CH194" s="641">
        <f t="shared" si="102"/>
        <v>999999999</v>
      </c>
      <c r="CI194" s="641">
        <f t="shared" si="102"/>
        <v>999999999</v>
      </c>
      <c r="CJ194" s="641">
        <f t="shared" si="102"/>
        <v>999999999</v>
      </c>
      <c r="CK194" s="641">
        <f t="shared" si="102"/>
        <v>999999999</v>
      </c>
      <c r="CL194" s="641">
        <f t="shared" si="102"/>
        <v>999999999</v>
      </c>
      <c r="CM194" s="641">
        <f t="shared" si="102"/>
        <v>999999999</v>
      </c>
      <c r="CN194" s="641">
        <f t="shared" si="102"/>
        <v>999999999</v>
      </c>
      <c r="CO194" s="641">
        <f t="shared" si="103"/>
        <v>999999999</v>
      </c>
      <c r="CP194" s="641">
        <f t="shared" si="103"/>
        <v>999999999</v>
      </c>
      <c r="CQ194" s="641">
        <f t="shared" si="103"/>
        <v>999999999</v>
      </c>
      <c r="CR194" s="641">
        <f t="shared" si="103"/>
        <v>999999999</v>
      </c>
      <c r="CS194" s="641">
        <f t="shared" si="103"/>
        <v>999999999</v>
      </c>
      <c r="CT194" s="641">
        <f t="shared" si="103"/>
        <v>999999999</v>
      </c>
      <c r="CU194" s="641">
        <f t="shared" si="103"/>
        <v>999999999</v>
      </c>
      <c r="CV194" s="641">
        <f t="shared" si="103"/>
        <v>999999999</v>
      </c>
      <c r="CW194" s="641">
        <f t="shared" si="103"/>
        <v>999999999</v>
      </c>
      <c r="CX194" s="641">
        <f t="shared" si="103"/>
        <v>999999999</v>
      </c>
      <c r="CY194" s="641">
        <f t="shared" si="104"/>
        <v>999999999</v>
      </c>
      <c r="CZ194" s="641">
        <f t="shared" si="104"/>
        <v>999999999</v>
      </c>
      <c r="DA194" s="641">
        <f t="shared" si="104"/>
        <v>999999999</v>
      </c>
      <c r="DB194" s="641">
        <f t="shared" si="104"/>
        <v>999999999</v>
      </c>
      <c r="DC194" s="641">
        <f t="shared" si="104"/>
        <v>999999999</v>
      </c>
      <c r="DD194" s="641">
        <f t="shared" si="104"/>
        <v>999999999</v>
      </c>
      <c r="DE194" s="641">
        <f t="shared" si="104"/>
        <v>999999999</v>
      </c>
      <c r="DF194" s="641">
        <f t="shared" si="104"/>
        <v>999999999</v>
      </c>
      <c r="DG194" s="641">
        <f t="shared" si="104"/>
        <v>999999999</v>
      </c>
      <c r="DH194" s="641">
        <f t="shared" si="104"/>
        <v>999999999</v>
      </c>
      <c r="DI194" s="641">
        <f t="shared" si="105"/>
        <v>999999999</v>
      </c>
      <c r="DJ194" s="641">
        <f t="shared" si="105"/>
        <v>999999999</v>
      </c>
      <c r="DK194" s="641">
        <f t="shared" si="105"/>
        <v>999999999</v>
      </c>
      <c r="DL194" s="641">
        <f t="shared" si="105"/>
        <v>999999999</v>
      </c>
      <c r="DM194" s="641">
        <f t="shared" si="105"/>
        <v>999999999</v>
      </c>
      <c r="DN194" s="641">
        <f t="shared" si="105"/>
        <v>999999999</v>
      </c>
      <c r="DO194" s="641">
        <f t="shared" si="105"/>
        <v>999999999</v>
      </c>
      <c r="DP194" s="641">
        <f t="shared" si="105"/>
        <v>999999999</v>
      </c>
      <c r="DQ194" s="641">
        <f t="shared" si="105"/>
        <v>999999999</v>
      </c>
      <c r="DR194" s="641">
        <f t="shared" si="105"/>
        <v>999999999</v>
      </c>
      <c r="DS194" s="641">
        <f t="shared" si="106"/>
        <v>999999999</v>
      </c>
      <c r="DT194" s="641">
        <f t="shared" si="106"/>
        <v>999999999</v>
      </c>
      <c r="DU194" s="641">
        <f t="shared" si="106"/>
        <v>999999999</v>
      </c>
      <c r="DV194" s="641">
        <f t="shared" si="106"/>
        <v>999999999</v>
      </c>
      <c r="DW194" s="641">
        <f t="shared" si="106"/>
        <v>999999999</v>
      </c>
      <c r="DX194" s="641">
        <f t="shared" si="106"/>
        <v>999999999</v>
      </c>
      <c r="DY194" s="641">
        <f t="shared" si="106"/>
        <v>999999999</v>
      </c>
      <c r="DZ194" s="641">
        <f t="shared" si="106"/>
        <v>999999999</v>
      </c>
      <c r="EA194" s="641">
        <f t="shared" si="106"/>
        <v>999999999</v>
      </c>
      <c r="EB194" s="641">
        <f t="shared" si="106"/>
        <v>999999999</v>
      </c>
      <c r="EC194" s="641">
        <f t="shared" si="106"/>
        <v>999999999</v>
      </c>
    </row>
    <row r="195" spans="28:133" ht="15.5">
      <c r="AB195" s="5">
        <f t="shared" si="86"/>
        <v>2</v>
      </c>
      <c r="AC195" s="128">
        <v>52</v>
      </c>
      <c r="AD195" s="129">
        <f t="shared" ref="AD195:AD243" si="107">MIN(AG195:CE195)</f>
        <v>8066.506604000002</v>
      </c>
      <c r="AF195" s="128">
        <v>52</v>
      </c>
      <c r="AG195" s="641">
        <f t="shared" si="97"/>
        <v>489661.50660399999</v>
      </c>
      <c r="AH195" s="641">
        <f t="shared" si="97"/>
        <v>426709.50660399999</v>
      </c>
      <c r="AI195" s="641">
        <f t="shared" si="97"/>
        <v>363757.50660399999</v>
      </c>
      <c r="AJ195" s="641">
        <f t="shared" si="97"/>
        <v>300805.50660399999</v>
      </c>
      <c r="AK195" s="641">
        <f t="shared" si="97"/>
        <v>237853.50660399999</v>
      </c>
      <c r="AL195" s="641">
        <f t="shared" si="97"/>
        <v>174901.50660399999</v>
      </c>
      <c r="AM195" s="641">
        <f t="shared" si="97"/>
        <v>112986.50660399999</v>
      </c>
      <c r="AN195" s="641">
        <f t="shared" si="97"/>
        <v>60526.506604000002</v>
      </c>
      <c r="AO195" s="641">
        <f t="shared" si="97"/>
        <v>8066.506604000002</v>
      </c>
      <c r="AP195" s="641">
        <f t="shared" si="97"/>
        <v>999999999</v>
      </c>
      <c r="AQ195" s="641">
        <f t="shared" si="98"/>
        <v>999999999</v>
      </c>
      <c r="AR195" s="641">
        <f t="shared" si="98"/>
        <v>999999999</v>
      </c>
      <c r="AS195" s="641">
        <f t="shared" si="98"/>
        <v>999999999</v>
      </c>
      <c r="AT195" s="641">
        <f t="shared" si="98"/>
        <v>999999999</v>
      </c>
      <c r="AU195" s="641">
        <f t="shared" si="98"/>
        <v>999999999</v>
      </c>
      <c r="AV195" s="641">
        <f t="shared" si="98"/>
        <v>999999999</v>
      </c>
      <c r="AW195" s="641">
        <f t="shared" si="98"/>
        <v>999999999</v>
      </c>
      <c r="AX195" s="641">
        <f t="shared" si="98"/>
        <v>999999999</v>
      </c>
      <c r="AY195" s="641">
        <f t="shared" si="98"/>
        <v>999999999</v>
      </c>
      <c r="AZ195" s="641">
        <f t="shared" si="98"/>
        <v>999999999</v>
      </c>
      <c r="BA195" s="641">
        <f t="shared" si="99"/>
        <v>999999999</v>
      </c>
      <c r="BB195" s="641">
        <f t="shared" si="99"/>
        <v>999999999</v>
      </c>
      <c r="BC195" s="641">
        <f t="shared" si="99"/>
        <v>999999999</v>
      </c>
      <c r="BD195" s="641">
        <f t="shared" si="99"/>
        <v>999999999</v>
      </c>
      <c r="BE195" s="641">
        <f t="shared" si="99"/>
        <v>999999999</v>
      </c>
      <c r="BF195" s="641">
        <f t="shared" si="99"/>
        <v>999999999</v>
      </c>
      <c r="BG195" s="641">
        <f t="shared" si="99"/>
        <v>999999999</v>
      </c>
      <c r="BH195" s="641">
        <f t="shared" si="99"/>
        <v>999999999</v>
      </c>
      <c r="BI195" s="641">
        <f t="shared" si="99"/>
        <v>999999999</v>
      </c>
      <c r="BJ195" s="641">
        <f t="shared" si="99"/>
        <v>999999999</v>
      </c>
      <c r="BK195" s="641">
        <f t="shared" si="100"/>
        <v>999999999</v>
      </c>
      <c r="BL195" s="641">
        <f t="shared" si="100"/>
        <v>999999999</v>
      </c>
      <c r="BM195" s="641">
        <f t="shared" si="100"/>
        <v>999999999</v>
      </c>
      <c r="BN195" s="641">
        <f t="shared" si="100"/>
        <v>999999999</v>
      </c>
      <c r="BO195" s="641">
        <f t="shared" si="100"/>
        <v>999999999</v>
      </c>
      <c r="BP195" s="641">
        <f t="shared" si="100"/>
        <v>999999999</v>
      </c>
      <c r="BQ195" s="641">
        <f t="shared" si="100"/>
        <v>999999999</v>
      </c>
      <c r="BR195" s="641">
        <f t="shared" si="100"/>
        <v>999999999</v>
      </c>
      <c r="BS195" s="641">
        <f t="shared" si="100"/>
        <v>999999999</v>
      </c>
      <c r="BT195" s="641">
        <f t="shared" si="100"/>
        <v>999999999</v>
      </c>
      <c r="BU195" s="641">
        <f t="shared" si="101"/>
        <v>999999999</v>
      </c>
      <c r="BV195" s="641">
        <f t="shared" si="101"/>
        <v>999999999</v>
      </c>
      <c r="BW195" s="641">
        <f t="shared" si="101"/>
        <v>999999999</v>
      </c>
      <c r="BX195" s="641">
        <f t="shared" si="101"/>
        <v>999999999</v>
      </c>
      <c r="BY195" s="641">
        <f t="shared" si="101"/>
        <v>999999999</v>
      </c>
      <c r="BZ195" s="641">
        <f t="shared" si="101"/>
        <v>999999999</v>
      </c>
      <c r="CA195" s="641">
        <f t="shared" si="101"/>
        <v>999999999</v>
      </c>
      <c r="CB195" s="641">
        <f t="shared" si="101"/>
        <v>999999999</v>
      </c>
      <c r="CC195" s="641">
        <f t="shared" si="101"/>
        <v>999999999</v>
      </c>
      <c r="CD195" s="641">
        <f t="shared" si="101"/>
        <v>999999999</v>
      </c>
      <c r="CE195" s="641">
        <f t="shared" si="102"/>
        <v>999999999</v>
      </c>
      <c r="CF195" s="641">
        <f t="shared" si="102"/>
        <v>999999999</v>
      </c>
      <c r="CG195" s="641">
        <f t="shared" si="102"/>
        <v>999999999</v>
      </c>
      <c r="CH195" s="641">
        <f t="shared" si="102"/>
        <v>999999999</v>
      </c>
      <c r="CI195" s="641">
        <f t="shared" si="102"/>
        <v>999999999</v>
      </c>
      <c r="CJ195" s="641">
        <f t="shared" si="102"/>
        <v>999999999</v>
      </c>
      <c r="CK195" s="641">
        <f t="shared" si="102"/>
        <v>999999999</v>
      </c>
      <c r="CL195" s="641">
        <f t="shared" si="102"/>
        <v>999999999</v>
      </c>
      <c r="CM195" s="641">
        <f t="shared" si="102"/>
        <v>999999999</v>
      </c>
      <c r="CN195" s="641">
        <f t="shared" si="102"/>
        <v>999999999</v>
      </c>
      <c r="CO195" s="641">
        <f t="shared" si="103"/>
        <v>999999999</v>
      </c>
      <c r="CP195" s="641">
        <f t="shared" si="103"/>
        <v>999999999</v>
      </c>
      <c r="CQ195" s="641">
        <f t="shared" si="103"/>
        <v>999999999</v>
      </c>
      <c r="CR195" s="641">
        <f t="shared" si="103"/>
        <v>999999999</v>
      </c>
      <c r="CS195" s="641">
        <f t="shared" si="103"/>
        <v>999999999</v>
      </c>
      <c r="CT195" s="641">
        <f t="shared" si="103"/>
        <v>999999999</v>
      </c>
      <c r="CU195" s="641">
        <f t="shared" si="103"/>
        <v>999999999</v>
      </c>
      <c r="CV195" s="641">
        <f t="shared" si="103"/>
        <v>999999999</v>
      </c>
      <c r="CW195" s="641">
        <f t="shared" si="103"/>
        <v>999999999</v>
      </c>
      <c r="CX195" s="641">
        <f t="shared" si="103"/>
        <v>999999999</v>
      </c>
      <c r="CY195" s="641">
        <f t="shared" si="104"/>
        <v>999999999</v>
      </c>
      <c r="CZ195" s="641">
        <f t="shared" si="104"/>
        <v>999999999</v>
      </c>
      <c r="DA195" s="641">
        <f t="shared" si="104"/>
        <v>999999999</v>
      </c>
      <c r="DB195" s="641">
        <f t="shared" si="104"/>
        <v>999999999</v>
      </c>
      <c r="DC195" s="641">
        <f t="shared" si="104"/>
        <v>999999999</v>
      </c>
      <c r="DD195" s="641">
        <f t="shared" si="104"/>
        <v>999999999</v>
      </c>
      <c r="DE195" s="641">
        <f t="shared" si="104"/>
        <v>999999999</v>
      </c>
      <c r="DF195" s="641">
        <f t="shared" si="104"/>
        <v>999999999</v>
      </c>
      <c r="DG195" s="641">
        <f t="shared" si="104"/>
        <v>999999999</v>
      </c>
      <c r="DH195" s="641">
        <f t="shared" si="104"/>
        <v>999999999</v>
      </c>
      <c r="DI195" s="641">
        <f t="shared" si="105"/>
        <v>999999999</v>
      </c>
      <c r="DJ195" s="641">
        <f t="shared" si="105"/>
        <v>999999999</v>
      </c>
      <c r="DK195" s="641">
        <f t="shared" si="105"/>
        <v>999999999</v>
      </c>
      <c r="DL195" s="641">
        <f t="shared" si="105"/>
        <v>999999999</v>
      </c>
      <c r="DM195" s="641">
        <f t="shared" si="105"/>
        <v>999999999</v>
      </c>
      <c r="DN195" s="641">
        <f t="shared" si="105"/>
        <v>999999999</v>
      </c>
      <c r="DO195" s="641">
        <f t="shared" si="105"/>
        <v>999999999</v>
      </c>
      <c r="DP195" s="641">
        <f t="shared" si="105"/>
        <v>999999999</v>
      </c>
      <c r="DQ195" s="641">
        <f t="shared" si="105"/>
        <v>999999999</v>
      </c>
      <c r="DR195" s="641">
        <f t="shared" si="105"/>
        <v>999999999</v>
      </c>
      <c r="DS195" s="641">
        <f t="shared" si="106"/>
        <v>999999999</v>
      </c>
      <c r="DT195" s="641">
        <f t="shared" si="106"/>
        <v>999999999</v>
      </c>
      <c r="DU195" s="641">
        <f t="shared" si="106"/>
        <v>999999999</v>
      </c>
      <c r="DV195" s="641">
        <f t="shared" si="106"/>
        <v>999999999</v>
      </c>
      <c r="DW195" s="641">
        <f t="shared" si="106"/>
        <v>999999999</v>
      </c>
      <c r="DX195" s="641">
        <f t="shared" si="106"/>
        <v>999999999</v>
      </c>
      <c r="DY195" s="641">
        <f t="shared" si="106"/>
        <v>999999999</v>
      </c>
      <c r="DZ195" s="641">
        <f t="shared" si="106"/>
        <v>999999999</v>
      </c>
      <c r="EA195" s="641">
        <f t="shared" si="106"/>
        <v>999999999</v>
      </c>
      <c r="EB195" s="641">
        <f t="shared" si="106"/>
        <v>999999999</v>
      </c>
      <c r="EC195" s="641">
        <f t="shared" si="106"/>
        <v>999999999</v>
      </c>
    </row>
    <row r="196" spans="28:133" ht="15.5">
      <c r="AB196" s="5">
        <f t="shared" si="86"/>
        <v>2</v>
      </c>
      <c r="AC196" s="128">
        <v>53</v>
      </c>
      <c r="AD196" s="129">
        <f t="shared" si="107"/>
        <v>8066.506604000002</v>
      </c>
      <c r="AF196" s="128">
        <v>53</v>
      </c>
      <c r="AG196" s="641">
        <f t="shared" si="97"/>
        <v>489661.50660399999</v>
      </c>
      <c r="AH196" s="641">
        <f t="shared" si="97"/>
        <v>426709.50660399999</v>
      </c>
      <c r="AI196" s="641">
        <f t="shared" si="97"/>
        <v>363757.50660399999</v>
      </c>
      <c r="AJ196" s="641">
        <f t="shared" si="97"/>
        <v>300805.50660399999</v>
      </c>
      <c r="AK196" s="641">
        <f t="shared" si="97"/>
        <v>237853.50660399999</v>
      </c>
      <c r="AL196" s="641">
        <f t="shared" si="97"/>
        <v>174901.50660399999</v>
      </c>
      <c r="AM196" s="641">
        <f t="shared" si="97"/>
        <v>112986.50660399999</v>
      </c>
      <c r="AN196" s="641">
        <f t="shared" si="97"/>
        <v>60526.506604000002</v>
      </c>
      <c r="AO196" s="641">
        <f t="shared" si="97"/>
        <v>8066.506604000002</v>
      </c>
      <c r="AP196" s="641">
        <f t="shared" si="97"/>
        <v>999999999</v>
      </c>
      <c r="AQ196" s="641">
        <f t="shared" si="98"/>
        <v>999999999</v>
      </c>
      <c r="AR196" s="641">
        <f t="shared" si="98"/>
        <v>999999999</v>
      </c>
      <c r="AS196" s="641">
        <f t="shared" si="98"/>
        <v>999999999</v>
      </c>
      <c r="AT196" s="641">
        <f t="shared" si="98"/>
        <v>999999999</v>
      </c>
      <c r="AU196" s="641">
        <f t="shared" si="98"/>
        <v>999999999</v>
      </c>
      <c r="AV196" s="641">
        <f t="shared" si="98"/>
        <v>999999999</v>
      </c>
      <c r="AW196" s="641">
        <f t="shared" si="98"/>
        <v>999999999</v>
      </c>
      <c r="AX196" s="641">
        <f t="shared" si="98"/>
        <v>999999999</v>
      </c>
      <c r="AY196" s="641">
        <f t="shared" si="98"/>
        <v>999999999</v>
      </c>
      <c r="AZ196" s="641">
        <f t="shared" si="98"/>
        <v>999999999</v>
      </c>
      <c r="BA196" s="641">
        <f t="shared" si="99"/>
        <v>999999999</v>
      </c>
      <c r="BB196" s="641">
        <f t="shared" si="99"/>
        <v>999999999</v>
      </c>
      <c r="BC196" s="641">
        <f t="shared" si="99"/>
        <v>999999999</v>
      </c>
      <c r="BD196" s="641">
        <f t="shared" si="99"/>
        <v>999999999</v>
      </c>
      <c r="BE196" s="641">
        <f t="shared" si="99"/>
        <v>999999999</v>
      </c>
      <c r="BF196" s="641">
        <f t="shared" si="99"/>
        <v>999999999</v>
      </c>
      <c r="BG196" s="641">
        <f t="shared" si="99"/>
        <v>999999999</v>
      </c>
      <c r="BH196" s="641">
        <f t="shared" si="99"/>
        <v>999999999</v>
      </c>
      <c r="BI196" s="641">
        <f t="shared" si="99"/>
        <v>999999999</v>
      </c>
      <c r="BJ196" s="641">
        <f t="shared" si="99"/>
        <v>999999999</v>
      </c>
      <c r="BK196" s="641">
        <f t="shared" si="100"/>
        <v>999999999</v>
      </c>
      <c r="BL196" s="641">
        <f t="shared" si="100"/>
        <v>999999999</v>
      </c>
      <c r="BM196" s="641">
        <f t="shared" si="100"/>
        <v>999999999</v>
      </c>
      <c r="BN196" s="641">
        <f t="shared" si="100"/>
        <v>999999999</v>
      </c>
      <c r="BO196" s="641">
        <f t="shared" si="100"/>
        <v>999999999</v>
      </c>
      <c r="BP196" s="641">
        <f t="shared" si="100"/>
        <v>999999999</v>
      </c>
      <c r="BQ196" s="641">
        <f t="shared" si="100"/>
        <v>999999999</v>
      </c>
      <c r="BR196" s="641">
        <f t="shared" si="100"/>
        <v>999999999</v>
      </c>
      <c r="BS196" s="641">
        <f t="shared" si="100"/>
        <v>999999999</v>
      </c>
      <c r="BT196" s="641">
        <f t="shared" si="100"/>
        <v>999999999</v>
      </c>
      <c r="BU196" s="641">
        <f t="shared" si="101"/>
        <v>999999999</v>
      </c>
      <c r="BV196" s="641">
        <f t="shared" si="101"/>
        <v>999999999</v>
      </c>
      <c r="BW196" s="641">
        <f t="shared" si="101"/>
        <v>999999999</v>
      </c>
      <c r="BX196" s="641">
        <f t="shared" si="101"/>
        <v>999999999</v>
      </c>
      <c r="BY196" s="641">
        <f t="shared" si="101"/>
        <v>999999999</v>
      </c>
      <c r="BZ196" s="641">
        <f t="shared" si="101"/>
        <v>999999999</v>
      </c>
      <c r="CA196" s="641">
        <f t="shared" si="101"/>
        <v>999999999</v>
      </c>
      <c r="CB196" s="641">
        <f t="shared" si="101"/>
        <v>999999999</v>
      </c>
      <c r="CC196" s="641">
        <f t="shared" si="101"/>
        <v>999999999</v>
      </c>
      <c r="CD196" s="641">
        <f t="shared" si="101"/>
        <v>999999999</v>
      </c>
      <c r="CE196" s="641">
        <f t="shared" si="102"/>
        <v>999999999</v>
      </c>
      <c r="CF196" s="641">
        <f t="shared" si="102"/>
        <v>999999999</v>
      </c>
      <c r="CG196" s="641">
        <f t="shared" si="102"/>
        <v>999999999</v>
      </c>
      <c r="CH196" s="641">
        <f t="shared" si="102"/>
        <v>999999999</v>
      </c>
      <c r="CI196" s="641">
        <f t="shared" si="102"/>
        <v>999999999</v>
      </c>
      <c r="CJ196" s="641">
        <f t="shared" si="102"/>
        <v>999999999</v>
      </c>
      <c r="CK196" s="641">
        <f t="shared" si="102"/>
        <v>999999999</v>
      </c>
      <c r="CL196" s="641">
        <f t="shared" si="102"/>
        <v>999999999</v>
      </c>
      <c r="CM196" s="641">
        <f t="shared" si="102"/>
        <v>999999999</v>
      </c>
      <c r="CN196" s="641">
        <f t="shared" si="102"/>
        <v>999999999</v>
      </c>
      <c r="CO196" s="641">
        <f t="shared" si="103"/>
        <v>999999999</v>
      </c>
      <c r="CP196" s="641">
        <f t="shared" si="103"/>
        <v>999999999</v>
      </c>
      <c r="CQ196" s="641">
        <f t="shared" si="103"/>
        <v>999999999</v>
      </c>
      <c r="CR196" s="641">
        <f t="shared" si="103"/>
        <v>999999999</v>
      </c>
      <c r="CS196" s="641">
        <f t="shared" si="103"/>
        <v>999999999</v>
      </c>
      <c r="CT196" s="641">
        <f t="shared" si="103"/>
        <v>999999999</v>
      </c>
      <c r="CU196" s="641">
        <f t="shared" si="103"/>
        <v>999999999</v>
      </c>
      <c r="CV196" s="641">
        <f t="shared" si="103"/>
        <v>999999999</v>
      </c>
      <c r="CW196" s="641">
        <f t="shared" si="103"/>
        <v>999999999</v>
      </c>
      <c r="CX196" s="641">
        <f t="shared" si="103"/>
        <v>999999999</v>
      </c>
      <c r="CY196" s="641">
        <f t="shared" si="104"/>
        <v>999999999</v>
      </c>
      <c r="CZ196" s="641">
        <f t="shared" si="104"/>
        <v>999999999</v>
      </c>
      <c r="DA196" s="641">
        <f t="shared" si="104"/>
        <v>999999999</v>
      </c>
      <c r="DB196" s="641">
        <f t="shared" si="104"/>
        <v>999999999</v>
      </c>
      <c r="DC196" s="641">
        <f t="shared" si="104"/>
        <v>999999999</v>
      </c>
      <c r="DD196" s="641">
        <f t="shared" si="104"/>
        <v>999999999</v>
      </c>
      <c r="DE196" s="641">
        <f t="shared" si="104"/>
        <v>999999999</v>
      </c>
      <c r="DF196" s="641">
        <f t="shared" si="104"/>
        <v>999999999</v>
      </c>
      <c r="DG196" s="641">
        <f t="shared" si="104"/>
        <v>999999999</v>
      </c>
      <c r="DH196" s="641">
        <f t="shared" si="104"/>
        <v>999999999</v>
      </c>
      <c r="DI196" s="641">
        <f t="shared" si="105"/>
        <v>999999999</v>
      </c>
      <c r="DJ196" s="641">
        <f t="shared" si="105"/>
        <v>999999999</v>
      </c>
      <c r="DK196" s="641">
        <f t="shared" si="105"/>
        <v>999999999</v>
      </c>
      <c r="DL196" s="641">
        <f t="shared" si="105"/>
        <v>999999999</v>
      </c>
      <c r="DM196" s="641">
        <f t="shared" si="105"/>
        <v>999999999</v>
      </c>
      <c r="DN196" s="641">
        <f t="shared" si="105"/>
        <v>999999999</v>
      </c>
      <c r="DO196" s="641">
        <f t="shared" si="105"/>
        <v>999999999</v>
      </c>
      <c r="DP196" s="641">
        <f t="shared" si="105"/>
        <v>999999999</v>
      </c>
      <c r="DQ196" s="641">
        <f t="shared" si="105"/>
        <v>999999999</v>
      </c>
      <c r="DR196" s="641">
        <f t="shared" si="105"/>
        <v>999999999</v>
      </c>
      <c r="DS196" s="641">
        <f t="shared" si="106"/>
        <v>999999999</v>
      </c>
      <c r="DT196" s="641">
        <f t="shared" si="106"/>
        <v>999999999</v>
      </c>
      <c r="DU196" s="641">
        <f t="shared" si="106"/>
        <v>999999999</v>
      </c>
      <c r="DV196" s="641">
        <f t="shared" si="106"/>
        <v>999999999</v>
      </c>
      <c r="DW196" s="641">
        <f t="shared" si="106"/>
        <v>999999999</v>
      </c>
      <c r="DX196" s="641">
        <f t="shared" si="106"/>
        <v>999999999</v>
      </c>
      <c r="DY196" s="641">
        <f t="shared" si="106"/>
        <v>999999999</v>
      </c>
      <c r="DZ196" s="641">
        <f t="shared" si="106"/>
        <v>999999999</v>
      </c>
      <c r="EA196" s="641">
        <f t="shared" si="106"/>
        <v>999999999</v>
      </c>
      <c r="EB196" s="641">
        <f t="shared" si="106"/>
        <v>999999999</v>
      </c>
      <c r="EC196" s="641">
        <f t="shared" si="106"/>
        <v>999999999</v>
      </c>
    </row>
    <row r="197" spans="28:133" ht="15.5">
      <c r="AB197" s="5">
        <f t="shared" si="86"/>
        <v>2</v>
      </c>
      <c r="AC197" s="128">
        <v>54</v>
      </c>
      <c r="AD197" s="129">
        <f t="shared" si="107"/>
        <v>8066.506604000002</v>
      </c>
      <c r="AF197" s="128">
        <v>54</v>
      </c>
      <c r="AG197" s="641">
        <f t="shared" si="97"/>
        <v>489661.50660399999</v>
      </c>
      <c r="AH197" s="641">
        <f t="shared" si="97"/>
        <v>426709.50660399999</v>
      </c>
      <c r="AI197" s="641">
        <f t="shared" si="97"/>
        <v>363757.50660399999</v>
      </c>
      <c r="AJ197" s="641">
        <f t="shared" si="97"/>
        <v>300805.50660399999</v>
      </c>
      <c r="AK197" s="641">
        <f t="shared" si="97"/>
        <v>237853.50660399999</v>
      </c>
      <c r="AL197" s="641">
        <f t="shared" si="97"/>
        <v>174901.50660399999</v>
      </c>
      <c r="AM197" s="641">
        <f t="shared" si="97"/>
        <v>112986.50660399999</v>
      </c>
      <c r="AN197" s="641">
        <f t="shared" si="97"/>
        <v>60526.506604000002</v>
      </c>
      <c r="AO197" s="641">
        <f t="shared" si="97"/>
        <v>8066.506604000002</v>
      </c>
      <c r="AP197" s="641">
        <f t="shared" si="97"/>
        <v>999999999</v>
      </c>
      <c r="AQ197" s="641">
        <f t="shared" si="98"/>
        <v>999999999</v>
      </c>
      <c r="AR197" s="641">
        <f t="shared" si="98"/>
        <v>999999999</v>
      </c>
      <c r="AS197" s="641">
        <f t="shared" si="98"/>
        <v>999999999</v>
      </c>
      <c r="AT197" s="641">
        <f t="shared" si="98"/>
        <v>999999999</v>
      </c>
      <c r="AU197" s="641">
        <f t="shared" si="98"/>
        <v>999999999</v>
      </c>
      <c r="AV197" s="641">
        <f t="shared" si="98"/>
        <v>999999999</v>
      </c>
      <c r="AW197" s="641">
        <f t="shared" si="98"/>
        <v>999999999</v>
      </c>
      <c r="AX197" s="641">
        <f t="shared" si="98"/>
        <v>999999999</v>
      </c>
      <c r="AY197" s="641">
        <f t="shared" si="98"/>
        <v>999999999</v>
      </c>
      <c r="AZ197" s="641">
        <f t="shared" si="98"/>
        <v>999999999</v>
      </c>
      <c r="BA197" s="641">
        <f t="shared" si="99"/>
        <v>999999999</v>
      </c>
      <c r="BB197" s="641">
        <f t="shared" si="99"/>
        <v>999999999</v>
      </c>
      <c r="BC197" s="641">
        <f t="shared" si="99"/>
        <v>999999999</v>
      </c>
      <c r="BD197" s="641">
        <f t="shared" si="99"/>
        <v>999999999</v>
      </c>
      <c r="BE197" s="641">
        <f t="shared" si="99"/>
        <v>999999999</v>
      </c>
      <c r="BF197" s="641">
        <f t="shared" si="99"/>
        <v>999999999</v>
      </c>
      <c r="BG197" s="641">
        <f t="shared" si="99"/>
        <v>999999999</v>
      </c>
      <c r="BH197" s="641">
        <f t="shared" si="99"/>
        <v>999999999</v>
      </c>
      <c r="BI197" s="641">
        <f t="shared" si="99"/>
        <v>999999999</v>
      </c>
      <c r="BJ197" s="641">
        <f t="shared" si="99"/>
        <v>999999999</v>
      </c>
      <c r="BK197" s="641">
        <f t="shared" si="100"/>
        <v>999999999</v>
      </c>
      <c r="BL197" s="641">
        <f t="shared" si="100"/>
        <v>999999999</v>
      </c>
      <c r="BM197" s="641">
        <f t="shared" si="100"/>
        <v>999999999</v>
      </c>
      <c r="BN197" s="641">
        <f t="shared" si="100"/>
        <v>999999999</v>
      </c>
      <c r="BO197" s="641">
        <f t="shared" si="100"/>
        <v>999999999</v>
      </c>
      <c r="BP197" s="641">
        <f t="shared" si="100"/>
        <v>999999999</v>
      </c>
      <c r="BQ197" s="641">
        <f t="shared" si="100"/>
        <v>999999999</v>
      </c>
      <c r="BR197" s="641">
        <f t="shared" si="100"/>
        <v>999999999</v>
      </c>
      <c r="BS197" s="641">
        <f t="shared" si="100"/>
        <v>999999999</v>
      </c>
      <c r="BT197" s="641">
        <f t="shared" si="100"/>
        <v>999999999</v>
      </c>
      <c r="BU197" s="641">
        <f t="shared" si="101"/>
        <v>999999999</v>
      </c>
      <c r="BV197" s="641">
        <f t="shared" si="101"/>
        <v>999999999</v>
      </c>
      <c r="BW197" s="641">
        <f t="shared" si="101"/>
        <v>999999999</v>
      </c>
      <c r="BX197" s="641">
        <f t="shared" si="101"/>
        <v>999999999</v>
      </c>
      <c r="BY197" s="641">
        <f t="shared" si="101"/>
        <v>999999999</v>
      </c>
      <c r="BZ197" s="641">
        <f t="shared" si="101"/>
        <v>999999999</v>
      </c>
      <c r="CA197" s="641">
        <f t="shared" si="101"/>
        <v>999999999</v>
      </c>
      <c r="CB197" s="641">
        <f t="shared" si="101"/>
        <v>999999999</v>
      </c>
      <c r="CC197" s="641">
        <f t="shared" si="101"/>
        <v>999999999</v>
      </c>
      <c r="CD197" s="641">
        <f t="shared" si="101"/>
        <v>999999999</v>
      </c>
      <c r="CE197" s="641">
        <f t="shared" si="102"/>
        <v>999999999</v>
      </c>
      <c r="CF197" s="641">
        <f t="shared" si="102"/>
        <v>999999999</v>
      </c>
      <c r="CG197" s="641">
        <f t="shared" si="102"/>
        <v>999999999</v>
      </c>
      <c r="CH197" s="641">
        <f t="shared" si="102"/>
        <v>999999999</v>
      </c>
      <c r="CI197" s="641">
        <f t="shared" si="102"/>
        <v>999999999</v>
      </c>
      <c r="CJ197" s="641">
        <f t="shared" si="102"/>
        <v>999999999</v>
      </c>
      <c r="CK197" s="641">
        <f t="shared" si="102"/>
        <v>999999999</v>
      </c>
      <c r="CL197" s="641">
        <f t="shared" si="102"/>
        <v>999999999</v>
      </c>
      <c r="CM197" s="641">
        <f t="shared" si="102"/>
        <v>999999999</v>
      </c>
      <c r="CN197" s="641">
        <f t="shared" si="102"/>
        <v>999999999</v>
      </c>
      <c r="CO197" s="641">
        <f t="shared" si="103"/>
        <v>999999999</v>
      </c>
      <c r="CP197" s="641">
        <f t="shared" si="103"/>
        <v>999999999</v>
      </c>
      <c r="CQ197" s="641">
        <f t="shared" si="103"/>
        <v>999999999</v>
      </c>
      <c r="CR197" s="641">
        <f t="shared" si="103"/>
        <v>999999999</v>
      </c>
      <c r="CS197" s="641">
        <f t="shared" si="103"/>
        <v>999999999</v>
      </c>
      <c r="CT197" s="641">
        <f t="shared" si="103"/>
        <v>999999999</v>
      </c>
      <c r="CU197" s="641">
        <f t="shared" si="103"/>
        <v>999999999</v>
      </c>
      <c r="CV197" s="641">
        <f t="shared" si="103"/>
        <v>999999999</v>
      </c>
      <c r="CW197" s="641">
        <f t="shared" si="103"/>
        <v>999999999</v>
      </c>
      <c r="CX197" s="641">
        <f t="shared" si="103"/>
        <v>999999999</v>
      </c>
      <c r="CY197" s="641">
        <f t="shared" si="104"/>
        <v>999999999</v>
      </c>
      <c r="CZ197" s="641">
        <f t="shared" si="104"/>
        <v>999999999</v>
      </c>
      <c r="DA197" s="641">
        <f t="shared" si="104"/>
        <v>999999999</v>
      </c>
      <c r="DB197" s="641">
        <f t="shared" si="104"/>
        <v>999999999</v>
      </c>
      <c r="DC197" s="641">
        <f t="shared" si="104"/>
        <v>999999999</v>
      </c>
      <c r="DD197" s="641">
        <f t="shared" si="104"/>
        <v>999999999</v>
      </c>
      <c r="DE197" s="641">
        <f t="shared" si="104"/>
        <v>999999999</v>
      </c>
      <c r="DF197" s="641">
        <f t="shared" si="104"/>
        <v>999999999</v>
      </c>
      <c r="DG197" s="641">
        <f t="shared" si="104"/>
        <v>999999999</v>
      </c>
      <c r="DH197" s="641">
        <f t="shared" si="104"/>
        <v>999999999</v>
      </c>
      <c r="DI197" s="641">
        <f t="shared" si="105"/>
        <v>999999999</v>
      </c>
      <c r="DJ197" s="641">
        <f t="shared" si="105"/>
        <v>999999999</v>
      </c>
      <c r="DK197" s="641">
        <f t="shared" si="105"/>
        <v>999999999</v>
      </c>
      <c r="DL197" s="641">
        <f t="shared" si="105"/>
        <v>999999999</v>
      </c>
      <c r="DM197" s="641">
        <f t="shared" si="105"/>
        <v>999999999</v>
      </c>
      <c r="DN197" s="641">
        <f t="shared" si="105"/>
        <v>999999999</v>
      </c>
      <c r="DO197" s="641">
        <f t="shared" si="105"/>
        <v>999999999</v>
      </c>
      <c r="DP197" s="641">
        <f t="shared" si="105"/>
        <v>999999999</v>
      </c>
      <c r="DQ197" s="641">
        <f t="shared" si="105"/>
        <v>999999999</v>
      </c>
      <c r="DR197" s="641">
        <f t="shared" si="105"/>
        <v>999999999</v>
      </c>
      <c r="DS197" s="641">
        <f t="shared" si="106"/>
        <v>999999999</v>
      </c>
      <c r="DT197" s="641">
        <f t="shared" si="106"/>
        <v>999999999</v>
      </c>
      <c r="DU197" s="641">
        <f t="shared" si="106"/>
        <v>999999999</v>
      </c>
      <c r="DV197" s="641">
        <f t="shared" si="106"/>
        <v>999999999</v>
      </c>
      <c r="DW197" s="641">
        <f t="shared" si="106"/>
        <v>999999999</v>
      </c>
      <c r="DX197" s="641">
        <f t="shared" si="106"/>
        <v>999999999</v>
      </c>
      <c r="DY197" s="641">
        <f t="shared" si="106"/>
        <v>999999999</v>
      </c>
      <c r="DZ197" s="641">
        <f t="shared" si="106"/>
        <v>999999999</v>
      </c>
      <c r="EA197" s="641">
        <f t="shared" si="106"/>
        <v>999999999</v>
      </c>
      <c r="EB197" s="641">
        <f t="shared" si="106"/>
        <v>999999999</v>
      </c>
      <c r="EC197" s="641">
        <f t="shared" si="106"/>
        <v>999999999</v>
      </c>
    </row>
    <row r="198" spans="28:133" ht="15.5">
      <c r="AB198" s="5">
        <f t="shared" si="86"/>
        <v>2</v>
      </c>
      <c r="AC198" s="128">
        <v>55</v>
      </c>
      <c r="AD198" s="129">
        <f t="shared" si="107"/>
        <v>8066.506604000002</v>
      </c>
      <c r="AF198" s="128">
        <v>55</v>
      </c>
      <c r="AG198" s="641">
        <f t="shared" si="97"/>
        <v>489661.50660399999</v>
      </c>
      <c r="AH198" s="641">
        <f t="shared" si="97"/>
        <v>426709.50660399999</v>
      </c>
      <c r="AI198" s="641">
        <f t="shared" si="97"/>
        <v>363757.50660399999</v>
      </c>
      <c r="AJ198" s="641">
        <f t="shared" si="97"/>
        <v>300805.50660399999</v>
      </c>
      <c r="AK198" s="641">
        <f t="shared" si="97"/>
        <v>237853.50660399999</v>
      </c>
      <c r="AL198" s="641">
        <f t="shared" si="97"/>
        <v>174901.50660399999</v>
      </c>
      <c r="AM198" s="641">
        <f t="shared" si="97"/>
        <v>112986.50660399999</v>
      </c>
      <c r="AN198" s="641">
        <f t="shared" si="97"/>
        <v>60526.506604000002</v>
      </c>
      <c r="AO198" s="641">
        <f t="shared" si="97"/>
        <v>8066.506604000002</v>
      </c>
      <c r="AP198" s="641">
        <f t="shared" si="97"/>
        <v>999999999</v>
      </c>
      <c r="AQ198" s="641">
        <f t="shared" si="98"/>
        <v>999999999</v>
      </c>
      <c r="AR198" s="641">
        <f t="shared" si="98"/>
        <v>999999999</v>
      </c>
      <c r="AS198" s="641">
        <f t="shared" si="98"/>
        <v>999999999</v>
      </c>
      <c r="AT198" s="641">
        <f t="shared" si="98"/>
        <v>999999999</v>
      </c>
      <c r="AU198" s="641">
        <f t="shared" si="98"/>
        <v>999999999</v>
      </c>
      <c r="AV198" s="641">
        <f t="shared" si="98"/>
        <v>999999999</v>
      </c>
      <c r="AW198" s="641">
        <f t="shared" si="98"/>
        <v>999999999</v>
      </c>
      <c r="AX198" s="641">
        <f t="shared" si="98"/>
        <v>999999999</v>
      </c>
      <c r="AY198" s="641">
        <f t="shared" si="98"/>
        <v>999999999</v>
      </c>
      <c r="AZ198" s="641">
        <f t="shared" si="98"/>
        <v>999999999</v>
      </c>
      <c r="BA198" s="641">
        <f t="shared" si="99"/>
        <v>999999999</v>
      </c>
      <c r="BB198" s="641">
        <f t="shared" si="99"/>
        <v>999999999</v>
      </c>
      <c r="BC198" s="641">
        <f t="shared" si="99"/>
        <v>999999999</v>
      </c>
      <c r="BD198" s="641">
        <f t="shared" si="99"/>
        <v>999999999</v>
      </c>
      <c r="BE198" s="641">
        <f t="shared" si="99"/>
        <v>999999999</v>
      </c>
      <c r="BF198" s="641">
        <f t="shared" si="99"/>
        <v>999999999</v>
      </c>
      <c r="BG198" s="641">
        <f t="shared" si="99"/>
        <v>999999999</v>
      </c>
      <c r="BH198" s="641">
        <f t="shared" si="99"/>
        <v>999999999</v>
      </c>
      <c r="BI198" s="641">
        <f t="shared" si="99"/>
        <v>999999999</v>
      </c>
      <c r="BJ198" s="641">
        <f t="shared" si="99"/>
        <v>999999999</v>
      </c>
      <c r="BK198" s="641">
        <f t="shared" si="100"/>
        <v>999999999</v>
      </c>
      <c r="BL198" s="641">
        <f t="shared" si="100"/>
        <v>999999999</v>
      </c>
      <c r="BM198" s="641">
        <f t="shared" si="100"/>
        <v>999999999</v>
      </c>
      <c r="BN198" s="641">
        <f t="shared" si="100"/>
        <v>999999999</v>
      </c>
      <c r="BO198" s="641">
        <f t="shared" si="100"/>
        <v>999999999</v>
      </c>
      <c r="BP198" s="641">
        <f t="shared" si="100"/>
        <v>999999999</v>
      </c>
      <c r="BQ198" s="641">
        <f t="shared" si="100"/>
        <v>999999999</v>
      </c>
      <c r="BR198" s="641">
        <f t="shared" si="100"/>
        <v>999999999</v>
      </c>
      <c r="BS198" s="641">
        <f t="shared" si="100"/>
        <v>999999999</v>
      </c>
      <c r="BT198" s="641">
        <f t="shared" si="100"/>
        <v>999999999</v>
      </c>
      <c r="BU198" s="641">
        <f t="shared" si="101"/>
        <v>999999999</v>
      </c>
      <c r="BV198" s="641">
        <f t="shared" si="101"/>
        <v>999999999</v>
      </c>
      <c r="BW198" s="641">
        <f t="shared" si="101"/>
        <v>999999999</v>
      </c>
      <c r="BX198" s="641">
        <f t="shared" si="101"/>
        <v>999999999</v>
      </c>
      <c r="BY198" s="641">
        <f t="shared" si="101"/>
        <v>999999999</v>
      </c>
      <c r="BZ198" s="641">
        <f t="shared" si="101"/>
        <v>999999999</v>
      </c>
      <c r="CA198" s="641">
        <f t="shared" si="101"/>
        <v>999999999</v>
      </c>
      <c r="CB198" s="641">
        <f t="shared" si="101"/>
        <v>999999999</v>
      </c>
      <c r="CC198" s="641">
        <f t="shared" si="101"/>
        <v>999999999</v>
      </c>
      <c r="CD198" s="641">
        <f t="shared" si="101"/>
        <v>999999999</v>
      </c>
      <c r="CE198" s="641">
        <f t="shared" si="102"/>
        <v>999999999</v>
      </c>
      <c r="CF198" s="641">
        <f t="shared" si="102"/>
        <v>999999999</v>
      </c>
      <c r="CG198" s="641">
        <f t="shared" si="102"/>
        <v>999999999</v>
      </c>
      <c r="CH198" s="641">
        <f t="shared" si="102"/>
        <v>999999999</v>
      </c>
      <c r="CI198" s="641">
        <f t="shared" si="102"/>
        <v>999999999</v>
      </c>
      <c r="CJ198" s="641">
        <f t="shared" si="102"/>
        <v>999999999</v>
      </c>
      <c r="CK198" s="641">
        <f t="shared" si="102"/>
        <v>999999999</v>
      </c>
      <c r="CL198" s="641">
        <f t="shared" si="102"/>
        <v>999999999</v>
      </c>
      <c r="CM198" s="641">
        <f t="shared" si="102"/>
        <v>999999999</v>
      </c>
      <c r="CN198" s="641">
        <f t="shared" si="102"/>
        <v>999999999</v>
      </c>
      <c r="CO198" s="641">
        <f t="shared" si="103"/>
        <v>999999999</v>
      </c>
      <c r="CP198" s="641">
        <f t="shared" si="103"/>
        <v>999999999</v>
      </c>
      <c r="CQ198" s="641">
        <f t="shared" si="103"/>
        <v>999999999</v>
      </c>
      <c r="CR198" s="641">
        <f t="shared" si="103"/>
        <v>999999999</v>
      </c>
      <c r="CS198" s="641">
        <f t="shared" si="103"/>
        <v>999999999</v>
      </c>
      <c r="CT198" s="641">
        <f t="shared" si="103"/>
        <v>999999999</v>
      </c>
      <c r="CU198" s="641">
        <f t="shared" si="103"/>
        <v>999999999</v>
      </c>
      <c r="CV198" s="641">
        <f t="shared" si="103"/>
        <v>999999999</v>
      </c>
      <c r="CW198" s="641">
        <f t="shared" si="103"/>
        <v>999999999</v>
      </c>
      <c r="CX198" s="641">
        <f t="shared" si="103"/>
        <v>999999999</v>
      </c>
      <c r="CY198" s="641">
        <f t="shared" si="104"/>
        <v>999999999</v>
      </c>
      <c r="CZ198" s="641">
        <f t="shared" si="104"/>
        <v>999999999</v>
      </c>
      <c r="DA198" s="641">
        <f t="shared" si="104"/>
        <v>999999999</v>
      </c>
      <c r="DB198" s="641">
        <f t="shared" si="104"/>
        <v>999999999</v>
      </c>
      <c r="DC198" s="641">
        <f t="shared" si="104"/>
        <v>999999999</v>
      </c>
      <c r="DD198" s="641">
        <f t="shared" si="104"/>
        <v>999999999</v>
      </c>
      <c r="DE198" s="641">
        <f t="shared" si="104"/>
        <v>999999999</v>
      </c>
      <c r="DF198" s="641">
        <f t="shared" si="104"/>
        <v>999999999</v>
      </c>
      <c r="DG198" s="641">
        <f t="shared" si="104"/>
        <v>999999999</v>
      </c>
      <c r="DH198" s="641">
        <f t="shared" si="104"/>
        <v>999999999</v>
      </c>
      <c r="DI198" s="641">
        <f t="shared" si="105"/>
        <v>999999999</v>
      </c>
      <c r="DJ198" s="641">
        <f t="shared" si="105"/>
        <v>999999999</v>
      </c>
      <c r="DK198" s="641">
        <f t="shared" si="105"/>
        <v>999999999</v>
      </c>
      <c r="DL198" s="641">
        <f t="shared" si="105"/>
        <v>999999999</v>
      </c>
      <c r="DM198" s="641">
        <f t="shared" si="105"/>
        <v>999999999</v>
      </c>
      <c r="DN198" s="641">
        <f t="shared" si="105"/>
        <v>999999999</v>
      </c>
      <c r="DO198" s="641">
        <f t="shared" si="105"/>
        <v>999999999</v>
      </c>
      <c r="DP198" s="641">
        <f t="shared" si="105"/>
        <v>999999999</v>
      </c>
      <c r="DQ198" s="641">
        <f t="shared" si="105"/>
        <v>999999999</v>
      </c>
      <c r="DR198" s="641">
        <f t="shared" si="105"/>
        <v>999999999</v>
      </c>
      <c r="DS198" s="641">
        <f t="shared" si="106"/>
        <v>999999999</v>
      </c>
      <c r="DT198" s="641">
        <f t="shared" si="106"/>
        <v>999999999</v>
      </c>
      <c r="DU198" s="641">
        <f t="shared" si="106"/>
        <v>999999999</v>
      </c>
      <c r="DV198" s="641">
        <f t="shared" si="106"/>
        <v>999999999</v>
      </c>
      <c r="DW198" s="641">
        <f t="shared" si="106"/>
        <v>999999999</v>
      </c>
      <c r="DX198" s="641">
        <f t="shared" si="106"/>
        <v>999999999</v>
      </c>
      <c r="DY198" s="641">
        <f t="shared" si="106"/>
        <v>999999999</v>
      </c>
      <c r="DZ198" s="641">
        <f t="shared" si="106"/>
        <v>999999999</v>
      </c>
      <c r="EA198" s="641">
        <f t="shared" si="106"/>
        <v>999999999</v>
      </c>
      <c r="EB198" s="641">
        <f t="shared" si="106"/>
        <v>999999999</v>
      </c>
      <c r="EC198" s="641">
        <f t="shared" si="106"/>
        <v>999999999</v>
      </c>
    </row>
    <row r="199" spans="28:133" ht="15.5">
      <c r="AB199" s="5">
        <f t="shared" si="86"/>
        <v>2</v>
      </c>
      <c r="AC199" s="128">
        <v>56</v>
      </c>
      <c r="AD199" s="129">
        <f t="shared" si="107"/>
        <v>8066.506604000002</v>
      </c>
      <c r="AF199" s="128">
        <v>56</v>
      </c>
      <c r="AG199" s="641">
        <f t="shared" si="97"/>
        <v>489661.50660399999</v>
      </c>
      <c r="AH199" s="641">
        <f t="shared" si="97"/>
        <v>426709.50660399999</v>
      </c>
      <c r="AI199" s="641">
        <f t="shared" si="97"/>
        <v>363757.50660399999</v>
      </c>
      <c r="AJ199" s="641">
        <f t="shared" si="97"/>
        <v>300805.50660399999</v>
      </c>
      <c r="AK199" s="641">
        <f t="shared" si="97"/>
        <v>237853.50660399999</v>
      </c>
      <c r="AL199" s="641">
        <f t="shared" si="97"/>
        <v>174901.50660399999</v>
      </c>
      <c r="AM199" s="641">
        <f t="shared" si="97"/>
        <v>112986.50660399999</v>
      </c>
      <c r="AN199" s="641">
        <f t="shared" si="97"/>
        <v>60526.506604000002</v>
      </c>
      <c r="AO199" s="641">
        <f t="shared" si="97"/>
        <v>8066.506604000002</v>
      </c>
      <c r="AP199" s="641">
        <f t="shared" si="97"/>
        <v>999999999</v>
      </c>
      <c r="AQ199" s="641">
        <f t="shared" si="98"/>
        <v>999999999</v>
      </c>
      <c r="AR199" s="641">
        <f t="shared" si="98"/>
        <v>999999999</v>
      </c>
      <c r="AS199" s="641">
        <f t="shared" si="98"/>
        <v>999999999</v>
      </c>
      <c r="AT199" s="641">
        <f t="shared" si="98"/>
        <v>999999999</v>
      </c>
      <c r="AU199" s="641">
        <f t="shared" si="98"/>
        <v>999999999</v>
      </c>
      <c r="AV199" s="641">
        <f t="shared" si="98"/>
        <v>999999999</v>
      </c>
      <c r="AW199" s="641">
        <f t="shared" si="98"/>
        <v>999999999</v>
      </c>
      <c r="AX199" s="641">
        <f t="shared" si="98"/>
        <v>999999999</v>
      </c>
      <c r="AY199" s="641">
        <f t="shared" si="98"/>
        <v>999999999</v>
      </c>
      <c r="AZ199" s="641">
        <f t="shared" si="98"/>
        <v>999999999</v>
      </c>
      <c r="BA199" s="641">
        <f t="shared" si="99"/>
        <v>999999999</v>
      </c>
      <c r="BB199" s="641">
        <f t="shared" si="99"/>
        <v>999999999</v>
      </c>
      <c r="BC199" s="641">
        <f t="shared" si="99"/>
        <v>999999999</v>
      </c>
      <c r="BD199" s="641">
        <f t="shared" si="99"/>
        <v>999999999</v>
      </c>
      <c r="BE199" s="641">
        <f t="shared" si="99"/>
        <v>999999999</v>
      </c>
      <c r="BF199" s="641">
        <f t="shared" si="99"/>
        <v>999999999</v>
      </c>
      <c r="BG199" s="641">
        <f t="shared" si="99"/>
        <v>999999999</v>
      </c>
      <c r="BH199" s="641">
        <f t="shared" si="99"/>
        <v>999999999</v>
      </c>
      <c r="BI199" s="641">
        <f t="shared" si="99"/>
        <v>999999999</v>
      </c>
      <c r="BJ199" s="641">
        <f t="shared" si="99"/>
        <v>999999999</v>
      </c>
      <c r="BK199" s="641">
        <f t="shared" si="100"/>
        <v>999999999</v>
      </c>
      <c r="BL199" s="641">
        <f t="shared" si="100"/>
        <v>999999999</v>
      </c>
      <c r="BM199" s="641">
        <f t="shared" si="100"/>
        <v>999999999</v>
      </c>
      <c r="BN199" s="641">
        <f t="shared" si="100"/>
        <v>999999999</v>
      </c>
      <c r="BO199" s="641">
        <f t="shared" si="100"/>
        <v>999999999</v>
      </c>
      <c r="BP199" s="641">
        <f t="shared" si="100"/>
        <v>999999999</v>
      </c>
      <c r="BQ199" s="641">
        <f t="shared" si="100"/>
        <v>999999999</v>
      </c>
      <c r="BR199" s="641">
        <f t="shared" si="100"/>
        <v>999999999</v>
      </c>
      <c r="BS199" s="641">
        <f t="shared" si="100"/>
        <v>999999999</v>
      </c>
      <c r="BT199" s="641">
        <f t="shared" si="100"/>
        <v>999999999</v>
      </c>
      <c r="BU199" s="641">
        <f t="shared" si="101"/>
        <v>999999999</v>
      </c>
      <c r="BV199" s="641">
        <f t="shared" si="101"/>
        <v>999999999</v>
      </c>
      <c r="BW199" s="641">
        <f t="shared" si="101"/>
        <v>999999999</v>
      </c>
      <c r="BX199" s="641">
        <f t="shared" si="101"/>
        <v>999999999</v>
      </c>
      <c r="BY199" s="641">
        <f t="shared" si="101"/>
        <v>999999999</v>
      </c>
      <c r="BZ199" s="641">
        <f t="shared" si="101"/>
        <v>999999999</v>
      </c>
      <c r="CA199" s="641">
        <f t="shared" si="101"/>
        <v>999999999</v>
      </c>
      <c r="CB199" s="641">
        <f t="shared" si="101"/>
        <v>999999999</v>
      </c>
      <c r="CC199" s="641">
        <f t="shared" si="101"/>
        <v>999999999</v>
      </c>
      <c r="CD199" s="641">
        <f t="shared" si="101"/>
        <v>999999999</v>
      </c>
      <c r="CE199" s="641">
        <f t="shared" si="102"/>
        <v>999999999</v>
      </c>
      <c r="CF199" s="641">
        <f t="shared" si="102"/>
        <v>999999999</v>
      </c>
      <c r="CG199" s="641">
        <f t="shared" si="102"/>
        <v>999999999</v>
      </c>
      <c r="CH199" s="641">
        <f t="shared" si="102"/>
        <v>999999999</v>
      </c>
      <c r="CI199" s="641">
        <f t="shared" si="102"/>
        <v>999999999</v>
      </c>
      <c r="CJ199" s="641">
        <f t="shared" si="102"/>
        <v>999999999</v>
      </c>
      <c r="CK199" s="641">
        <f t="shared" si="102"/>
        <v>999999999</v>
      </c>
      <c r="CL199" s="641">
        <f t="shared" si="102"/>
        <v>999999999</v>
      </c>
      <c r="CM199" s="641">
        <f t="shared" si="102"/>
        <v>999999999</v>
      </c>
      <c r="CN199" s="641">
        <f t="shared" si="102"/>
        <v>999999999</v>
      </c>
      <c r="CO199" s="641">
        <f t="shared" si="103"/>
        <v>999999999</v>
      </c>
      <c r="CP199" s="641">
        <f t="shared" si="103"/>
        <v>999999999</v>
      </c>
      <c r="CQ199" s="641">
        <f t="shared" si="103"/>
        <v>999999999</v>
      </c>
      <c r="CR199" s="641">
        <f t="shared" si="103"/>
        <v>999999999</v>
      </c>
      <c r="CS199" s="641">
        <f t="shared" si="103"/>
        <v>999999999</v>
      </c>
      <c r="CT199" s="641">
        <f t="shared" si="103"/>
        <v>999999999</v>
      </c>
      <c r="CU199" s="641">
        <f t="shared" si="103"/>
        <v>999999999</v>
      </c>
      <c r="CV199" s="641">
        <f t="shared" si="103"/>
        <v>999999999</v>
      </c>
      <c r="CW199" s="641">
        <f t="shared" si="103"/>
        <v>999999999</v>
      </c>
      <c r="CX199" s="641">
        <f t="shared" si="103"/>
        <v>999999999</v>
      </c>
      <c r="CY199" s="641">
        <f t="shared" si="104"/>
        <v>999999999</v>
      </c>
      <c r="CZ199" s="641">
        <f t="shared" si="104"/>
        <v>999999999</v>
      </c>
      <c r="DA199" s="641">
        <f t="shared" si="104"/>
        <v>999999999</v>
      </c>
      <c r="DB199" s="641">
        <f t="shared" si="104"/>
        <v>999999999</v>
      </c>
      <c r="DC199" s="641">
        <f t="shared" si="104"/>
        <v>999999999</v>
      </c>
      <c r="DD199" s="641">
        <f t="shared" si="104"/>
        <v>999999999</v>
      </c>
      <c r="DE199" s="641">
        <f t="shared" si="104"/>
        <v>999999999</v>
      </c>
      <c r="DF199" s="641">
        <f t="shared" si="104"/>
        <v>999999999</v>
      </c>
      <c r="DG199" s="641">
        <f t="shared" si="104"/>
        <v>999999999</v>
      </c>
      <c r="DH199" s="641">
        <f t="shared" si="104"/>
        <v>999999999</v>
      </c>
      <c r="DI199" s="641">
        <f t="shared" si="105"/>
        <v>999999999</v>
      </c>
      <c r="DJ199" s="641">
        <f t="shared" si="105"/>
        <v>999999999</v>
      </c>
      <c r="DK199" s="641">
        <f t="shared" si="105"/>
        <v>999999999</v>
      </c>
      <c r="DL199" s="641">
        <f t="shared" si="105"/>
        <v>999999999</v>
      </c>
      <c r="DM199" s="641">
        <f t="shared" si="105"/>
        <v>999999999</v>
      </c>
      <c r="DN199" s="641">
        <f t="shared" si="105"/>
        <v>999999999</v>
      </c>
      <c r="DO199" s="641">
        <f t="shared" si="105"/>
        <v>999999999</v>
      </c>
      <c r="DP199" s="641">
        <f t="shared" si="105"/>
        <v>999999999</v>
      </c>
      <c r="DQ199" s="641">
        <f t="shared" si="105"/>
        <v>999999999</v>
      </c>
      <c r="DR199" s="641">
        <f t="shared" si="105"/>
        <v>999999999</v>
      </c>
      <c r="DS199" s="641">
        <f t="shared" si="106"/>
        <v>999999999</v>
      </c>
      <c r="DT199" s="641">
        <f t="shared" si="106"/>
        <v>999999999</v>
      </c>
      <c r="DU199" s="641">
        <f t="shared" si="106"/>
        <v>999999999</v>
      </c>
      <c r="DV199" s="641">
        <f t="shared" si="106"/>
        <v>999999999</v>
      </c>
      <c r="DW199" s="641">
        <f t="shared" si="106"/>
        <v>999999999</v>
      </c>
      <c r="DX199" s="641">
        <f t="shared" si="106"/>
        <v>999999999</v>
      </c>
      <c r="DY199" s="641">
        <f t="shared" si="106"/>
        <v>999999999</v>
      </c>
      <c r="DZ199" s="641">
        <f t="shared" si="106"/>
        <v>999999999</v>
      </c>
      <c r="EA199" s="641">
        <f t="shared" si="106"/>
        <v>999999999</v>
      </c>
      <c r="EB199" s="641">
        <f t="shared" si="106"/>
        <v>999999999</v>
      </c>
      <c r="EC199" s="641">
        <f t="shared" si="106"/>
        <v>999999999</v>
      </c>
    </row>
    <row r="200" spans="28:133" ht="15.5">
      <c r="AB200" s="5">
        <f t="shared" si="86"/>
        <v>2</v>
      </c>
      <c r="AC200" s="128">
        <v>57</v>
      </c>
      <c r="AD200" s="129">
        <f t="shared" si="107"/>
        <v>8066.506604000002</v>
      </c>
      <c r="AF200" s="128">
        <v>57</v>
      </c>
      <c r="AG200" s="641">
        <f t="shared" si="97"/>
        <v>489661.50660399999</v>
      </c>
      <c r="AH200" s="641">
        <f t="shared" si="97"/>
        <v>426709.50660399999</v>
      </c>
      <c r="AI200" s="641">
        <f t="shared" si="97"/>
        <v>363757.50660399999</v>
      </c>
      <c r="AJ200" s="641">
        <f t="shared" si="97"/>
        <v>300805.50660399999</v>
      </c>
      <c r="AK200" s="641">
        <f t="shared" si="97"/>
        <v>237853.50660399999</v>
      </c>
      <c r="AL200" s="641">
        <f t="shared" si="97"/>
        <v>174901.50660399999</v>
      </c>
      <c r="AM200" s="641">
        <f t="shared" si="97"/>
        <v>112986.50660399999</v>
      </c>
      <c r="AN200" s="641">
        <f t="shared" si="97"/>
        <v>60526.506604000002</v>
      </c>
      <c r="AO200" s="641">
        <f t="shared" si="97"/>
        <v>8066.506604000002</v>
      </c>
      <c r="AP200" s="641">
        <f t="shared" si="97"/>
        <v>999999999</v>
      </c>
      <c r="AQ200" s="641">
        <f t="shared" si="98"/>
        <v>999999999</v>
      </c>
      <c r="AR200" s="641">
        <f t="shared" si="98"/>
        <v>999999999</v>
      </c>
      <c r="AS200" s="641">
        <f t="shared" si="98"/>
        <v>999999999</v>
      </c>
      <c r="AT200" s="641">
        <f t="shared" si="98"/>
        <v>999999999</v>
      </c>
      <c r="AU200" s="641">
        <f t="shared" si="98"/>
        <v>999999999</v>
      </c>
      <c r="AV200" s="641">
        <f t="shared" si="98"/>
        <v>999999999</v>
      </c>
      <c r="AW200" s="641">
        <f t="shared" si="98"/>
        <v>999999999</v>
      </c>
      <c r="AX200" s="641">
        <f t="shared" si="98"/>
        <v>999999999</v>
      </c>
      <c r="AY200" s="641">
        <f t="shared" si="98"/>
        <v>999999999</v>
      </c>
      <c r="AZ200" s="641">
        <f t="shared" si="98"/>
        <v>999999999</v>
      </c>
      <c r="BA200" s="641">
        <f t="shared" si="99"/>
        <v>999999999</v>
      </c>
      <c r="BB200" s="641">
        <f t="shared" si="99"/>
        <v>999999999</v>
      </c>
      <c r="BC200" s="641">
        <f t="shared" si="99"/>
        <v>999999999</v>
      </c>
      <c r="BD200" s="641">
        <f t="shared" si="99"/>
        <v>999999999</v>
      </c>
      <c r="BE200" s="641">
        <f t="shared" si="99"/>
        <v>999999999</v>
      </c>
      <c r="BF200" s="641">
        <f t="shared" si="99"/>
        <v>999999999</v>
      </c>
      <c r="BG200" s="641">
        <f t="shared" si="99"/>
        <v>999999999</v>
      </c>
      <c r="BH200" s="641">
        <f t="shared" si="99"/>
        <v>999999999</v>
      </c>
      <c r="BI200" s="641">
        <f t="shared" si="99"/>
        <v>999999999</v>
      </c>
      <c r="BJ200" s="641">
        <f t="shared" si="99"/>
        <v>999999999</v>
      </c>
      <c r="BK200" s="641">
        <f t="shared" si="100"/>
        <v>999999999</v>
      </c>
      <c r="BL200" s="641">
        <f t="shared" si="100"/>
        <v>999999999</v>
      </c>
      <c r="BM200" s="641">
        <f t="shared" si="100"/>
        <v>999999999</v>
      </c>
      <c r="BN200" s="641">
        <f t="shared" si="100"/>
        <v>999999999</v>
      </c>
      <c r="BO200" s="641">
        <f t="shared" si="100"/>
        <v>999999999</v>
      </c>
      <c r="BP200" s="641">
        <f t="shared" si="100"/>
        <v>999999999</v>
      </c>
      <c r="BQ200" s="641">
        <f t="shared" si="100"/>
        <v>999999999</v>
      </c>
      <c r="BR200" s="641">
        <f t="shared" si="100"/>
        <v>999999999</v>
      </c>
      <c r="BS200" s="641">
        <f t="shared" si="100"/>
        <v>999999999</v>
      </c>
      <c r="BT200" s="641">
        <f t="shared" si="100"/>
        <v>999999999</v>
      </c>
      <c r="BU200" s="641">
        <f t="shared" si="101"/>
        <v>999999999</v>
      </c>
      <c r="BV200" s="641">
        <f t="shared" si="101"/>
        <v>999999999</v>
      </c>
      <c r="BW200" s="641">
        <f t="shared" si="101"/>
        <v>999999999</v>
      </c>
      <c r="BX200" s="641">
        <f t="shared" si="101"/>
        <v>999999999</v>
      </c>
      <c r="BY200" s="641">
        <f t="shared" si="101"/>
        <v>999999999</v>
      </c>
      <c r="BZ200" s="641">
        <f t="shared" si="101"/>
        <v>999999999</v>
      </c>
      <c r="CA200" s="641">
        <f t="shared" si="101"/>
        <v>999999999</v>
      </c>
      <c r="CB200" s="641">
        <f t="shared" si="101"/>
        <v>999999999</v>
      </c>
      <c r="CC200" s="641">
        <f t="shared" si="101"/>
        <v>999999999</v>
      </c>
      <c r="CD200" s="641">
        <f t="shared" si="101"/>
        <v>999999999</v>
      </c>
      <c r="CE200" s="641">
        <f t="shared" si="102"/>
        <v>999999999</v>
      </c>
      <c r="CF200" s="641">
        <f t="shared" si="102"/>
        <v>999999999</v>
      </c>
      <c r="CG200" s="641">
        <f t="shared" si="102"/>
        <v>999999999</v>
      </c>
      <c r="CH200" s="641">
        <f t="shared" si="102"/>
        <v>999999999</v>
      </c>
      <c r="CI200" s="641">
        <f t="shared" si="102"/>
        <v>999999999</v>
      </c>
      <c r="CJ200" s="641">
        <f t="shared" si="102"/>
        <v>999999999</v>
      </c>
      <c r="CK200" s="641">
        <f t="shared" si="102"/>
        <v>999999999</v>
      </c>
      <c r="CL200" s="641">
        <f t="shared" si="102"/>
        <v>999999999</v>
      </c>
      <c r="CM200" s="641">
        <f t="shared" si="102"/>
        <v>999999999</v>
      </c>
      <c r="CN200" s="641">
        <f t="shared" si="102"/>
        <v>999999999</v>
      </c>
      <c r="CO200" s="641">
        <f t="shared" si="103"/>
        <v>999999999</v>
      </c>
      <c r="CP200" s="641">
        <f t="shared" si="103"/>
        <v>999999999</v>
      </c>
      <c r="CQ200" s="641">
        <f t="shared" si="103"/>
        <v>999999999</v>
      </c>
      <c r="CR200" s="641">
        <f t="shared" si="103"/>
        <v>999999999</v>
      </c>
      <c r="CS200" s="641">
        <f t="shared" si="103"/>
        <v>999999999</v>
      </c>
      <c r="CT200" s="641">
        <f t="shared" si="103"/>
        <v>999999999</v>
      </c>
      <c r="CU200" s="641">
        <f t="shared" si="103"/>
        <v>999999999</v>
      </c>
      <c r="CV200" s="641">
        <f t="shared" si="103"/>
        <v>999999999</v>
      </c>
      <c r="CW200" s="641">
        <f t="shared" si="103"/>
        <v>999999999</v>
      </c>
      <c r="CX200" s="641">
        <f t="shared" si="103"/>
        <v>999999999</v>
      </c>
      <c r="CY200" s="641">
        <f t="shared" si="104"/>
        <v>999999999</v>
      </c>
      <c r="CZ200" s="641">
        <f t="shared" si="104"/>
        <v>999999999</v>
      </c>
      <c r="DA200" s="641">
        <f t="shared" si="104"/>
        <v>999999999</v>
      </c>
      <c r="DB200" s="641">
        <f t="shared" si="104"/>
        <v>999999999</v>
      </c>
      <c r="DC200" s="641">
        <f t="shared" si="104"/>
        <v>999999999</v>
      </c>
      <c r="DD200" s="641">
        <f t="shared" si="104"/>
        <v>999999999</v>
      </c>
      <c r="DE200" s="641">
        <f t="shared" si="104"/>
        <v>999999999</v>
      </c>
      <c r="DF200" s="641">
        <f t="shared" si="104"/>
        <v>999999999</v>
      </c>
      <c r="DG200" s="641">
        <f t="shared" si="104"/>
        <v>999999999</v>
      </c>
      <c r="DH200" s="641">
        <f t="shared" si="104"/>
        <v>999999999</v>
      </c>
      <c r="DI200" s="641">
        <f t="shared" si="105"/>
        <v>999999999</v>
      </c>
      <c r="DJ200" s="641">
        <f t="shared" si="105"/>
        <v>999999999</v>
      </c>
      <c r="DK200" s="641">
        <f t="shared" si="105"/>
        <v>999999999</v>
      </c>
      <c r="DL200" s="641">
        <f t="shared" si="105"/>
        <v>999999999</v>
      </c>
      <c r="DM200" s="641">
        <f t="shared" si="105"/>
        <v>999999999</v>
      </c>
      <c r="DN200" s="641">
        <f t="shared" si="105"/>
        <v>999999999</v>
      </c>
      <c r="DO200" s="641">
        <f t="shared" si="105"/>
        <v>999999999</v>
      </c>
      <c r="DP200" s="641">
        <f t="shared" si="105"/>
        <v>999999999</v>
      </c>
      <c r="DQ200" s="641">
        <f t="shared" si="105"/>
        <v>999999999</v>
      </c>
      <c r="DR200" s="641">
        <f t="shared" si="105"/>
        <v>999999999</v>
      </c>
      <c r="DS200" s="641">
        <f t="shared" si="106"/>
        <v>999999999</v>
      </c>
      <c r="DT200" s="641">
        <f t="shared" si="106"/>
        <v>999999999</v>
      </c>
      <c r="DU200" s="641">
        <f t="shared" si="106"/>
        <v>999999999</v>
      </c>
      <c r="DV200" s="641">
        <f t="shared" si="106"/>
        <v>999999999</v>
      </c>
      <c r="DW200" s="641">
        <f t="shared" si="106"/>
        <v>999999999</v>
      </c>
      <c r="DX200" s="641">
        <f t="shared" si="106"/>
        <v>999999999</v>
      </c>
      <c r="DY200" s="641">
        <f t="shared" si="106"/>
        <v>999999999</v>
      </c>
      <c r="DZ200" s="641">
        <f t="shared" si="106"/>
        <v>999999999</v>
      </c>
      <c r="EA200" s="641">
        <f t="shared" si="106"/>
        <v>999999999</v>
      </c>
      <c r="EB200" s="641">
        <f t="shared" si="106"/>
        <v>999999999</v>
      </c>
      <c r="EC200" s="641">
        <f t="shared" si="106"/>
        <v>999999999</v>
      </c>
    </row>
    <row r="201" spans="28:133" ht="15.5">
      <c r="AB201" s="5">
        <f t="shared" si="86"/>
        <v>2</v>
      </c>
      <c r="AC201" s="128">
        <v>58</v>
      </c>
      <c r="AD201" s="129">
        <f t="shared" si="107"/>
        <v>8066.506604000002</v>
      </c>
      <c r="AF201" s="128">
        <v>58</v>
      </c>
      <c r="AG201" s="641">
        <f t="shared" si="97"/>
        <v>489661.50660399999</v>
      </c>
      <c r="AH201" s="641">
        <f t="shared" si="97"/>
        <v>426709.50660399999</v>
      </c>
      <c r="AI201" s="641">
        <f t="shared" si="97"/>
        <v>363757.50660399999</v>
      </c>
      <c r="AJ201" s="641">
        <f t="shared" si="97"/>
        <v>300805.50660399999</v>
      </c>
      <c r="AK201" s="641">
        <f t="shared" si="97"/>
        <v>237853.50660399999</v>
      </c>
      <c r="AL201" s="641">
        <f t="shared" si="97"/>
        <v>174901.50660399999</v>
      </c>
      <c r="AM201" s="641">
        <f t="shared" si="97"/>
        <v>112986.50660399999</v>
      </c>
      <c r="AN201" s="641">
        <f t="shared" si="97"/>
        <v>60526.506604000002</v>
      </c>
      <c r="AO201" s="641">
        <f t="shared" si="97"/>
        <v>8066.506604000002</v>
      </c>
      <c r="AP201" s="641">
        <f t="shared" si="97"/>
        <v>999999999</v>
      </c>
      <c r="AQ201" s="641">
        <f t="shared" si="98"/>
        <v>999999999</v>
      </c>
      <c r="AR201" s="641">
        <f t="shared" si="98"/>
        <v>999999999</v>
      </c>
      <c r="AS201" s="641">
        <f t="shared" si="98"/>
        <v>999999999</v>
      </c>
      <c r="AT201" s="641">
        <f t="shared" si="98"/>
        <v>999999999</v>
      </c>
      <c r="AU201" s="641">
        <f t="shared" si="98"/>
        <v>999999999</v>
      </c>
      <c r="AV201" s="641">
        <f t="shared" si="98"/>
        <v>999999999</v>
      </c>
      <c r="AW201" s="641">
        <f t="shared" si="98"/>
        <v>999999999</v>
      </c>
      <c r="AX201" s="641">
        <f t="shared" si="98"/>
        <v>999999999</v>
      </c>
      <c r="AY201" s="641">
        <f t="shared" si="98"/>
        <v>999999999</v>
      </c>
      <c r="AZ201" s="641">
        <f t="shared" si="98"/>
        <v>999999999</v>
      </c>
      <c r="BA201" s="641">
        <f t="shared" si="99"/>
        <v>999999999</v>
      </c>
      <c r="BB201" s="641">
        <f t="shared" si="99"/>
        <v>999999999</v>
      </c>
      <c r="BC201" s="641">
        <f t="shared" si="99"/>
        <v>999999999</v>
      </c>
      <c r="BD201" s="641">
        <f t="shared" si="99"/>
        <v>999999999</v>
      </c>
      <c r="BE201" s="641">
        <f t="shared" si="99"/>
        <v>999999999</v>
      </c>
      <c r="BF201" s="641">
        <f t="shared" si="99"/>
        <v>999999999</v>
      </c>
      <c r="BG201" s="641">
        <f t="shared" si="99"/>
        <v>999999999</v>
      </c>
      <c r="BH201" s="641">
        <f t="shared" si="99"/>
        <v>999999999</v>
      </c>
      <c r="BI201" s="641">
        <f t="shared" si="99"/>
        <v>999999999</v>
      </c>
      <c r="BJ201" s="641">
        <f t="shared" si="99"/>
        <v>999999999</v>
      </c>
      <c r="BK201" s="641">
        <f t="shared" si="100"/>
        <v>999999999</v>
      </c>
      <c r="BL201" s="641">
        <f t="shared" si="100"/>
        <v>999999999</v>
      </c>
      <c r="BM201" s="641">
        <f t="shared" si="100"/>
        <v>999999999</v>
      </c>
      <c r="BN201" s="641">
        <f t="shared" si="100"/>
        <v>999999999</v>
      </c>
      <c r="BO201" s="641">
        <f t="shared" si="100"/>
        <v>999999999</v>
      </c>
      <c r="BP201" s="641">
        <f t="shared" si="100"/>
        <v>999999999</v>
      </c>
      <c r="BQ201" s="641">
        <f t="shared" si="100"/>
        <v>999999999</v>
      </c>
      <c r="BR201" s="641">
        <f t="shared" si="100"/>
        <v>999999999</v>
      </c>
      <c r="BS201" s="641">
        <f t="shared" si="100"/>
        <v>999999999</v>
      </c>
      <c r="BT201" s="641">
        <f t="shared" si="100"/>
        <v>999999999</v>
      </c>
      <c r="BU201" s="641">
        <f t="shared" si="101"/>
        <v>999999999</v>
      </c>
      <c r="BV201" s="641">
        <f t="shared" si="101"/>
        <v>999999999</v>
      </c>
      <c r="BW201" s="641">
        <f t="shared" si="101"/>
        <v>999999999</v>
      </c>
      <c r="BX201" s="641">
        <f t="shared" si="101"/>
        <v>999999999</v>
      </c>
      <c r="BY201" s="641">
        <f t="shared" si="101"/>
        <v>999999999</v>
      </c>
      <c r="BZ201" s="641">
        <f t="shared" si="101"/>
        <v>999999999</v>
      </c>
      <c r="CA201" s="641">
        <f t="shared" si="101"/>
        <v>999999999</v>
      </c>
      <c r="CB201" s="641">
        <f t="shared" si="101"/>
        <v>999999999</v>
      </c>
      <c r="CC201" s="641">
        <f t="shared" si="101"/>
        <v>999999999</v>
      </c>
      <c r="CD201" s="641">
        <f t="shared" si="101"/>
        <v>999999999</v>
      </c>
      <c r="CE201" s="641">
        <f t="shared" si="102"/>
        <v>999999999</v>
      </c>
      <c r="CF201" s="641">
        <f t="shared" si="102"/>
        <v>999999999</v>
      </c>
      <c r="CG201" s="641">
        <f t="shared" si="102"/>
        <v>999999999</v>
      </c>
      <c r="CH201" s="641">
        <f t="shared" si="102"/>
        <v>999999999</v>
      </c>
      <c r="CI201" s="641">
        <f t="shared" si="102"/>
        <v>999999999</v>
      </c>
      <c r="CJ201" s="641">
        <f t="shared" si="102"/>
        <v>999999999</v>
      </c>
      <c r="CK201" s="641">
        <f t="shared" si="102"/>
        <v>999999999</v>
      </c>
      <c r="CL201" s="641">
        <f t="shared" si="102"/>
        <v>999999999</v>
      </c>
      <c r="CM201" s="641">
        <f t="shared" si="102"/>
        <v>999999999</v>
      </c>
      <c r="CN201" s="641">
        <f t="shared" si="102"/>
        <v>999999999</v>
      </c>
      <c r="CO201" s="641">
        <f t="shared" si="103"/>
        <v>999999999</v>
      </c>
      <c r="CP201" s="641">
        <f t="shared" si="103"/>
        <v>999999999</v>
      </c>
      <c r="CQ201" s="641">
        <f t="shared" si="103"/>
        <v>999999999</v>
      </c>
      <c r="CR201" s="641">
        <f t="shared" si="103"/>
        <v>999999999</v>
      </c>
      <c r="CS201" s="641">
        <f t="shared" si="103"/>
        <v>999999999</v>
      </c>
      <c r="CT201" s="641">
        <f t="shared" si="103"/>
        <v>999999999</v>
      </c>
      <c r="CU201" s="641">
        <f t="shared" si="103"/>
        <v>999999999</v>
      </c>
      <c r="CV201" s="641">
        <f t="shared" si="103"/>
        <v>999999999</v>
      </c>
      <c r="CW201" s="641">
        <f t="shared" si="103"/>
        <v>999999999</v>
      </c>
      <c r="CX201" s="641">
        <f t="shared" si="103"/>
        <v>999999999</v>
      </c>
      <c r="CY201" s="641">
        <f t="shared" si="104"/>
        <v>999999999</v>
      </c>
      <c r="CZ201" s="641">
        <f t="shared" si="104"/>
        <v>999999999</v>
      </c>
      <c r="DA201" s="641">
        <f t="shared" si="104"/>
        <v>999999999</v>
      </c>
      <c r="DB201" s="641">
        <f t="shared" si="104"/>
        <v>999999999</v>
      </c>
      <c r="DC201" s="641">
        <f t="shared" si="104"/>
        <v>999999999</v>
      </c>
      <c r="DD201" s="641">
        <f t="shared" si="104"/>
        <v>999999999</v>
      </c>
      <c r="DE201" s="641">
        <f t="shared" si="104"/>
        <v>999999999</v>
      </c>
      <c r="DF201" s="641">
        <f t="shared" si="104"/>
        <v>999999999</v>
      </c>
      <c r="DG201" s="641">
        <f t="shared" si="104"/>
        <v>999999999</v>
      </c>
      <c r="DH201" s="641">
        <f t="shared" si="104"/>
        <v>999999999</v>
      </c>
      <c r="DI201" s="641">
        <f t="shared" si="105"/>
        <v>999999999</v>
      </c>
      <c r="DJ201" s="641">
        <f t="shared" si="105"/>
        <v>999999999</v>
      </c>
      <c r="DK201" s="641">
        <f t="shared" si="105"/>
        <v>999999999</v>
      </c>
      <c r="DL201" s="641">
        <f t="shared" si="105"/>
        <v>999999999</v>
      </c>
      <c r="DM201" s="641">
        <f t="shared" si="105"/>
        <v>999999999</v>
      </c>
      <c r="DN201" s="641">
        <f t="shared" si="105"/>
        <v>999999999</v>
      </c>
      <c r="DO201" s="641">
        <f t="shared" si="105"/>
        <v>999999999</v>
      </c>
      <c r="DP201" s="641">
        <f t="shared" si="105"/>
        <v>999999999</v>
      </c>
      <c r="DQ201" s="641">
        <f t="shared" si="105"/>
        <v>999999999</v>
      </c>
      <c r="DR201" s="641">
        <f t="shared" si="105"/>
        <v>999999999</v>
      </c>
      <c r="DS201" s="641">
        <f t="shared" si="106"/>
        <v>999999999</v>
      </c>
      <c r="DT201" s="641">
        <f t="shared" si="106"/>
        <v>999999999</v>
      </c>
      <c r="DU201" s="641">
        <f t="shared" si="106"/>
        <v>999999999</v>
      </c>
      <c r="DV201" s="641">
        <f t="shared" si="106"/>
        <v>999999999</v>
      </c>
      <c r="DW201" s="641">
        <f t="shared" si="106"/>
        <v>999999999</v>
      </c>
      <c r="DX201" s="641">
        <f t="shared" si="106"/>
        <v>999999999</v>
      </c>
      <c r="DY201" s="641">
        <f t="shared" si="106"/>
        <v>999999999</v>
      </c>
      <c r="DZ201" s="641">
        <f t="shared" si="106"/>
        <v>999999999</v>
      </c>
      <c r="EA201" s="641">
        <f t="shared" si="106"/>
        <v>999999999</v>
      </c>
      <c r="EB201" s="641">
        <f t="shared" si="106"/>
        <v>999999999</v>
      </c>
      <c r="EC201" s="641">
        <f t="shared" si="106"/>
        <v>999999999</v>
      </c>
    </row>
    <row r="202" spans="28:133" ht="15.5">
      <c r="AB202" s="5">
        <f t="shared" si="86"/>
        <v>2</v>
      </c>
      <c r="AC202" s="128">
        <v>59</v>
      </c>
      <c r="AD202" s="129">
        <f t="shared" si="107"/>
        <v>8066.506604000002</v>
      </c>
      <c r="AF202" s="128">
        <v>59</v>
      </c>
      <c r="AG202" s="641">
        <f t="shared" si="97"/>
        <v>489661.50660399999</v>
      </c>
      <c r="AH202" s="641">
        <f t="shared" si="97"/>
        <v>426709.50660399999</v>
      </c>
      <c r="AI202" s="641">
        <f t="shared" si="97"/>
        <v>363757.50660399999</v>
      </c>
      <c r="AJ202" s="641">
        <f t="shared" si="97"/>
        <v>300805.50660399999</v>
      </c>
      <c r="AK202" s="641">
        <f t="shared" si="97"/>
        <v>237853.50660399999</v>
      </c>
      <c r="AL202" s="641">
        <f t="shared" si="97"/>
        <v>174901.50660399999</v>
      </c>
      <c r="AM202" s="641">
        <f t="shared" si="97"/>
        <v>112986.50660399999</v>
      </c>
      <c r="AN202" s="641">
        <f t="shared" si="97"/>
        <v>60526.506604000002</v>
      </c>
      <c r="AO202" s="641">
        <f t="shared" si="97"/>
        <v>8066.506604000002</v>
      </c>
      <c r="AP202" s="641">
        <f t="shared" si="97"/>
        <v>999999999</v>
      </c>
      <c r="AQ202" s="641">
        <f t="shared" si="98"/>
        <v>999999999</v>
      </c>
      <c r="AR202" s="641">
        <f t="shared" si="98"/>
        <v>999999999</v>
      </c>
      <c r="AS202" s="641">
        <f t="shared" si="98"/>
        <v>999999999</v>
      </c>
      <c r="AT202" s="641">
        <f t="shared" si="98"/>
        <v>999999999</v>
      </c>
      <c r="AU202" s="641">
        <f t="shared" si="98"/>
        <v>999999999</v>
      </c>
      <c r="AV202" s="641">
        <f t="shared" si="98"/>
        <v>999999999</v>
      </c>
      <c r="AW202" s="641">
        <f t="shared" si="98"/>
        <v>999999999</v>
      </c>
      <c r="AX202" s="641">
        <f t="shared" si="98"/>
        <v>999999999</v>
      </c>
      <c r="AY202" s="641">
        <f t="shared" si="98"/>
        <v>999999999</v>
      </c>
      <c r="AZ202" s="641">
        <f t="shared" si="98"/>
        <v>999999999</v>
      </c>
      <c r="BA202" s="641">
        <f t="shared" si="99"/>
        <v>999999999</v>
      </c>
      <c r="BB202" s="641">
        <f t="shared" si="99"/>
        <v>999999999</v>
      </c>
      <c r="BC202" s="641">
        <f t="shared" si="99"/>
        <v>999999999</v>
      </c>
      <c r="BD202" s="641">
        <f t="shared" si="99"/>
        <v>999999999</v>
      </c>
      <c r="BE202" s="641">
        <f t="shared" si="99"/>
        <v>999999999</v>
      </c>
      <c r="BF202" s="641">
        <f t="shared" si="99"/>
        <v>999999999</v>
      </c>
      <c r="BG202" s="641">
        <f t="shared" si="99"/>
        <v>999999999</v>
      </c>
      <c r="BH202" s="641">
        <f t="shared" si="99"/>
        <v>999999999</v>
      </c>
      <c r="BI202" s="641">
        <f t="shared" si="99"/>
        <v>999999999</v>
      </c>
      <c r="BJ202" s="641">
        <f t="shared" si="99"/>
        <v>999999999</v>
      </c>
      <c r="BK202" s="641">
        <f t="shared" si="100"/>
        <v>999999999</v>
      </c>
      <c r="BL202" s="641">
        <f t="shared" si="100"/>
        <v>999999999</v>
      </c>
      <c r="BM202" s="641">
        <f t="shared" si="100"/>
        <v>999999999</v>
      </c>
      <c r="BN202" s="641">
        <f t="shared" si="100"/>
        <v>999999999</v>
      </c>
      <c r="BO202" s="641">
        <f t="shared" si="100"/>
        <v>999999999</v>
      </c>
      <c r="BP202" s="641">
        <f t="shared" si="100"/>
        <v>999999999</v>
      </c>
      <c r="BQ202" s="641">
        <f t="shared" si="100"/>
        <v>999999999</v>
      </c>
      <c r="BR202" s="641">
        <f t="shared" si="100"/>
        <v>999999999</v>
      </c>
      <c r="BS202" s="641">
        <f t="shared" si="100"/>
        <v>999999999</v>
      </c>
      <c r="BT202" s="641">
        <f t="shared" si="100"/>
        <v>999999999</v>
      </c>
      <c r="BU202" s="641">
        <f t="shared" si="101"/>
        <v>999999999</v>
      </c>
      <c r="BV202" s="641">
        <f t="shared" si="101"/>
        <v>999999999</v>
      </c>
      <c r="BW202" s="641">
        <f t="shared" si="101"/>
        <v>999999999</v>
      </c>
      <c r="BX202" s="641">
        <f t="shared" si="101"/>
        <v>999999999</v>
      </c>
      <c r="BY202" s="641">
        <f t="shared" si="101"/>
        <v>999999999</v>
      </c>
      <c r="BZ202" s="641">
        <f t="shared" si="101"/>
        <v>999999999</v>
      </c>
      <c r="CA202" s="641">
        <f t="shared" si="101"/>
        <v>999999999</v>
      </c>
      <c r="CB202" s="641">
        <f t="shared" si="101"/>
        <v>999999999</v>
      </c>
      <c r="CC202" s="641">
        <f t="shared" si="101"/>
        <v>999999999</v>
      </c>
      <c r="CD202" s="641">
        <f t="shared" si="101"/>
        <v>999999999</v>
      </c>
      <c r="CE202" s="641">
        <f t="shared" si="102"/>
        <v>999999999</v>
      </c>
      <c r="CF202" s="641">
        <f t="shared" si="102"/>
        <v>999999999</v>
      </c>
      <c r="CG202" s="641">
        <f t="shared" si="102"/>
        <v>999999999</v>
      </c>
      <c r="CH202" s="641">
        <f t="shared" si="102"/>
        <v>999999999</v>
      </c>
      <c r="CI202" s="641">
        <f t="shared" si="102"/>
        <v>999999999</v>
      </c>
      <c r="CJ202" s="641">
        <f t="shared" si="102"/>
        <v>999999999</v>
      </c>
      <c r="CK202" s="641">
        <f t="shared" si="102"/>
        <v>999999999</v>
      </c>
      <c r="CL202" s="641">
        <f t="shared" si="102"/>
        <v>999999999</v>
      </c>
      <c r="CM202" s="641">
        <f t="shared" si="102"/>
        <v>999999999</v>
      </c>
      <c r="CN202" s="641">
        <f t="shared" si="102"/>
        <v>999999999</v>
      </c>
      <c r="CO202" s="641">
        <f t="shared" si="103"/>
        <v>999999999</v>
      </c>
      <c r="CP202" s="641">
        <f t="shared" si="103"/>
        <v>999999999</v>
      </c>
      <c r="CQ202" s="641">
        <f t="shared" si="103"/>
        <v>999999999</v>
      </c>
      <c r="CR202" s="641">
        <f t="shared" si="103"/>
        <v>999999999</v>
      </c>
      <c r="CS202" s="641">
        <f t="shared" si="103"/>
        <v>999999999</v>
      </c>
      <c r="CT202" s="641">
        <f t="shared" si="103"/>
        <v>999999999</v>
      </c>
      <c r="CU202" s="641">
        <f t="shared" si="103"/>
        <v>999999999</v>
      </c>
      <c r="CV202" s="641">
        <f t="shared" si="103"/>
        <v>999999999</v>
      </c>
      <c r="CW202" s="641">
        <f t="shared" si="103"/>
        <v>999999999</v>
      </c>
      <c r="CX202" s="641">
        <f t="shared" si="103"/>
        <v>999999999</v>
      </c>
      <c r="CY202" s="641">
        <f t="shared" si="104"/>
        <v>999999999</v>
      </c>
      <c r="CZ202" s="641">
        <f t="shared" si="104"/>
        <v>999999999</v>
      </c>
      <c r="DA202" s="641">
        <f t="shared" si="104"/>
        <v>999999999</v>
      </c>
      <c r="DB202" s="641">
        <f t="shared" si="104"/>
        <v>999999999</v>
      </c>
      <c r="DC202" s="641">
        <f t="shared" si="104"/>
        <v>999999999</v>
      </c>
      <c r="DD202" s="641">
        <f t="shared" si="104"/>
        <v>999999999</v>
      </c>
      <c r="DE202" s="641">
        <f t="shared" si="104"/>
        <v>999999999</v>
      </c>
      <c r="DF202" s="641">
        <f t="shared" si="104"/>
        <v>999999999</v>
      </c>
      <c r="DG202" s="641">
        <f t="shared" si="104"/>
        <v>999999999</v>
      </c>
      <c r="DH202" s="641">
        <f t="shared" si="104"/>
        <v>999999999</v>
      </c>
      <c r="DI202" s="641">
        <f t="shared" si="105"/>
        <v>999999999</v>
      </c>
      <c r="DJ202" s="641">
        <f t="shared" si="105"/>
        <v>999999999</v>
      </c>
      <c r="DK202" s="641">
        <f t="shared" si="105"/>
        <v>999999999</v>
      </c>
      <c r="DL202" s="641">
        <f t="shared" si="105"/>
        <v>999999999</v>
      </c>
      <c r="DM202" s="641">
        <f t="shared" si="105"/>
        <v>999999999</v>
      </c>
      <c r="DN202" s="641">
        <f t="shared" si="105"/>
        <v>999999999</v>
      </c>
      <c r="DO202" s="641">
        <f t="shared" si="105"/>
        <v>999999999</v>
      </c>
      <c r="DP202" s="641">
        <f t="shared" si="105"/>
        <v>999999999</v>
      </c>
      <c r="DQ202" s="641">
        <f t="shared" si="105"/>
        <v>999999999</v>
      </c>
      <c r="DR202" s="641">
        <f t="shared" si="105"/>
        <v>999999999</v>
      </c>
      <c r="DS202" s="641">
        <f t="shared" si="106"/>
        <v>999999999</v>
      </c>
      <c r="DT202" s="641">
        <f t="shared" si="106"/>
        <v>999999999</v>
      </c>
      <c r="DU202" s="641">
        <f t="shared" si="106"/>
        <v>999999999</v>
      </c>
      <c r="DV202" s="641">
        <f t="shared" si="106"/>
        <v>999999999</v>
      </c>
      <c r="DW202" s="641">
        <f t="shared" si="106"/>
        <v>999999999</v>
      </c>
      <c r="DX202" s="641">
        <f t="shared" si="106"/>
        <v>999999999</v>
      </c>
      <c r="DY202" s="641">
        <f t="shared" si="106"/>
        <v>999999999</v>
      </c>
      <c r="DZ202" s="641">
        <f t="shared" si="106"/>
        <v>999999999</v>
      </c>
      <c r="EA202" s="641">
        <f t="shared" si="106"/>
        <v>999999999</v>
      </c>
      <c r="EB202" s="641">
        <f t="shared" si="106"/>
        <v>999999999</v>
      </c>
      <c r="EC202" s="641">
        <f t="shared" si="106"/>
        <v>999999999</v>
      </c>
    </row>
    <row r="203" spans="28:133" ht="15.5">
      <c r="AB203" s="5">
        <f t="shared" si="86"/>
        <v>2</v>
      </c>
      <c r="AC203" s="128">
        <v>60</v>
      </c>
      <c r="AD203" s="129">
        <f t="shared" si="107"/>
        <v>8066.506604000002</v>
      </c>
      <c r="AF203" s="128">
        <v>60</v>
      </c>
      <c r="AG203" s="641">
        <f t="shared" ref="AG203:AP212" si="108">IF(VLOOKUP($AF203,$T$61:$X$161,2)+VLOOKUP(AG$142,$T$61:$X$161,$AF$141)+VLOOKUP(0,$T$61:$X$161,$AF$140)+VLOOKUP(0,$T$61:$X$161,5)+$Y$51+$Z$44-$U$17&lt;0,999999999,VLOOKUP($AF203,$T$61:$X$161,2)+VLOOKUP(AG$142,$T$61:$X$161,$AF$141)+VLOOKUP(0,$T$61:$X$161,$AF$140)+VLOOKUP(0,$T$61:$X$161,5)+$Y$51+$Z$44-$U$17)</f>
        <v>489661.50660399999</v>
      </c>
      <c r="AH203" s="641">
        <f t="shared" si="108"/>
        <v>426709.50660399999</v>
      </c>
      <c r="AI203" s="641">
        <f t="shared" si="108"/>
        <v>363757.50660399999</v>
      </c>
      <c r="AJ203" s="641">
        <f t="shared" si="108"/>
        <v>300805.50660399999</v>
      </c>
      <c r="AK203" s="641">
        <f t="shared" si="108"/>
        <v>237853.50660399999</v>
      </c>
      <c r="AL203" s="641">
        <f t="shared" si="108"/>
        <v>174901.50660399999</v>
      </c>
      <c r="AM203" s="641">
        <f t="shared" si="108"/>
        <v>112986.50660399999</v>
      </c>
      <c r="AN203" s="641">
        <f t="shared" si="108"/>
        <v>60526.506604000002</v>
      </c>
      <c r="AO203" s="641">
        <f t="shared" si="108"/>
        <v>8066.506604000002</v>
      </c>
      <c r="AP203" s="641">
        <f t="shared" si="108"/>
        <v>999999999</v>
      </c>
      <c r="AQ203" s="641">
        <f t="shared" ref="AQ203:AZ212" si="109">IF(VLOOKUP($AF203,$T$61:$X$161,2)+VLOOKUP(AQ$142,$T$61:$X$161,$AF$141)+VLOOKUP(0,$T$61:$X$161,$AF$140)+VLOOKUP(0,$T$61:$X$161,5)+$Y$51+$Z$44-$U$17&lt;0,999999999,VLOOKUP($AF203,$T$61:$X$161,2)+VLOOKUP(AQ$142,$T$61:$X$161,$AF$141)+VLOOKUP(0,$T$61:$X$161,$AF$140)+VLOOKUP(0,$T$61:$X$161,5)+$Y$51+$Z$44-$U$17)</f>
        <v>999999999</v>
      </c>
      <c r="AR203" s="641">
        <f t="shared" si="109"/>
        <v>999999999</v>
      </c>
      <c r="AS203" s="641">
        <f t="shared" si="109"/>
        <v>999999999</v>
      </c>
      <c r="AT203" s="641">
        <f t="shared" si="109"/>
        <v>999999999</v>
      </c>
      <c r="AU203" s="641">
        <f t="shared" si="109"/>
        <v>999999999</v>
      </c>
      <c r="AV203" s="641">
        <f t="shared" si="109"/>
        <v>999999999</v>
      </c>
      <c r="AW203" s="641">
        <f t="shared" si="109"/>
        <v>999999999</v>
      </c>
      <c r="AX203" s="641">
        <f t="shared" si="109"/>
        <v>999999999</v>
      </c>
      <c r="AY203" s="641">
        <f t="shared" si="109"/>
        <v>999999999</v>
      </c>
      <c r="AZ203" s="641">
        <f t="shared" si="109"/>
        <v>999999999</v>
      </c>
      <c r="BA203" s="641">
        <f t="shared" ref="BA203:BJ212" si="110">IF(VLOOKUP($AF203,$T$61:$X$161,2)+VLOOKUP(BA$142,$T$61:$X$161,$AF$141)+VLOOKUP(0,$T$61:$X$161,$AF$140)+VLOOKUP(0,$T$61:$X$161,5)+$Y$51+$Z$44-$U$17&lt;0,999999999,VLOOKUP($AF203,$T$61:$X$161,2)+VLOOKUP(BA$142,$T$61:$X$161,$AF$141)+VLOOKUP(0,$T$61:$X$161,$AF$140)+VLOOKUP(0,$T$61:$X$161,5)+$Y$51+$Z$44-$U$17)</f>
        <v>999999999</v>
      </c>
      <c r="BB203" s="641">
        <f t="shared" si="110"/>
        <v>999999999</v>
      </c>
      <c r="BC203" s="641">
        <f t="shared" si="110"/>
        <v>999999999</v>
      </c>
      <c r="BD203" s="641">
        <f t="shared" si="110"/>
        <v>999999999</v>
      </c>
      <c r="BE203" s="641">
        <f t="shared" si="110"/>
        <v>999999999</v>
      </c>
      <c r="BF203" s="641">
        <f t="shared" si="110"/>
        <v>999999999</v>
      </c>
      <c r="BG203" s="641">
        <f t="shared" si="110"/>
        <v>999999999</v>
      </c>
      <c r="BH203" s="641">
        <f t="shared" si="110"/>
        <v>999999999</v>
      </c>
      <c r="BI203" s="641">
        <f t="shared" si="110"/>
        <v>999999999</v>
      </c>
      <c r="BJ203" s="641">
        <f t="shared" si="110"/>
        <v>999999999</v>
      </c>
      <c r="BK203" s="641">
        <f t="shared" ref="BK203:BT212" si="111">IF(VLOOKUP($AF203,$T$61:$X$161,2)+VLOOKUP(BK$142,$T$61:$X$161,$AF$141)+VLOOKUP(0,$T$61:$X$161,$AF$140)+VLOOKUP(0,$T$61:$X$161,5)+$Y$51+$Z$44-$U$17&lt;0,999999999,VLOOKUP($AF203,$T$61:$X$161,2)+VLOOKUP(BK$142,$T$61:$X$161,$AF$141)+VLOOKUP(0,$T$61:$X$161,$AF$140)+VLOOKUP(0,$T$61:$X$161,5)+$Y$51+$Z$44-$U$17)</f>
        <v>999999999</v>
      </c>
      <c r="BL203" s="641">
        <f t="shared" si="111"/>
        <v>999999999</v>
      </c>
      <c r="BM203" s="641">
        <f t="shared" si="111"/>
        <v>999999999</v>
      </c>
      <c r="BN203" s="641">
        <f t="shared" si="111"/>
        <v>999999999</v>
      </c>
      <c r="BO203" s="641">
        <f t="shared" si="111"/>
        <v>999999999</v>
      </c>
      <c r="BP203" s="641">
        <f t="shared" si="111"/>
        <v>999999999</v>
      </c>
      <c r="BQ203" s="641">
        <f t="shared" si="111"/>
        <v>999999999</v>
      </c>
      <c r="BR203" s="641">
        <f t="shared" si="111"/>
        <v>999999999</v>
      </c>
      <c r="BS203" s="641">
        <f t="shared" si="111"/>
        <v>999999999</v>
      </c>
      <c r="BT203" s="641">
        <f t="shared" si="111"/>
        <v>999999999</v>
      </c>
      <c r="BU203" s="641">
        <f t="shared" ref="BU203:CD212" si="112">IF(VLOOKUP($AF203,$T$61:$X$161,2)+VLOOKUP(BU$142,$T$61:$X$161,$AF$141)+VLOOKUP(0,$T$61:$X$161,$AF$140)+VLOOKUP(0,$T$61:$X$161,5)+$Y$51+$Z$44-$U$17&lt;0,999999999,VLOOKUP($AF203,$T$61:$X$161,2)+VLOOKUP(BU$142,$T$61:$X$161,$AF$141)+VLOOKUP(0,$T$61:$X$161,$AF$140)+VLOOKUP(0,$T$61:$X$161,5)+$Y$51+$Z$44-$U$17)</f>
        <v>999999999</v>
      </c>
      <c r="BV203" s="641">
        <f t="shared" si="112"/>
        <v>999999999</v>
      </c>
      <c r="BW203" s="641">
        <f t="shared" si="112"/>
        <v>999999999</v>
      </c>
      <c r="BX203" s="641">
        <f t="shared" si="112"/>
        <v>999999999</v>
      </c>
      <c r="BY203" s="641">
        <f t="shared" si="112"/>
        <v>999999999</v>
      </c>
      <c r="BZ203" s="641">
        <f t="shared" si="112"/>
        <v>999999999</v>
      </c>
      <c r="CA203" s="641">
        <f t="shared" si="112"/>
        <v>999999999</v>
      </c>
      <c r="CB203" s="641">
        <f t="shared" si="112"/>
        <v>999999999</v>
      </c>
      <c r="CC203" s="641">
        <f t="shared" si="112"/>
        <v>999999999</v>
      </c>
      <c r="CD203" s="641">
        <f t="shared" si="112"/>
        <v>999999999</v>
      </c>
      <c r="CE203" s="641">
        <f t="shared" ref="CE203:CN212" si="113">IF(VLOOKUP($AF203,$T$61:$X$161,2)+VLOOKUP(CE$142,$T$61:$X$161,$AF$141)+VLOOKUP(0,$T$61:$X$161,$AF$140)+VLOOKUP(0,$T$61:$X$161,5)+$Y$51+$Z$44-$U$17&lt;0,999999999,VLOOKUP($AF203,$T$61:$X$161,2)+VLOOKUP(CE$142,$T$61:$X$161,$AF$141)+VLOOKUP(0,$T$61:$X$161,$AF$140)+VLOOKUP(0,$T$61:$X$161,5)+$Y$51+$Z$44-$U$17)</f>
        <v>999999999</v>
      </c>
      <c r="CF203" s="641">
        <f t="shared" si="113"/>
        <v>999999999</v>
      </c>
      <c r="CG203" s="641">
        <f t="shared" si="113"/>
        <v>999999999</v>
      </c>
      <c r="CH203" s="641">
        <f t="shared" si="113"/>
        <v>999999999</v>
      </c>
      <c r="CI203" s="641">
        <f t="shared" si="113"/>
        <v>999999999</v>
      </c>
      <c r="CJ203" s="641">
        <f t="shared" si="113"/>
        <v>999999999</v>
      </c>
      <c r="CK203" s="641">
        <f t="shared" si="113"/>
        <v>999999999</v>
      </c>
      <c r="CL203" s="641">
        <f t="shared" si="113"/>
        <v>999999999</v>
      </c>
      <c r="CM203" s="641">
        <f t="shared" si="113"/>
        <v>999999999</v>
      </c>
      <c r="CN203" s="641">
        <f t="shared" si="113"/>
        <v>999999999</v>
      </c>
      <c r="CO203" s="641">
        <f t="shared" ref="CO203:CX212" si="114">IF(VLOOKUP($AF203,$T$61:$X$161,2)+VLOOKUP(CO$142,$T$61:$X$161,$AF$141)+VLOOKUP(0,$T$61:$X$161,$AF$140)+VLOOKUP(0,$T$61:$X$161,5)+$Y$51+$Z$44-$U$17&lt;0,999999999,VLOOKUP($AF203,$T$61:$X$161,2)+VLOOKUP(CO$142,$T$61:$X$161,$AF$141)+VLOOKUP(0,$T$61:$X$161,$AF$140)+VLOOKUP(0,$T$61:$X$161,5)+$Y$51+$Z$44-$U$17)</f>
        <v>999999999</v>
      </c>
      <c r="CP203" s="641">
        <f t="shared" si="114"/>
        <v>999999999</v>
      </c>
      <c r="CQ203" s="641">
        <f t="shared" si="114"/>
        <v>999999999</v>
      </c>
      <c r="CR203" s="641">
        <f t="shared" si="114"/>
        <v>999999999</v>
      </c>
      <c r="CS203" s="641">
        <f t="shared" si="114"/>
        <v>999999999</v>
      </c>
      <c r="CT203" s="641">
        <f t="shared" si="114"/>
        <v>999999999</v>
      </c>
      <c r="CU203" s="641">
        <f t="shared" si="114"/>
        <v>999999999</v>
      </c>
      <c r="CV203" s="641">
        <f t="shared" si="114"/>
        <v>999999999</v>
      </c>
      <c r="CW203" s="641">
        <f t="shared" si="114"/>
        <v>999999999</v>
      </c>
      <c r="CX203" s="641">
        <f t="shared" si="114"/>
        <v>999999999</v>
      </c>
      <c r="CY203" s="641">
        <f t="shared" ref="CY203:DH212" si="115">IF(VLOOKUP($AF203,$T$61:$X$161,2)+VLOOKUP(CY$142,$T$61:$X$161,$AF$141)+VLOOKUP(0,$T$61:$X$161,$AF$140)+VLOOKUP(0,$T$61:$X$161,5)+$Y$51+$Z$44-$U$17&lt;0,999999999,VLOOKUP($AF203,$T$61:$X$161,2)+VLOOKUP(CY$142,$T$61:$X$161,$AF$141)+VLOOKUP(0,$T$61:$X$161,$AF$140)+VLOOKUP(0,$T$61:$X$161,5)+$Y$51+$Z$44-$U$17)</f>
        <v>999999999</v>
      </c>
      <c r="CZ203" s="641">
        <f t="shared" si="115"/>
        <v>999999999</v>
      </c>
      <c r="DA203" s="641">
        <f t="shared" si="115"/>
        <v>999999999</v>
      </c>
      <c r="DB203" s="641">
        <f t="shared" si="115"/>
        <v>999999999</v>
      </c>
      <c r="DC203" s="641">
        <f t="shared" si="115"/>
        <v>999999999</v>
      </c>
      <c r="DD203" s="641">
        <f t="shared" si="115"/>
        <v>999999999</v>
      </c>
      <c r="DE203" s="641">
        <f t="shared" si="115"/>
        <v>999999999</v>
      </c>
      <c r="DF203" s="641">
        <f t="shared" si="115"/>
        <v>999999999</v>
      </c>
      <c r="DG203" s="641">
        <f t="shared" si="115"/>
        <v>999999999</v>
      </c>
      <c r="DH203" s="641">
        <f t="shared" si="115"/>
        <v>999999999</v>
      </c>
      <c r="DI203" s="641">
        <f t="shared" ref="DI203:DR212" si="116">IF(VLOOKUP($AF203,$T$61:$X$161,2)+VLOOKUP(DI$142,$T$61:$X$161,$AF$141)+VLOOKUP(0,$T$61:$X$161,$AF$140)+VLOOKUP(0,$T$61:$X$161,5)+$Y$51+$Z$44-$U$17&lt;0,999999999,VLOOKUP($AF203,$T$61:$X$161,2)+VLOOKUP(DI$142,$T$61:$X$161,$AF$141)+VLOOKUP(0,$T$61:$X$161,$AF$140)+VLOOKUP(0,$T$61:$X$161,5)+$Y$51+$Z$44-$U$17)</f>
        <v>999999999</v>
      </c>
      <c r="DJ203" s="641">
        <f t="shared" si="116"/>
        <v>999999999</v>
      </c>
      <c r="DK203" s="641">
        <f t="shared" si="116"/>
        <v>999999999</v>
      </c>
      <c r="DL203" s="641">
        <f t="shared" si="116"/>
        <v>999999999</v>
      </c>
      <c r="DM203" s="641">
        <f t="shared" si="116"/>
        <v>999999999</v>
      </c>
      <c r="DN203" s="641">
        <f t="shared" si="116"/>
        <v>999999999</v>
      </c>
      <c r="DO203" s="641">
        <f t="shared" si="116"/>
        <v>999999999</v>
      </c>
      <c r="DP203" s="641">
        <f t="shared" si="116"/>
        <v>999999999</v>
      </c>
      <c r="DQ203" s="641">
        <f t="shared" si="116"/>
        <v>999999999</v>
      </c>
      <c r="DR203" s="641">
        <f t="shared" si="116"/>
        <v>999999999</v>
      </c>
      <c r="DS203" s="641">
        <f t="shared" ref="DS203:EC212" si="117">IF(VLOOKUP($AF203,$T$61:$X$161,2)+VLOOKUP(DS$142,$T$61:$X$161,$AF$141)+VLOOKUP(0,$T$61:$X$161,$AF$140)+VLOOKUP(0,$T$61:$X$161,5)+$Y$51+$Z$44-$U$17&lt;0,999999999,VLOOKUP($AF203,$T$61:$X$161,2)+VLOOKUP(DS$142,$T$61:$X$161,$AF$141)+VLOOKUP(0,$T$61:$X$161,$AF$140)+VLOOKUP(0,$T$61:$X$161,5)+$Y$51+$Z$44-$U$17)</f>
        <v>999999999</v>
      </c>
      <c r="DT203" s="641">
        <f t="shared" si="117"/>
        <v>999999999</v>
      </c>
      <c r="DU203" s="641">
        <f t="shared" si="117"/>
        <v>999999999</v>
      </c>
      <c r="DV203" s="641">
        <f t="shared" si="117"/>
        <v>999999999</v>
      </c>
      <c r="DW203" s="641">
        <f t="shared" si="117"/>
        <v>999999999</v>
      </c>
      <c r="DX203" s="641">
        <f t="shared" si="117"/>
        <v>999999999</v>
      </c>
      <c r="DY203" s="641">
        <f t="shared" si="117"/>
        <v>999999999</v>
      </c>
      <c r="DZ203" s="641">
        <f t="shared" si="117"/>
        <v>999999999</v>
      </c>
      <c r="EA203" s="641">
        <f t="shared" si="117"/>
        <v>999999999</v>
      </c>
      <c r="EB203" s="641">
        <f t="shared" si="117"/>
        <v>999999999</v>
      </c>
      <c r="EC203" s="641">
        <f t="shared" si="117"/>
        <v>999999999</v>
      </c>
    </row>
    <row r="204" spans="28:133" ht="15.5">
      <c r="AB204" s="5">
        <f t="shared" si="86"/>
        <v>2</v>
      </c>
      <c r="AC204" s="128">
        <v>61</v>
      </c>
      <c r="AD204" s="129">
        <f t="shared" si="107"/>
        <v>8066.506604000002</v>
      </c>
      <c r="AF204" s="128">
        <v>61</v>
      </c>
      <c r="AG204" s="641">
        <f t="shared" si="108"/>
        <v>489661.50660399999</v>
      </c>
      <c r="AH204" s="641">
        <f t="shared" si="108"/>
        <v>426709.50660399999</v>
      </c>
      <c r="AI204" s="641">
        <f t="shared" si="108"/>
        <v>363757.50660399999</v>
      </c>
      <c r="AJ204" s="641">
        <f t="shared" si="108"/>
        <v>300805.50660399999</v>
      </c>
      <c r="AK204" s="641">
        <f t="shared" si="108"/>
        <v>237853.50660399999</v>
      </c>
      <c r="AL204" s="641">
        <f t="shared" si="108"/>
        <v>174901.50660399999</v>
      </c>
      <c r="AM204" s="641">
        <f t="shared" si="108"/>
        <v>112986.50660399999</v>
      </c>
      <c r="AN204" s="641">
        <f t="shared" si="108"/>
        <v>60526.506604000002</v>
      </c>
      <c r="AO204" s="641">
        <f t="shared" si="108"/>
        <v>8066.506604000002</v>
      </c>
      <c r="AP204" s="641">
        <f t="shared" si="108"/>
        <v>999999999</v>
      </c>
      <c r="AQ204" s="641">
        <f t="shared" si="109"/>
        <v>999999999</v>
      </c>
      <c r="AR204" s="641">
        <f t="shared" si="109"/>
        <v>999999999</v>
      </c>
      <c r="AS204" s="641">
        <f t="shared" si="109"/>
        <v>999999999</v>
      </c>
      <c r="AT204" s="641">
        <f t="shared" si="109"/>
        <v>999999999</v>
      </c>
      <c r="AU204" s="641">
        <f t="shared" si="109"/>
        <v>999999999</v>
      </c>
      <c r="AV204" s="641">
        <f t="shared" si="109"/>
        <v>999999999</v>
      </c>
      <c r="AW204" s="641">
        <f t="shared" si="109"/>
        <v>999999999</v>
      </c>
      <c r="AX204" s="641">
        <f t="shared" si="109"/>
        <v>999999999</v>
      </c>
      <c r="AY204" s="641">
        <f t="shared" si="109"/>
        <v>999999999</v>
      </c>
      <c r="AZ204" s="641">
        <f t="shared" si="109"/>
        <v>999999999</v>
      </c>
      <c r="BA204" s="641">
        <f t="shared" si="110"/>
        <v>999999999</v>
      </c>
      <c r="BB204" s="641">
        <f t="shared" si="110"/>
        <v>999999999</v>
      </c>
      <c r="BC204" s="641">
        <f t="shared" si="110"/>
        <v>999999999</v>
      </c>
      <c r="BD204" s="641">
        <f t="shared" si="110"/>
        <v>999999999</v>
      </c>
      <c r="BE204" s="641">
        <f t="shared" si="110"/>
        <v>999999999</v>
      </c>
      <c r="BF204" s="641">
        <f t="shared" si="110"/>
        <v>999999999</v>
      </c>
      <c r="BG204" s="641">
        <f t="shared" si="110"/>
        <v>999999999</v>
      </c>
      <c r="BH204" s="641">
        <f t="shared" si="110"/>
        <v>999999999</v>
      </c>
      <c r="BI204" s="641">
        <f t="shared" si="110"/>
        <v>999999999</v>
      </c>
      <c r="BJ204" s="641">
        <f t="shared" si="110"/>
        <v>999999999</v>
      </c>
      <c r="BK204" s="641">
        <f t="shared" si="111"/>
        <v>999999999</v>
      </c>
      <c r="BL204" s="641">
        <f t="shared" si="111"/>
        <v>999999999</v>
      </c>
      <c r="BM204" s="641">
        <f t="shared" si="111"/>
        <v>999999999</v>
      </c>
      <c r="BN204" s="641">
        <f t="shared" si="111"/>
        <v>999999999</v>
      </c>
      <c r="BO204" s="641">
        <f t="shared" si="111"/>
        <v>999999999</v>
      </c>
      <c r="BP204" s="641">
        <f t="shared" si="111"/>
        <v>999999999</v>
      </c>
      <c r="BQ204" s="641">
        <f t="shared" si="111"/>
        <v>999999999</v>
      </c>
      <c r="BR204" s="641">
        <f t="shared" si="111"/>
        <v>999999999</v>
      </c>
      <c r="BS204" s="641">
        <f t="shared" si="111"/>
        <v>999999999</v>
      </c>
      <c r="BT204" s="641">
        <f t="shared" si="111"/>
        <v>999999999</v>
      </c>
      <c r="BU204" s="641">
        <f t="shared" si="112"/>
        <v>999999999</v>
      </c>
      <c r="BV204" s="641">
        <f t="shared" si="112"/>
        <v>999999999</v>
      </c>
      <c r="BW204" s="641">
        <f t="shared" si="112"/>
        <v>999999999</v>
      </c>
      <c r="BX204" s="641">
        <f t="shared" si="112"/>
        <v>999999999</v>
      </c>
      <c r="BY204" s="641">
        <f t="shared" si="112"/>
        <v>999999999</v>
      </c>
      <c r="BZ204" s="641">
        <f t="shared" si="112"/>
        <v>999999999</v>
      </c>
      <c r="CA204" s="641">
        <f t="shared" si="112"/>
        <v>999999999</v>
      </c>
      <c r="CB204" s="641">
        <f t="shared" si="112"/>
        <v>999999999</v>
      </c>
      <c r="CC204" s="641">
        <f t="shared" si="112"/>
        <v>999999999</v>
      </c>
      <c r="CD204" s="641">
        <f t="shared" si="112"/>
        <v>999999999</v>
      </c>
      <c r="CE204" s="641">
        <f t="shared" si="113"/>
        <v>999999999</v>
      </c>
      <c r="CF204" s="641">
        <f t="shared" si="113"/>
        <v>999999999</v>
      </c>
      <c r="CG204" s="641">
        <f t="shared" si="113"/>
        <v>999999999</v>
      </c>
      <c r="CH204" s="641">
        <f t="shared" si="113"/>
        <v>999999999</v>
      </c>
      <c r="CI204" s="641">
        <f t="shared" si="113"/>
        <v>999999999</v>
      </c>
      <c r="CJ204" s="641">
        <f t="shared" si="113"/>
        <v>999999999</v>
      </c>
      <c r="CK204" s="641">
        <f t="shared" si="113"/>
        <v>999999999</v>
      </c>
      <c r="CL204" s="641">
        <f t="shared" si="113"/>
        <v>999999999</v>
      </c>
      <c r="CM204" s="641">
        <f t="shared" si="113"/>
        <v>999999999</v>
      </c>
      <c r="CN204" s="641">
        <f t="shared" si="113"/>
        <v>999999999</v>
      </c>
      <c r="CO204" s="641">
        <f t="shared" si="114"/>
        <v>999999999</v>
      </c>
      <c r="CP204" s="641">
        <f t="shared" si="114"/>
        <v>999999999</v>
      </c>
      <c r="CQ204" s="641">
        <f t="shared" si="114"/>
        <v>999999999</v>
      </c>
      <c r="CR204" s="641">
        <f t="shared" si="114"/>
        <v>999999999</v>
      </c>
      <c r="CS204" s="641">
        <f t="shared" si="114"/>
        <v>999999999</v>
      </c>
      <c r="CT204" s="641">
        <f t="shared" si="114"/>
        <v>999999999</v>
      </c>
      <c r="CU204" s="641">
        <f t="shared" si="114"/>
        <v>999999999</v>
      </c>
      <c r="CV204" s="641">
        <f t="shared" si="114"/>
        <v>999999999</v>
      </c>
      <c r="CW204" s="641">
        <f t="shared" si="114"/>
        <v>999999999</v>
      </c>
      <c r="CX204" s="641">
        <f t="shared" si="114"/>
        <v>999999999</v>
      </c>
      <c r="CY204" s="641">
        <f t="shared" si="115"/>
        <v>999999999</v>
      </c>
      <c r="CZ204" s="641">
        <f t="shared" si="115"/>
        <v>999999999</v>
      </c>
      <c r="DA204" s="641">
        <f t="shared" si="115"/>
        <v>999999999</v>
      </c>
      <c r="DB204" s="641">
        <f t="shared" si="115"/>
        <v>999999999</v>
      </c>
      <c r="DC204" s="641">
        <f t="shared" si="115"/>
        <v>999999999</v>
      </c>
      <c r="DD204" s="641">
        <f t="shared" si="115"/>
        <v>999999999</v>
      </c>
      <c r="DE204" s="641">
        <f t="shared" si="115"/>
        <v>999999999</v>
      </c>
      <c r="DF204" s="641">
        <f t="shared" si="115"/>
        <v>999999999</v>
      </c>
      <c r="DG204" s="641">
        <f t="shared" si="115"/>
        <v>999999999</v>
      </c>
      <c r="DH204" s="641">
        <f t="shared" si="115"/>
        <v>999999999</v>
      </c>
      <c r="DI204" s="641">
        <f t="shared" si="116"/>
        <v>999999999</v>
      </c>
      <c r="DJ204" s="641">
        <f t="shared" si="116"/>
        <v>999999999</v>
      </c>
      <c r="DK204" s="641">
        <f t="shared" si="116"/>
        <v>999999999</v>
      </c>
      <c r="DL204" s="641">
        <f t="shared" si="116"/>
        <v>999999999</v>
      </c>
      <c r="DM204" s="641">
        <f t="shared" si="116"/>
        <v>999999999</v>
      </c>
      <c r="DN204" s="641">
        <f t="shared" si="116"/>
        <v>999999999</v>
      </c>
      <c r="DO204" s="641">
        <f t="shared" si="116"/>
        <v>999999999</v>
      </c>
      <c r="DP204" s="641">
        <f t="shared" si="116"/>
        <v>999999999</v>
      </c>
      <c r="DQ204" s="641">
        <f t="shared" si="116"/>
        <v>999999999</v>
      </c>
      <c r="DR204" s="641">
        <f t="shared" si="116"/>
        <v>999999999</v>
      </c>
      <c r="DS204" s="641">
        <f t="shared" si="117"/>
        <v>999999999</v>
      </c>
      <c r="DT204" s="641">
        <f t="shared" si="117"/>
        <v>999999999</v>
      </c>
      <c r="DU204" s="641">
        <f t="shared" si="117"/>
        <v>999999999</v>
      </c>
      <c r="DV204" s="641">
        <f t="shared" si="117"/>
        <v>999999999</v>
      </c>
      <c r="DW204" s="641">
        <f t="shared" si="117"/>
        <v>999999999</v>
      </c>
      <c r="DX204" s="641">
        <f t="shared" si="117"/>
        <v>999999999</v>
      </c>
      <c r="DY204" s="641">
        <f t="shared" si="117"/>
        <v>999999999</v>
      </c>
      <c r="DZ204" s="641">
        <f t="shared" si="117"/>
        <v>999999999</v>
      </c>
      <c r="EA204" s="641">
        <f t="shared" si="117"/>
        <v>999999999</v>
      </c>
      <c r="EB204" s="641">
        <f t="shared" si="117"/>
        <v>999999999</v>
      </c>
      <c r="EC204" s="641">
        <f t="shared" si="117"/>
        <v>999999999</v>
      </c>
    </row>
    <row r="205" spans="28:133" ht="15.5">
      <c r="AB205" s="5">
        <f t="shared" si="86"/>
        <v>2</v>
      </c>
      <c r="AC205" s="128">
        <v>62</v>
      </c>
      <c r="AD205" s="129">
        <f t="shared" si="107"/>
        <v>8066.506604000002</v>
      </c>
      <c r="AF205" s="128">
        <v>62</v>
      </c>
      <c r="AG205" s="641">
        <f t="shared" si="108"/>
        <v>489661.50660399999</v>
      </c>
      <c r="AH205" s="641">
        <f t="shared" si="108"/>
        <v>426709.50660399999</v>
      </c>
      <c r="AI205" s="641">
        <f t="shared" si="108"/>
        <v>363757.50660399999</v>
      </c>
      <c r="AJ205" s="641">
        <f t="shared" si="108"/>
        <v>300805.50660399999</v>
      </c>
      <c r="AK205" s="641">
        <f t="shared" si="108"/>
        <v>237853.50660399999</v>
      </c>
      <c r="AL205" s="641">
        <f t="shared" si="108"/>
        <v>174901.50660399999</v>
      </c>
      <c r="AM205" s="641">
        <f t="shared" si="108"/>
        <v>112986.50660399999</v>
      </c>
      <c r="AN205" s="641">
        <f t="shared" si="108"/>
        <v>60526.506604000002</v>
      </c>
      <c r="AO205" s="641">
        <f t="shared" si="108"/>
        <v>8066.506604000002</v>
      </c>
      <c r="AP205" s="641">
        <f t="shared" si="108"/>
        <v>999999999</v>
      </c>
      <c r="AQ205" s="641">
        <f t="shared" si="109"/>
        <v>999999999</v>
      </c>
      <c r="AR205" s="641">
        <f t="shared" si="109"/>
        <v>999999999</v>
      </c>
      <c r="AS205" s="641">
        <f t="shared" si="109"/>
        <v>999999999</v>
      </c>
      <c r="AT205" s="641">
        <f t="shared" si="109"/>
        <v>999999999</v>
      </c>
      <c r="AU205" s="641">
        <f t="shared" si="109"/>
        <v>999999999</v>
      </c>
      <c r="AV205" s="641">
        <f t="shared" si="109"/>
        <v>999999999</v>
      </c>
      <c r="AW205" s="641">
        <f t="shared" si="109"/>
        <v>999999999</v>
      </c>
      <c r="AX205" s="641">
        <f t="shared" si="109"/>
        <v>999999999</v>
      </c>
      <c r="AY205" s="641">
        <f t="shared" si="109"/>
        <v>999999999</v>
      </c>
      <c r="AZ205" s="641">
        <f t="shared" si="109"/>
        <v>999999999</v>
      </c>
      <c r="BA205" s="641">
        <f t="shared" si="110"/>
        <v>999999999</v>
      </c>
      <c r="BB205" s="641">
        <f t="shared" si="110"/>
        <v>999999999</v>
      </c>
      <c r="BC205" s="641">
        <f t="shared" si="110"/>
        <v>999999999</v>
      </c>
      <c r="BD205" s="641">
        <f t="shared" si="110"/>
        <v>999999999</v>
      </c>
      <c r="BE205" s="641">
        <f t="shared" si="110"/>
        <v>999999999</v>
      </c>
      <c r="BF205" s="641">
        <f t="shared" si="110"/>
        <v>999999999</v>
      </c>
      <c r="BG205" s="641">
        <f t="shared" si="110"/>
        <v>999999999</v>
      </c>
      <c r="BH205" s="641">
        <f t="shared" si="110"/>
        <v>999999999</v>
      </c>
      <c r="BI205" s="641">
        <f t="shared" si="110"/>
        <v>999999999</v>
      </c>
      <c r="BJ205" s="641">
        <f t="shared" si="110"/>
        <v>999999999</v>
      </c>
      <c r="BK205" s="641">
        <f t="shared" si="111"/>
        <v>999999999</v>
      </c>
      <c r="BL205" s="641">
        <f t="shared" si="111"/>
        <v>999999999</v>
      </c>
      <c r="BM205" s="641">
        <f t="shared" si="111"/>
        <v>999999999</v>
      </c>
      <c r="BN205" s="641">
        <f t="shared" si="111"/>
        <v>999999999</v>
      </c>
      <c r="BO205" s="641">
        <f t="shared" si="111"/>
        <v>999999999</v>
      </c>
      <c r="BP205" s="641">
        <f t="shared" si="111"/>
        <v>999999999</v>
      </c>
      <c r="BQ205" s="641">
        <f t="shared" si="111"/>
        <v>999999999</v>
      </c>
      <c r="BR205" s="641">
        <f t="shared" si="111"/>
        <v>999999999</v>
      </c>
      <c r="BS205" s="641">
        <f t="shared" si="111"/>
        <v>999999999</v>
      </c>
      <c r="BT205" s="641">
        <f t="shared" si="111"/>
        <v>999999999</v>
      </c>
      <c r="BU205" s="641">
        <f t="shared" si="112"/>
        <v>999999999</v>
      </c>
      <c r="BV205" s="641">
        <f t="shared" si="112"/>
        <v>999999999</v>
      </c>
      <c r="BW205" s="641">
        <f t="shared" si="112"/>
        <v>999999999</v>
      </c>
      <c r="BX205" s="641">
        <f t="shared" si="112"/>
        <v>999999999</v>
      </c>
      <c r="BY205" s="641">
        <f t="shared" si="112"/>
        <v>999999999</v>
      </c>
      <c r="BZ205" s="641">
        <f t="shared" si="112"/>
        <v>999999999</v>
      </c>
      <c r="CA205" s="641">
        <f t="shared" si="112"/>
        <v>999999999</v>
      </c>
      <c r="CB205" s="641">
        <f t="shared" si="112"/>
        <v>999999999</v>
      </c>
      <c r="CC205" s="641">
        <f t="shared" si="112"/>
        <v>999999999</v>
      </c>
      <c r="CD205" s="641">
        <f t="shared" si="112"/>
        <v>999999999</v>
      </c>
      <c r="CE205" s="641">
        <f t="shared" si="113"/>
        <v>999999999</v>
      </c>
      <c r="CF205" s="641">
        <f t="shared" si="113"/>
        <v>999999999</v>
      </c>
      <c r="CG205" s="641">
        <f t="shared" si="113"/>
        <v>999999999</v>
      </c>
      <c r="CH205" s="641">
        <f t="shared" si="113"/>
        <v>999999999</v>
      </c>
      <c r="CI205" s="641">
        <f t="shared" si="113"/>
        <v>999999999</v>
      </c>
      <c r="CJ205" s="641">
        <f t="shared" si="113"/>
        <v>999999999</v>
      </c>
      <c r="CK205" s="641">
        <f t="shared" si="113"/>
        <v>999999999</v>
      </c>
      <c r="CL205" s="641">
        <f t="shared" si="113"/>
        <v>999999999</v>
      </c>
      <c r="CM205" s="641">
        <f t="shared" si="113"/>
        <v>999999999</v>
      </c>
      <c r="CN205" s="641">
        <f t="shared" si="113"/>
        <v>999999999</v>
      </c>
      <c r="CO205" s="641">
        <f t="shared" si="114"/>
        <v>999999999</v>
      </c>
      <c r="CP205" s="641">
        <f t="shared" si="114"/>
        <v>999999999</v>
      </c>
      <c r="CQ205" s="641">
        <f t="shared" si="114"/>
        <v>999999999</v>
      </c>
      <c r="CR205" s="641">
        <f t="shared" si="114"/>
        <v>999999999</v>
      </c>
      <c r="CS205" s="641">
        <f t="shared" si="114"/>
        <v>999999999</v>
      </c>
      <c r="CT205" s="641">
        <f t="shared" si="114"/>
        <v>999999999</v>
      </c>
      <c r="CU205" s="641">
        <f t="shared" si="114"/>
        <v>999999999</v>
      </c>
      <c r="CV205" s="641">
        <f t="shared" si="114"/>
        <v>999999999</v>
      </c>
      <c r="CW205" s="641">
        <f t="shared" si="114"/>
        <v>999999999</v>
      </c>
      <c r="CX205" s="641">
        <f t="shared" si="114"/>
        <v>999999999</v>
      </c>
      <c r="CY205" s="641">
        <f t="shared" si="115"/>
        <v>999999999</v>
      </c>
      <c r="CZ205" s="641">
        <f t="shared" si="115"/>
        <v>999999999</v>
      </c>
      <c r="DA205" s="641">
        <f t="shared" si="115"/>
        <v>999999999</v>
      </c>
      <c r="DB205" s="641">
        <f t="shared" si="115"/>
        <v>999999999</v>
      </c>
      <c r="DC205" s="641">
        <f t="shared" si="115"/>
        <v>999999999</v>
      </c>
      <c r="DD205" s="641">
        <f t="shared" si="115"/>
        <v>999999999</v>
      </c>
      <c r="DE205" s="641">
        <f t="shared" si="115"/>
        <v>999999999</v>
      </c>
      <c r="DF205" s="641">
        <f t="shared" si="115"/>
        <v>999999999</v>
      </c>
      <c r="DG205" s="641">
        <f t="shared" si="115"/>
        <v>999999999</v>
      </c>
      <c r="DH205" s="641">
        <f t="shared" si="115"/>
        <v>999999999</v>
      </c>
      <c r="DI205" s="641">
        <f t="shared" si="116"/>
        <v>999999999</v>
      </c>
      <c r="DJ205" s="641">
        <f t="shared" si="116"/>
        <v>999999999</v>
      </c>
      <c r="DK205" s="641">
        <f t="shared" si="116"/>
        <v>999999999</v>
      </c>
      <c r="DL205" s="641">
        <f t="shared" si="116"/>
        <v>999999999</v>
      </c>
      <c r="DM205" s="641">
        <f t="shared" si="116"/>
        <v>999999999</v>
      </c>
      <c r="DN205" s="641">
        <f t="shared" si="116"/>
        <v>999999999</v>
      </c>
      <c r="DO205" s="641">
        <f t="shared" si="116"/>
        <v>999999999</v>
      </c>
      <c r="DP205" s="641">
        <f t="shared" si="116"/>
        <v>999999999</v>
      </c>
      <c r="DQ205" s="641">
        <f t="shared" si="116"/>
        <v>999999999</v>
      </c>
      <c r="DR205" s="641">
        <f t="shared" si="116"/>
        <v>999999999</v>
      </c>
      <c r="DS205" s="641">
        <f t="shared" si="117"/>
        <v>999999999</v>
      </c>
      <c r="DT205" s="641">
        <f t="shared" si="117"/>
        <v>999999999</v>
      </c>
      <c r="DU205" s="641">
        <f t="shared" si="117"/>
        <v>999999999</v>
      </c>
      <c r="DV205" s="641">
        <f t="shared" si="117"/>
        <v>999999999</v>
      </c>
      <c r="DW205" s="641">
        <f t="shared" si="117"/>
        <v>999999999</v>
      </c>
      <c r="DX205" s="641">
        <f t="shared" si="117"/>
        <v>999999999</v>
      </c>
      <c r="DY205" s="641">
        <f t="shared" si="117"/>
        <v>999999999</v>
      </c>
      <c r="DZ205" s="641">
        <f t="shared" si="117"/>
        <v>999999999</v>
      </c>
      <c r="EA205" s="641">
        <f t="shared" si="117"/>
        <v>999999999</v>
      </c>
      <c r="EB205" s="641">
        <f t="shared" si="117"/>
        <v>999999999</v>
      </c>
      <c r="EC205" s="641">
        <f t="shared" si="117"/>
        <v>999999999</v>
      </c>
    </row>
    <row r="206" spans="28:133" ht="15.5">
      <c r="AB206" s="5">
        <f t="shared" si="86"/>
        <v>2</v>
      </c>
      <c r="AC206" s="128">
        <v>63</v>
      </c>
      <c r="AD206" s="129">
        <f t="shared" si="107"/>
        <v>8066.506604000002</v>
      </c>
      <c r="AF206" s="128">
        <v>63</v>
      </c>
      <c r="AG206" s="641">
        <f t="shared" si="108"/>
        <v>489661.50660399999</v>
      </c>
      <c r="AH206" s="641">
        <f t="shared" si="108"/>
        <v>426709.50660399999</v>
      </c>
      <c r="AI206" s="641">
        <f t="shared" si="108"/>
        <v>363757.50660399999</v>
      </c>
      <c r="AJ206" s="641">
        <f t="shared" si="108"/>
        <v>300805.50660399999</v>
      </c>
      <c r="AK206" s="641">
        <f t="shared" si="108"/>
        <v>237853.50660399999</v>
      </c>
      <c r="AL206" s="641">
        <f t="shared" si="108"/>
        <v>174901.50660399999</v>
      </c>
      <c r="AM206" s="641">
        <f t="shared" si="108"/>
        <v>112986.50660399999</v>
      </c>
      <c r="AN206" s="641">
        <f t="shared" si="108"/>
        <v>60526.506604000002</v>
      </c>
      <c r="AO206" s="641">
        <f t="shared" si="108"/>
        <v>8066.506604000002</v>
      </c>
      <c r="AP206" s="641">
        <f t="shared" si="108"/>
        <v>999999999</v>
      </c>
      <c r="AQ206" s="641">
        <f t="shared" si="109"/>
        <v>999999999</v>
      </c>
      <c r="AR206" s="641">
        <f t="shared" si="109"/>
        <v>999999999</v>
      </c>
      <c r="AS206" s="641">
        <f t="shared" si="109"/>
        <v>999999999</v>
      </c>
      <c r="AT206" s="641">
        <f t="shared" si="109"/>
        <v>999999999</v>
      </c>
      <c r="AU206" s="641">
        <f t="shared" si="109"/>
        <v>999999999</v>
      </c>
      <c r="AV206" s="641">
        <f t="shared" si="109"/>
        <v>999999999</v>
      </c>
      <c r="AW206" s="641">
        <f t="shared" si="109"/>
        <v>999999999</v>
      </c>
      <c r="AX206" s="641">
        <f t="shared" si="109"/>
        <v>999999999</v>
      </c>
      <c r="AY206" s="641">
        <f t="shared" si="109"/>
        <v>999999999</v>
      </c>
      <c r="AZ206" s="641">
        <f t="shared" si="109"/>
        <v>999999999</v>
      </c>
      <c r="BA206" s="641">
        <f t="shared" si="110"/>
        <v>999999999</v>
      </c>
      <c r="BB206" s="641">
        <f t="shared" si="110"/>
        <v>999999999</v>
      </c>
      <c r="BC206" s="641">
        <f t="shared" si="110"/>
        <v>999999999</v>
      </c>
      <c r="BD206" s="641">
        <f t="shared" si="110"/>
        <v>999999999</v>
      </c>
      <c r="BE206" s="641">
        <f t="shared" si="110"/>
        <v>999999999</v>
      </c>
      <c r="BF206" s="641">
        <f t="shared" si="110"/>
        <v>999999999</v>
      </c>
      <c r="BG206" s="641">
        <f t="shared" si="110"/>
        <v>999999999</v>
      </c>
      <c r="BH206" s="641">
        <f t="shared" si="110"/>
        <v>999999999</v>
      </c>
      <c r="BI206" s="641">
        <f t="shared" si="110"/>
        <v>999999999</v>
      </c>
      <c r="BJ206" s="641">
        <f t="shared" si="110"/>
        <v>999999999</v>
      </c>
      <c r="BK206" s="641">
        <f t="shared" si="111"/>
        <v>999999999</v>
      </c>
      <c r="BL206" s="641">
        <f t="shared" si="111"/>
        <v>999999999</v>
      </c>
      <c r="BM206" s="641">
        <f t="shared" si="111"/>
        <v>999999999</v>
      </c>
      <c r="BN206" s="641">
        <f t="shared" si="111"/>
        <v>999999999</v>
      </c>
      <c r="BO206" s="641">
        <f t="shared" si="111"/>
        <v>999999999</v>
      </c>
      <c r="BP206" s="641">
        <f t="shared" si="111"/>
        <v>999999999</v>
      </c>
      <c r="BQ206" s="641">
        <f t="shared" si="111"/>
        <v>999999999</v>
      </c>
      <c r="BR206" s="641">
        <f t="shared" si="111"/>
        <v>999999999</v>
      </c>
      <c r="BS206" s="641">
        <f t="shared" si="111"/>
        <v>999999999</v>
      </c>
      <c r="BT206" s="641">
        <f t="shared" si="111"/>
        <v>999999999</v>
      </c>
      <c r="BU206" s="641">
        <f t="shared" si="112"/>
        <v>999999999</v>
      </c>
      <c r="BV206" s="641">
        <f t="shared" si="112"/>
        <v>999999999</v>
      </c>
      <c r="BW206" s="641">
        <f t="shared" si="112"/>
        <v>999999999</v>
      </c>
      <c r="BX206" s="641">
        <f t="shared" si="112"/>
        <v>999999999</v>
      </c>
      <c r="BY206" s="641">
        <f t="shared" si="112"/>
        <v>999999999</v>
      </c>
      <c r="BZ206" s="641">
        <f t="shared" si="112"/>
        <v>999999999</v>
      </c>
      <c r="CA206" s="641">
        <f t="shared" si="112"/>
        <v>999999999</v>
      </c>
      <c r="CB206" s="641">
        <f t="shared" si="112"/>
        <v>999999999</v>
      </c>
      <c r="CC206" s="641">
        <f t="shared" si="112"/>
        <v>999999999</v>
      </c>
      <c r="CD206" s="641">
        <f t="shared" si="112"/>
        <v>999999999</v>
      </c>
      <c r="CE206" s="641">
        <f t="shared" si="113"/>
        <v>999999999</v>
      </c>
      <c r="CF206" s="641">
        <f t="shared" si="113"/>
        <v>999999999</v>
      </c>
      <c r="CG206" s="641">
        <f t="shared" si="113"/>
        <v>999999999</v>
      </c>
      <c r="CH206" s="641">
        <f t="shared" si="113"/>
        <v>999999999</v>
      </c>
      <c r="CI206" s="641">
        <f t="shared" si="113"/>
        <v>999999999</v>
      </c>
      <c r="CJ206" s="641">
        <f t="shared" si="113"/>
        <v>999999999</v>
      </c>
      <c r="CK206" s="641">
        <f t="shared" si="113"/>
        <v>999999999</v>
      </c>
      <c r="CL206" s="641">
        <f t="shared" si="113"/>
        <v>999999999</v>
      </c>
      <c r="CM206" s="641">
        <f t="shared" si="113"/>
        <v>999999999</v>
      </c>
      <c r="CN206" s="641">
        <f t="shared" si="113"/>
        <v>999999999</v>
      </c>
      <c r="CO206" s="641">
        <f t="shared" si="114"/>
        <v>999999999</v>
      </c>
      <c r="CP206" s="641">
        <f t="shared" si="114"/>
        <v>999999999</v>
      </c>
      <c r="CQ206" s="641">
        <f t="shared" si="114"/>
        <v>999999999</v>
      </c>
      <c r="CR206" s="641">
        <f t="shared" si="114"/>
        <v>999999999</v>
      </c>
      <c r="CS206" s="641">
        <f t="shared" si="114"/>
        <v>999999999</v>
      </c>
      <c r="CT206" s="641">
        <f t="shared" si="114"/>
        <v>999999999</v>
      </c>
      <c r="CU206" s="641">
        <f t="shared" si="114"/>
        <v>999999999</v>
      </c>
      <c r="CV206" s="641">
        <f t="shared" si="114"/>
        <v>999999999</v>
      </c>
      <c r="CW206" s="641">
        <f t="shared" si="114"/>
        <v>999999999</v>
      </c>
      <c r="CX206" s="641">
        <f t="shared" si="114"/>
        <v>999999999</v>
      </c>
      <c r="CY206" s="641">
        <f t="shared" si="115"/>
        <v>999999999</v>
      </c>
      <c r="CZ206" s="641">
        <f t="shared" si="115"/>
        <v>999999999</v>
      </c>
      <c r="DA206" s="641">
        <f t="shared" si="115"/>
        <v>999999999</v>
      </c>
      <c r="DB206" s="641">
        <f t="shared" si="115"/>
        <v>999999999</v>
      </c>
      <c r="DC206" s="641">
        <f t="shared" si="115"/>
        <v>999999999</v>
      </c>
      <c r="DD206" s="641">
        <f t="shared" si="115"/>
        <v>999999999</v>
      </c>
      <c r="DE206" s="641">
        <f t="shared" si="115"/>
        <v>999999999</v>
      </c>
      <c r="DF206" s="641">
        <f t="shared" si="115"/>
        <v>999999999</v>
      </c>
      <c r="DG206" s="641">
        <f t="shared" si="115"/>
        <v>999999999</v>
      </c>
      <c r="DH206" s="641">
        <f t="shared" si="115"/>
        <v>999999999</v>
      </c>
      <c r="DI206" s="641">
        <f t="shared" si="116"/>
        <v>999999999</v>
      </c>
      <c r="DJ206" s="641">
        <f t="shared" si="116"/>
        <v>999999999</v>
      </c>
      <c r="DK206" s="641">
        <f t="shared" si="116"/>
        <v>999999999</v>
      </c>
      <c r="DL206" s="641">
        <f t="shared" si="116"/>
        <v>999999999</v>
      </c>
      <c r="DM206" s="641">
        <f t="shared" si="116"/>
        <v>999999999</v>
      </c>
      <c r="DN206" s="641">
        <f t="shared" si="116"/>
        <v>999999999</v>
      </c>
      <c r="DO206" s="641">
        <f t="shared" si="116"/>
        <v>999999999</v>
      </c>
      <c r="DP206" s="641">
        <f t="shared" si="116"/>
        <v>999999999</v>
      </c>
      <c r="DQ206" s="641">
        <f t="shared" si="116"/>
        <v>999999999</v>
      </c>
      <c r="DR206" s="641">
        <f t="shared" si="116"/>
        <v>999999999</v>
      </c>
      <c r="DS206" s="641">
        <f t="shared" si="117"/>
        <v>999999999</v>
      </c>
      <c r="DT206" s="641">
        <f t="shared" si="117"/>
        <v>999999999</v>
      </c>
      <c r="DU206" s="641">
        <f t="shared" si="117"/>
        <v>999999999</v>
      </c>
      <c r="DV206" s="641">
        <f t="shared" si="117"/>
        <v>999999999</v>
      </c>
      <c r="DW206" s="641">
        <f t="shared" si="117"/>
        <v>999999999</v>
      </c>
      <c r="DX206" s="641">
        <f t="shared" si="117"/>
        <v>999999999</v>
      </c>
      <c r="DY206" s="641">
        <f t="shared" si="117"/>
        <v>999999999</v>
      </c>
      <c r="DZ206" s="641">
        <f t="shared" si="117"/>
        <v>999999999</v>
      </c>
      <c r="EA206" s="641">
        <f t="shared" si="117"/>
        <v>999999999</v>
      </c>
      <c r="EB206" s="641">
        <f t="shared" si="117"/>
        <v>999999999</v>
      </c>
      <c r="EC206" s="641">
        <f t="shared" si="117"/>
        <v>999999999</v>
      </c>
    </row>
    <row r="207" spans="28:133" ht="15.5">
      <c r="AB207" s="5">
        <f t="shared" ref="AB207:AB243" si="118">IF(OR(AB206=1,AB206=2),2,IF(AD207=AD$142,1,0))</f>
        <v>2</v>
      </c>
      <c r="AC207" s="128">
        <v>64</v>
      </c>
      <c r="AD207" s="129">
        <f t="shared" si="107"/>
        <v>8066.506604000002</v>
      </c>
      <c r="AF207" s="128">
        <v>64</v>
      </c>
      <c r="AG207" s="641">
        <f t="shared" si="108"/>
        <v>489661.50660399999</v>
      </c>
      <c r="AH207" s="641">
        <f t="shared" si="108"/>
        <v>426709.50660399999</v>
      </c>
      <c r="AI207" s="641">
        <f t="shared" si="108"/>
        <v>363757.50660399999</v>
      </c>
      <c r="AJ207" s="641">
        <f t="shared" si="108"/>
        <v>300805.50660399999</v>
      </c>
      <c r="AK207" s="641">
        <f t="shared" si="108"/>
        <v>237853.50660399999</v>
      </c>
      <c r="AL207" s="641">
        <f t="shared" si="108"/>
        <v>174901.50660399999</v>
      </c>
      <c r="AM207" s="641">
        <f t="shared" si="108"/>
        <v>112986.50660399999</v>
      </c>
      <c r="AN207" s="641">
        <f t="shared" si="108"/>
        <v>60526.506604000002</v>
      </c>
      <c r="AO207" s="641">
        <f t="shared" si="108"/>
        <v>8066.506604000002</v>
      </c>
      <c r="AP207" s="641">
        <f t="shared" si="108"/>
        <v>999999999</v>
      </c>
      <c r="AQ207" s="641">
        <f t="shared" si="109"/>
        <v>999999999</v>
      </c>
      <c r="AR207" s="641">
        <f t="shared" si="109"/>
        <v>999999999</v>
      </c>
      <c r="AS207" s="641">
        <f t="shared" si="109"/>
        <v>999999999</v>
      </c>
      <c r="AT207" s="641">
        <f t="shared" si="109"/>
        <v>999999999</v>
      </c>
      <c r="AU207" s="641">
        <f t="shared" si="109"/>
        <v>999999999</v>
      </c>
      <c r="AV207" s="641">
        <f t="shared" si="109"/>
        <v>999999999</v>
      </c>
      <c r="AW207" s="641">
        <f t="shared" si="109"/>
        <v>999999999</v>
      </c>
      <c r="AX207" s="641">
        <f t="shared" si="109"/>
        <v>999999999</v>
      </c>
      <c r="AY207" s="641">
        <f t="shared" si="109"/>
        <v>999999999</v>
      </c>
      <c r="AZ207" s="641">
        <f t="shared" si="109"/>
        <v>999999999</v>
      </c>
      <c r="BA207" s="641">
        <f t="shared" si="110"/>
        <v>999999999</v>
      </c>
      <c r="BB207" s="641">
        <f t="shared" si="110"/>
        <v>999999999</v>
      </c>
      <c r="BC207" s="641">
        <f t="shared" si="110"/>
        <v>999999999</v>
      </c>
      <c r="BD207" s="641">
        <f t="shared" si="110"/>
        <v>999999999</v>
      </c>
      <c r="BE207" s="641">
        <f t="shared" si="110"/>
        <v>999999999</v>
      </c>
      <c r="BF207" s="641">
        <f t="shared" si="110"/>
        <v>999999999</v>
      </c>
      <c r="BG207" s="641">
        <f t="shared" si="110"/>
        <v>999999999</v>
      </c>
      <c r="BH207" s="641">
        <f t="shared" si="110"/>
        <v>999999999</v>
      </c>
      <c r="BI207" s="641">
        <f t="shared" si="110"/>
        <v>999999999</v>
      </c>
      <c r="BJ207" s="641">
        <f t="shared" si="110"/>
        <v>999999999</v>
      </c>
      <c r="BK207" s="641">
        <f t="shared" si="111"/>
        <v>999999999</v>
      </c>
      <c r="BL207" s="641">
        <f t="shared" si="111"/>
        <v>999999999</v>
      </c>
      <c r="BM207" s="641">
        <f t="shared" si="111"/>
        <v>999999999</v>
      </c>
      <c r="BN207" s="641">
        <f t="shared" si="111"/>
        <v>999999999</v>
      </c>
      <c r="BO207" s="641">
        <f t="shared" si="111"/>
        <v>999999999</v>
      </c>
      <c r="BP207" s="641">
        <f t="shared" si="111"/>
        <v>999999999</v>
      </c>
      <c r="BQ207" s="641">
        <f t="shared" si="111"/>
        <v>999999999</v>
      </c>
      <c r="BR207" s="641">
        <f t="shared" si="111"/>
        <v>999999999</v>
      </c>
      <c r="BS207" s="641">
        <f t="shared" si="111"/>
        <v>999999999</v>
      </c>
      <c r="BT207" s="641">
        <f t="shared" si="111"/>
        <v>999999999</v>
      </c>
      <c r="BU207" s="641">
        <f t="shared" si="112"/>
        <v>999999999</v>
      </c>
      <c r="BV207" s="641">
        <f t="shared" si="112"/>
        <v>999999999</v>
      </c>
      <c r="BW207" s="641">
        <f t="shared" si="112"/>
        <v>999999999</v>
      </c>
      <c r="BX207" s="641">
        <f t="shared" si="112"/>
        <v>999999999</v>
      </c>
      <c r="BY207" s="641">
        <f t="shared" si="112"/>
        <v>999999999</v>
      </c>
      <c r="BZ207" s="641">
        <f t="shared" si="112"/>
        <v>999999999</v>
      </c>
      <c r="CA207" s="641">
        <f t="shared" si="112"/>
        <v>999999999</v>
      </c>
      <c r="CB207" s="641">
        <f t="shared" si="112"/>
        <v>999999999</v>
      </c>
      <c r="CC207" s="641">
        <f t="shared" si="112"/>
        <v>999999999</v>
      </c>
      <c r="CD207" s="641">
        <f t="shared" si="112"/>
        <v>999999999</v>
      </c>
      <c r="CE207" s="641">
        <f t="shared" si="113"/>
        <v>999999999</v>
      </c>
      <c r="CF207" s="641">
        <f t="shared" si="113"/>
        <v>999999999</v>
      </c>
      <c r="CG207" s="641">
        <f t="shared" si="113"/>
        <v>999999999</v>
      </c>
      <c r="CH207" s="641">
        <f t="shared" si="113"/>
        <v>999999999</v>
      </c>
      <c r="CI207" s="641">
        <f t="shared" si="113"/>
        <v>999999999</v>
      </c>
      <c r="CJ207" s="641">
        <f t="shared" si="113"/>
        <v>999999999</v>
      </c>
      <c r="CK207" s="641">
        <f t="shared" si="113"/>
        <v>999999999</v>
      </c>
      <c r="CL207" s="641">
        <f t="shared" si="113"/>
        <v>999999999</v>
      </c>
      <c r="CM207" s="641">
        <f t="shared" si="113"/>
        <v>999999999</v>
      </c>
      <c r="CN207" s="641">
        <f t="shared" si="113"/>
        <v>999999999</v>
      </c>
      <c r="CO207" s="641">
        <f t="shared" si="114"/>
        <v>999999999</v>
      </c>
      <c r="CP207" s="641">
        <f t="shared" si="114"/>
        <v>999999999</v>
      </c>
      <c r="CQ207" s="641">
        <f t="shared" si="114"/>
        <v>999999999</v>
      </c>
      <c r="CR207" s="641">
        <f t="shared" si="114"/>
        <v>999999999</v>
      </c>
      <c r="CS207" s="641">
        <f t="shared" si="114"/>
        <v>999999999</v>
      </c>
      <c r="CT207" s="641">
        <f t="shared" si="114"/>
        <v>999999999</v>
      </c>
      <c r="CU207" s="641">
        <f t="shared" si="114"/>
        <v>999999999</v>
      </c>
      <c r="CV207" s="641">
        <f t="shared" si="114"/>
        <v>999999999</v>
      </c>
      <c r="CW207" s="641">
        <f t="shared" si="114"/>
        <v>999999999</v>
      </c>
      <c r="CX207" s="641">
        <f t="shared" si="114"/>
        <v>999999999</v>
      </c>
      <c r="CY207" s="641">
        <f t="shared" si="115"/>
        <v>999999999</v>
      </c>
      <c r="CZ207" s="641">
        <f t="shared" si="115"/>
        <v>999999999</v>
      </c>
      <c r="DA207" s="641">
        <f t="shared" si="115"/>
        <v>999999999</v>
      </c>
      <c r="DB207" s="641">
        <f t="shared" si="115"/>
        <v>999999999</v>
      </c>
      <c r="DC207" s="641">
        <f t="shared" si="115"/>
        <v>999999999</v>
      </c>
      <c r="DD207" s="641">
        <f t="shared" si="115"/>
        <v>999999999</v>
      </c>
      <c r="DE207" s="641">
        <f t="shared" si="115"/>
        <v>999999999</v>
      </c>
      <c r="DF207" s="641">
        <f t="shared" si="115"/>
        <v>999999999</v>
      </c>
      <c r="DG207" s="641">
        <f t="shared" si="115"/>
        <v>999999999</v>
      </c>
      <c r="DH207" s="641">
        <f t="shared" si="115"/>
        <v>999999999</v>
      </c>
      <c r="DI207" s="641">
        <f t="shared" si="116"/>
        <v>999999999</v>
      </c>
      <c r="DJ207" s="641">
        <f t="shared" si="116"/>
        <v>999999999</v>
      </c>
      <c r="DK207" s="641">
        <f t="shared" si="116"/>
        <v>999999999</v>
      </c>
      <c r="DL207" s="641">
        <f t="shared" si="116"/>
        <v>999999999</v>
      </c>
      <c r="DM207" s="641">
        <f t="shared" si="116"/>
        <v>999999999</v>
      </c>
      <c r="DN207" s="641">
        <f t="shared" si="116"/>
        <v>999999999</v>
      </c>
      <c r="DO207" s="641">
        <f t="shared" si="116"/>
        <v>999999999</v>
      </c>
      <c r="DP207" s="641">
        <f t="shared" si="116"/>
        <v>999999999</v>
      </c>
      <c r="DQ207" s="641">
        <f t="shared" si="116"/>
        <v>999999999</v>
      </c>
      <c r="DR207" s="641">
        <f t="shared" si="116"/>
        <v>999999999</v>
      </c>
      <c r="DS207" s="641">
        <f t="shared" si="117"/>
        <v>999999999</v>
      </c>
      <c r="DT207" s="641">
        <f t="shared" si="117"/>
        <v>999999999</v>
      </c>
      <c r="DU207" s="641">
        <f t="shared" si="117"/>
        <v>999999999</v>
      </c>
      <c r="DV207" s="641">
        <f t="shared" si="117"/>
        <v>999999999</v>
      </c>
      <c r="DW207" s="641">
        <f t="shared" si="117"/>
        <v>999999999</v>
      </c>
      <c r="DX207" s="641">
        <f t="shared" si="117"/>
        <v>999999999</v>
      </c>
      <c r="DY207" s="641">
        <f t="shared" si="117"/>
        <v>999999999</v>
      </c>
      <c r="DZ207" s="641">
        <f t="shared" si="117"/>
        <v>999999999</v>
      </c>
      <c r="EA207" s="641">
        <f t="shared" si="117"/>
        <v>999999999</v>
      </c>
      <c r="EB207" s="641">
        <f t="shared" si="117"/>
        <v>999999999</v>
      </c>
      <c r="EC207" s="641">
        <f t="shared" si="117"/>
        <v>999999999</v>
      </c>
    </row>
    <row r="208" spans="28:133" ht="15.5">
      <c r="AB208" s="5">
        <f t="shared" si="118"/>
        <v>2</v>
      </c>
      <c r="AC208" s="128">
        <v>65</v>
      </c>
      <c r="AD208" s="129">
        <f t="shared" si="107"/>
        <v>8066.506604000002</v>
      </c>
      <c r="AF208" s="128">
        <v>65</v>
      </c>
      <c r="AG208" s="641">
        <f t="shared" si="108"/>
        <v>489661.50660399999</v>
      </c>
      <c r="AH208" s="641">
        <f t="shared" si="108"/>
        <v>426709.50660399999</v>
      </c>
      <c r="AI208" s="641">
        <f t="shared" si="108"/>
        <v>363757.50660399999</v>
      </c>
      <c r="AJ208" s="641">
        <f t="shared" si="108"/>
        <v>300805.50660399999</v>
      </c>
      <c r="AK208" s="641">
        <f t="shared" si="108"/>
        <v>237853.50660399999</v>
      </c>
      <c r="AL208" s="641">
        <f t="shared" si="108"/>
        <v>174901.50660399999</v>
      </c>
      <c r="AM208" s="641">
        <f t="shared" si="108"/>
        <v>112986.50660399999</v>
      </c>
      <c r="AN208" s="641">
        <f t="shared" si="108"/>
        <v>60526.506604000002</v>
      </c>
      <c r="AO208" s="641">
        <f t="shared" si="108"/>
        <v>8066.506604000002</v>
      </c>
      <c r="AP208" s="641">
        <f t="shared" si="108"/>
        <v>999999999</v>
      </c>
      <c r="AQ208" s="641">
        <f t="shared" si="109"/>
        <v>999999999</v>
      </c>
      <c r="AR208" s="641">
        <f t="shared" si="109"/>
        <v>999999999</v>
      </c>
      <c r="AS208" s="641">
        <f t="shared" si="109"/>
        <v>999999999</v>
      </c>
      <c r="AT208" s="641">
        <f t="shared" si="109"/>
        <v>999999999</v>
      </c>
      <c r="AU208" s="641">
        <f t="shared" si="109"/>
        <v>999999999</v>
      </c>
      <c r="AV208" s="641">
        <f t="shared" si="109"/>
        <v>999999999</v>
      </c>
      <c r="AW208" s="641">
        <f t="shared" si="109"/>
        <v>999999999</v>
      </c>
      <c r="AX208" s="641">
        <f t="shared" si="109"/>
        <v>999999999</v>
      </c>
      <c r="AY208" s="641">
        <f t="shared" si="109"/>
        <v>999999999</v>
      </c>
      <c r="AZ208" s="641">
        <f t="shared" si="109"/>
        <v>999999999</v>
      </c>
      <c r="BA208" s="641">
        <f t="shared" si="110"/>
        <v>999999999</v>
      </c>
      <c r="BB208" s="641">
        <f t="shared" si="110"/>
        <v>999999999</v>
      </c>
      <c r="BC208" s="641">
        <f t="shared" si="110"/>
        <v>999999999</v>
      </c>
      <c r="BD208" s="641">
        <f t="shared" si="110"/>
        <v>999999999</v>
      </c>
      <c r="BE208" s="641">
        <f t="shared" si="110"/>
        <v>999999999</v>
      </c>
      <c r="BF208" s="641">
        <f t="shared" si="110"/>
        <v>999999999</v>
      </c>
      <c r="BG208" s="641">
        <f t="shared" si="110"/>
        <v>999999999</v>
      </c>
      <c r="BH208" s="641">
        <f t="shared" si="110"/>
        <v>999999999</v>
      </c>
      <c r="BI208" s="641">
        <f t="shared" si="110"/>
        <v>999999999</v>
      </c>
      <c r="BJ208" s="641">
        <f t="shared" si="110"/>
        <v>999999999</v>
      </c>
      <c r="BK208" s="641">
        <f t="shared" si="111"/>
        <v>999999999</v>
      </c>
      <c r="BL208" s="641">
        <f t="shared" si="111"/>
        <v>999999999</v>
      </c>
      <c r="BM208" s="641">
        <f t="shared" si="111"/>
        <v>999999999</v>
      </c>
      <c r="BN208" s="641">
        <f t="shared" si="111"/>
        <v>999999999</v>
      </c>
      <c r="BO208" s="641">
        <f t="shared" si="111"/>
        <v>999999999</v>
      </c>
      <c r="BP208" s="641">
        <f t="shared" si="111"/>
        <v>999999999</v>
      </c>
      <c r="BQ208" s="641">
        <f t="shared" si="111"/>
        <v>999999999</v>
      </c>
      <c r="BR208" s="641">
        <f t="shared" si="111"/>
        <v>999999999</v>
      </c>
      <c r="BS208" s="641">
        <f t="shared" si="111"/>
        <v>999999999</v>
      </c>
      <c r="BT208" s="641">
        <f t="shared" si="111"/>
        <v>999999999</v>
      </c>
      <c r="BU208" s="641">
        <f t="shared" si="112"/>
        <v>999999999</v>
      </c>
      <c r="BV208" s="641">
        <f t="shared" si="112"/>
        <v>999999999</v>
      </c>
      <c r="BW208" s="641">
        <f t="shared" si="112"/>
        <v>999999999</v>
      </c>
      <c r="BX208" s="641">
        <f t="shared" si="112"/>
        <v>999999999</v>
      </c>
      <c r="BY208" s="641">
        <f t="shared" si="112"/>
        <v>999999999</v>
      </c>
      <c r="BZ208" s="641">
        <f t="shared" si="112"/>
        <v>999999999</v>
      </c>
      <c r="CA208" s="641">
        <f t="shared" si="112"/>
        <v>999999999</v>
      </c>
      <c r="CB208" s="641">
        <f t="shared" si="112"/>
        <v>999999999</v>
      </c>
      <c r="CC208" s="641">
        <f t="shared" si="112"/>
        <v>999999999</v>
      </c>
      <c r="CD208" s="641">
        <f t="shared" si="112"/>
        <v>999999999</v>
      </c>
      <c r="CE208" s="641">
        <f t="shared" si="113"/>
        <v>999999999</v>
      </c>
      <c r="CF208" s="641">
        <f t="shared" si="113"/>
        <v>999999999</v>
      </c>
      <c r="CG208" s="641">
        <f t="shared" si="113"/>
        <v>999999999</v>
      </c>
      <c r="CH208" s="641">
        <f t="shared" si="113"/>
        <v>999999999</v>
      </c>
      <c r="CI208" s="641">
        <f t="shared" si="113"/>
        <v>999999999</v>
      </c>
      <c r="CJ208" s="641">
        <f t="shared" si="113"/>
        <v>999999999</v>
      </c>
      <c r="CK208" s="641">
        <f t="shared" si="113"/>
        <v>999999999</v>
      </c>
      <c r="CL208" s="641">
        <f t="shared" si="113"/>
        <v>999999999</v>
      </c>
      <c r="CM208" s="641">
        <f t="shared" si="113"/>
        <v>999999999</v>
      </c>
      <c r="CN208" s="641">
        <f t="shared" si="113"/>
        <v>999999999</v>
      </c>
      <c r="CO208" s="641">
        <f t="shared" si="114"/>
        <v>999999999</v>
      </c>
      <c r="CP208" s="641">
        <f t="shared" si="114"/>
        <v>999999999</v>
      </c>
      <c r="CQ208" s="641">
        <f t="shared" si="114"/>
        <v>999999999</v>
      </c>
      <c r="CR208" s="641">
        <f t="shared" si="114"/>
        <v>999999999</v>
      </c>
      <c r="CS208" s="641">
        <f t="shared" si="114"/>
        <v>999999999</v>
      </c>
      <c r="CT208" s="641">
        <f t="shared" si="114"/>
        <v>999999999</v>
      </c>
      <c r="CU208" s="641">
        <f t="shared" si="114"/>
        <v>999999999</v>
      </c>
      <c r="CV208" s="641">
        <f t="shared" si="114"/>
        <v>999999999</v>
      </c>
      <c r="CW208" s="641">
        <f t="shared" si="114"/>
        <v>999999999</v>
      </c>
      <c r="CX208" s="641">
        <f t="shared" si="114"/>
        <v>999999999</v>
      </c>
      <c r="CY208" s="641">
        <f t="shared" si="115"/>
        <v>999999999</v>
      </c>
      <c r="CZ208" s="641">
        <f t="shared" si="115"/>
        <v>999999999</v>
      </c>
      <c r="DA208" s="641">
        <f t="shared" si="115"/>
        <v>999999999</v>
      </c>
      <c r="DB208" s="641">
        <f t="shared" si="115"/>
        <v>999999999</v>
      </c>
      <c r="DC208" s="641">
        <f t="shared" si="115"/>
        <v>999999999</v>
      </c>
      <c r="DD208" s="641">
        <f t="shared" si="115"/>
        <v>999999999</v>
      </c>
      <c r="DE208" s="641">
        <f t="shared" si="115"/>
        <v>999999999</v>
      </c>
      <c r="DF208" s="641">
        <f t="shared" si="115"/>
        <v>999999999</v>
      </c>
      <c r="DG208" s="641">
        <f t="shared" si="115"/>
        <v>999999999</v>
      </c>
      <c r="DH208" s="641">
        <f t="shared" si="115"/>
        <v>999999999</v>
      </c>
      <c r="DI208" s="641">
        <f t="shared" si="116"/>
        <v>999999999</v>
      </c>
      <c r="DJ208" s="641">
        <f t="shared" si="116"/>
        <v>999999999</v>
      </c>
      <c r="DK208" s="641">
        <f t="shared" si="116"/>
        <v>999999999</v>
      </c>
      <c r="DL208" s="641">
        <f t="shared" si="116"/>
        <v>999999999</v>
      </c>
      <c r="DM208" s="641">
        <f t="shared" si="116"/>
        <v>999999999</v>
      </c>
      <c r="DN208" s="641">
        <f t="shared" si="116"/>
        <v>999999999</v>
      </c>
      <c r="DO208" s="641">
        <f t="shared" si="116"/>
        <v>999999999</v>
      </c>
      <c r="DP208" s="641">
        <f t="shared" si="116"/>
        <v>999999999</v>
      </c>
      <c r="DQ208" s="641">
        <f t="shared" si="116"/>
        <v>999999999</v>
      </c>
      <c r="DR208" s="641">
        <f t="shared" si="116"/>
        <v>999999999</v>
      </c>
      <c r="DS208" s="641">
        <f t="shared" si="117"/>
        <v>999999999</v>
      </c>
      <c r="DT208" s="641">
        <f t="shared" si="117"/>
        <v>999999999</v>
      </c>
      <c r="DU208" s="641">
        <f t="shared" si="117"/>
        <v>999999999</v>
      </c>
      <c r="DV208" s="641">
        <f t="shared" si="117"/>
        <v>999999999</v>
      </c>
      <c r="DW208" s="641">
        <f t="shared" si="117"/>
        <v>999999999</v>
      </c>
      <c r="DX208" s="641">
        <f t="shared" si="117"/>
        <v>999999999</v>
      </c>
      <c r="DY208" s="641">
        <f t="shared" si="117"/>
        <v>999999999</v>
      </c>
      <c r="DZ208" s="641">
        <f t="shared" si="117"/>
        <v>999999999</v>
      </c>
      <c r="EA208" s="641">
        <f t="shared" si="117"/>
        <v>999999999</v>
      </c>
      <c r="EB208" s="641">
        <f t="shared" si="117"/>
        <v>999999999</v>
      </c>
      <c r="EC208" s="641">
        <f t="shared" si="117"/>
        <v>999999999</v>
      </c>
    </row>
    <row r="209" spans="28:133" ht="15.5">
      <c r="AB209" s="5">
        <f t="shared" si="118"/>
        <v>2</v>
      </c>
      <c r="AC209" s="128">
        <v>66</v>
      </c>
      <c r="AD209" s="129">
        <f t="shared" si="107"/>
        <v>8066.506604000002</v>
      </c>
      <c r="AF209" s="128">
        <v>66</v>
      </c>
      <c r="AG209" s="641">
        <f t="shared" si="108"/>
        <v>489661.50660399999</v>
      </c>
      <c r="AH209" s="641">
        <f t="shared" si="108"/>
        <v>426709.50660399999</v>
      </c>
      <c r="AI209" s="641">
        <f t="shared" si="108"/>
        <v>363757.50660399999</v>
      </c>
      <c r="AJ209" s="641">
        <f t="shared" si="108"/>
        <v>300805.50660399999</v>
      </c>
      <c r="AK209" s="641">
        <f t="shared" si="108"/>
        <v>237853.50660399999</v>
      </c>
      <c r="AL209" s="641">
        <f t="shared" si="108"/>
        <v>174901.50660399999</v>
      </c>
      <c r="AM209" s="641">
        <f t="shared" si="108"/>
        <v>112986.50660399999</v>
      </c>
      <c r="AN209" s="641">
        <f t="shared" si="108"/>
        <v>60526.506604000002</v>
      </c>
      <c r="AO209" s="641">
        <f t="shared" si="108"/>
        <v>8066.506604000002</v>
      </c>
      <c r="AP209" s="641">
        <f t="shared" si="108"/>
        <v>999999999</v>
      </c>
      <c r="AQ209" s="641">
        <f t="shared" si="109"/>
        <v>999999999</v>
      </c>
      <c r="AR209" s="641">
        <f t="shared" si="109"/>
        <v>999999999</v>
      </c>
      <c r="AS209" s="641">
        <f t="shared" si="109"/>
        <v>999999999</v>
      </c>
      <c r="AT209" s="641">
        <f t="shared" si="109"/>
        <v>999999999</v>
      </c>
      <c r="AU209" s="641">
        <f t="shared" si="109"/>
        <v>999999999</v>
      </c>
      <c r="AV209" s="641">
        <f t="shared" si="109"/>
        <v>999999999</v>
      </c>
      <c r="AW209" s="641">
        <f t="shared" si="109"/>
        <v>999999999</v>
      </c>
      <c r="AX209" s="641">
        <f t="shared" si="109"/>
        <v>999999999</v>
      </c>
      <c r="AY209" s="641">
        <f t="shared" si="109"/>
        <v>999999999</v>
      </c>
      <c r="AZ209" s="641">
        <f t="shared" si="109"/>
        <v>999999999</v>
      </c>
      <c r="BA209" s="641">
        <f t="shared" si="110"/>
        <v>999999999</v>
      </c>
      <c r="BB209" s="641">
        <f t="shared" si="110"/>
        <v>999999999</v>
      </c>
      <c r="BC209" s="641">
        <f t="shared" si="110"/>
        <v>999999999</v>
      </c>
      <c r="BD209" s="641">
        <f t="shared" si="110"/>
        <v>999999999</v>
      </c>
      <c r="BE209" s="641">
        <f t="shared" si="110"/>
        <v>999999999</v>
      </c>
      <c r="BF209" s="641">
        <f t="shared" si="110"/>
        <v>999999999</v>
      </c>
      <c r="BG209" s="641">
        <f t="shared" si="110"/>
        <v>999999999</v>
      </c>
      <c r="BH209" s="641">
        <f t="shared" si="110"/>
        <v>999999999</v>
      </c>
      <c r="BI209" s="641">
        <f t="shared" si="110"/>
        <v>999999999</v>
      </c>
      <c r="BJ209" s="641">
        <f t="shared" si="110"/>
        <v>999999999</v>
      </c>
      <c r="BK209" s="641">
        <f t="shared" si="111"/>
        <v>999999999</v>
      </c>
      <c r="BL209" s="641">
        <f t="shared" si="111"/>
        <v>999999999</v>
      </c>
      <c r="BM209" s="641">
        <f t="shared" si="111"/>
        <v>999999999</v>
      </c>
      <c r="BN209" s="641">
        <f t="shared" si="111"/>
        <v>999999999</v>
      </c>
      <c r="BO209" s="641">
        <f t="shared" si="111"/>
        <v>999999999</v>
      </c>
      <c r="BP209" s="641">
        <f t="shared" si="111"/>
        <v>999999999</v>
      </c>
      <c r="BQ209" s="641">
        <f t="shared" si="111"/>
        <v>999999999</v>
      </c>
      <c r="BR209" s="641">
        <f t="shared" si="111"/>
        <v>999999999</v>
      </c>
      <c r="BS209" s="641">
        <f t="shared" si="111"/>
        <v>999999999</v>
      </c>
      <c r="BT209" s="641">
        <f t="shared" si="111"/>
        <v>999999999</v>
      </c>
      <c r="BU209" s="641">
        <f t="shared" si="112"/>
        <v>999999999</v>
      </c>
      <c r="BV209" s="641">
        <f t="shared" si="112"/>
        <v>999999999</v>
      </c>
      <c r="BW209" s="641">
        <f t="shared" si="112"/>
        <v>999999999</v>
      </c>
      <c r="BX209" s="641">
        <f t="shared" si="112"/>
        <v>999999999</v>
      </c>
      <c r="BY209" s="641">
        <f t="shared" si="112"/>
        <v>999999999</v>
      </c>
      <c r="BZ209" s="641">
        <f t="shared" si="112"/>
        <v>999999999</v>
      </c>
      <c r="CA209" s="641">
        <f t="shared" si="112"/>
        <v>999999999</v>
      </c>
      <c r="CB209" s="641">
        <f t="shared" si="112"/>
        <v>999999999</v>
      </c>
      <c r="CC209" s="641">
        <f t="shared" si="112"/>
        <v>999999999</v>
      </c>
      <c r="CD209" s="641">
        <f t="shared" si="112"/>
        <v>999999999</v>
      </c>
      <c r="CE209" s="641">
        <f t="shared" si="113"/>
        <v>999999999</v>
      </c>
      <c r="CF209" s="641">
        <f t="shared" si="113"/>
        <v>999999999</v>
      </c>
      <c r="CG209" s="641">
        <f t="shared" si="113"/>
        <v>999999999</v>
      </c>
      <c r="CH209" s="641">
        <f t="shared" si="113"/>
        <v>999999999</v>
      </c>
      <c r="CI209" s="641">
        <f t="shared" si="113"/>
        <v>999999999</v>
      </c>
      <c r="CJ209" s="641">
        <f t="shared" si="113"/>
        <v>999999999</v>
      </c>
      <c r="CK209" s="641">
        <f t="shared" si="113"/>
        <v>999999999</v>
      </c>
      <c r="CL209" s="641">
        <f t="shared" si="113"/>
        <v>999999999</v>
      </c>
      <c r="CM209" s="641">
        <f t="shared" si="113"/>
        <v>999999999</v>
      </c>
      <c r="CN209" s="641">
        <f t="shared" si="113"/>
        <v>999999999</v>
      </c>
      <c r="CO209" s="641">
        <f t="shared" si="114"/>
        <v>999999999</v>
      </c>
      <c r="CP209" s="641">
        <f t="shared" si="114"/>
        <v>999999999</v>
      </c>
      <c r="CQ209" s="641">
        <f t="shared" si="114"/>
        <v>999999999</v>
      </c>
      <c r="CR209" s="641">
        <f t="shared" si="114"/>
        <v>999999999</v>
      </c>
      <c r="CS209" s="641">
        <f t="shared" si="114"/>
        <v>999999999</v>
      </c>
      <c r="CT209" s="641">
        <f t="shared" si="114"/>
        <v>999999999</v>
      </c>
      <c r="CU209" s="641">
        <f t="shared" si="114"/>
        <v>999999999</v>
      </c>
      <c r="CV209" s="641">
        <f t="shared" si="114"/>
        <v>999999999</v>
      </c>
      <c r="CW209" s="641">
        <f t="shared" si="114"/>
        <v>999999999</v>
      </c>
      <c r="CX209" s="641">
        <f t="shared" si="114"/>
        <v>999999999</v>
      </c>
      <c r="CY209" s="641">
        <f t="shared" si="115"/>
        <v>999999999</v>
      </c>
      <c r="CZ209" s="641">
        <f t="shared" si="115"/>
        <v>999999999</v>
      </c>
      <c r="DA209" s="641">
        <f t="shared" si="115"/>
        <v>999999999</v>
      </c>
      <c r="DB209" s="641">
        <f t="shared" si="115"/>
        <v>999999999</v>
      </c>
      <c r="DC209" s="641">
        <f t="shared" si="115"/>
        <v>999999999</v>
      </c>
      <c r="DD209" s="641">
        <f t="shared" si="115"/>
        <v>999999999</v>
      </c>
      <c r="DE209" s="641">
        <f t="shared" si="115"/>
        <v>999999999</v>
      </c>
      <c r="DF209" s="641">
        <f t="shared" si="115"/>
        <v>999999999</v>
      </c>
      <c r="DG209" s="641">
        <f t="shared" si="115"/>
        <v>999999999</v>
      </c>
      <c r="DH209" s="641">
        <f t="shared" si="115"/>
        <v>999999999</v>
      </c>
      <c r="DI209" s="641">
        <f t="shared" si="116"/>
        <v>999999999</v>
      </c>
      <c r="DJ209" s="641">
        <f t="shared" si="116"/>
        <v>999999999</v>
      </c>
      <c r="DK209" s="641">
        <f t="shared" si="116"/>
        <v>999999999</v>
      </c>
      <c r="DL209" s="641">
        <f t="shared" si="116"/>
        <v>999999999</v>
      </c>
      <c r="DM209" s="641">
        <f t="shared" si="116"/>
        <v>999999999</v>
      </c>
      <c r="DN209" s="641">
        <f t="shared" si="116"/>
        <v>999999999</v>
      </c>
      <c r="DO209" s="641">
        <f t="shared" si="116"/>
        <v>999999999</v>
      </c>
      <c r="DP209" s="641">
        <f t="shared" si="116"/>
        <v>999999999</v>
      </c>
      <c r="DQ209" s="641">
        <f t="shared" si="116"/>
        <v>999999999</v>
      </c>
      <c r="DR209" s="641">
        <f t="shared" si="116"/>
        <v>999999999</v>
      </c>
      <c r="DS209" s="641">
        <f t="shared" si="117"/>
        <v>999999999</v>
      </c>
      <c r="DT209" s="641">
        <f t="shared" si="117"/>
        <v>999999999</v>
      </c>
      <c r="DU209" s="641">
        <f t="shared" si="117"/>
        <v>999999999</v>
      </c>
      <c r="DV209" s="641">
        <f t="shared" si="117"/>
        <v>999999999</v>
      </c>
      <c r="DW209" s="641">
        <f t="shared" si="117"/>
        <v>999999999</v>
      </c>
      <c r="DX209" s="641">
        <f t="shared" si="117"/>
        <v>999999999</v>
      </c>
      <c r="DY209" s="641">
        <f t="shared" si="117"/>
        <v>999999999</v>
      </c>
      <c r="DZ209" s="641">
        <f t="shared" si="117"/>
        <v>999999999</v>
      </c>
      <c r="EA209" s="641">
        <f t="shared" si="117"/>
        <v>999999999</v>
      </c>
      <c r="EB209" s="641">
        <f t="shared" si="117"/>
        <v>999999999</v>
      </c>
      <c r="EC209" s="641">
        <f t="shared" si="117"/>
        <v>999999999</v>
      </c>
    </row>
    <row r="210" spans="28:133" ht="15.5">
      <c r="AB210" s="5">
        <f t="shared" si="118"/>
        <v>2</v>
      </c>
      <c r="AC210" s="128">
        <v>67</v>
      </c>
      <c r="AD210" s="129">
        <f t="shared" si="107"/>
        <v>8066.506604000002</v>
      </c>
      <c r="AF210" s="128">
        <v>67</v>
      </c>
      <c r="AG210" s="641">
        <f t="shared" si="108"/>
        <v>489661.50660399999</v>
      </c>
      <c r="AH210" s="641">
        <f t="shared" si="108"/>
        <v>426709.50660399999</v>
      </c>
      <c r="AI210" s="641">
        <f t="shared" si="108"/>
        <v>363757.50660399999</v>
      </c>
      <c r="AJ210" s="641">
        <f t="shared" si="108"/>
        <v>300805.50660399999</v>
      </c>
      <c r="AK210" s="641">
        <f t="shared" si="108"/>
        <v>237853.50660399999</v>
      </c>
      <c r="AL210" s="641">
        <f t="shared" si="108"/>
        <v>174901.50660399999</v>
      </c>
      <c r="AM210" s="641">
        <f t="shared" si="108"/>
        <v>112986.50660399999</v>
      </c>
      <c r="AN210" s="641">
        <f t="shared" si="108"/>
        <v>60526.506604000002</v>
      </c>
      <c r="AO210" s="641">
        <f t="shared" si="108"/>
        <v>8066.506604000002</v>
      </c>
      <c r="AP210" s="641">
        <f t="shared" si="108"/>
        <v>999999999</v>
      </c>
      <c r="AQ210" s="641">
        <f t="shared" si="109"/>
        <v>999999999</v>
      </c>
      <c r="AR210" s="641">
        <f t="shared" si="109"/>
        <v>999999999</v>
      </c>
      <c r="AS210" s="641">
        <f t="shared" si="109"/>
        <v>999999999</v>
      </c>
      <c r="AT210" s="641">
        <f t="shared" si="109"/>
        <v>999999999</v>
      </c>
      <c r="AU210" s="641">
        <f t="shared" si="109"/>
        <v>999999999</v>
      </c>
      <c r="AV210" s="641">
        <f t="shared" si="109"/>
        <v>999999999</v>
      </c>
      <c r="AW210" s="641">
        <f t="shared" si="109"/>
        <v>999999999</v>
      </c>
      <c r="AX210" s="641">
        <f t="shared" si="109"/>
        <v>999999999</v>
      </c>
      <c r="AY210" s="641">
        <f t="shared" si="109"/>
        <v>999999999</v>
      </c>
      <c r="AZ210" s="641">
        <f t="shared" si="109"/>
        <v>999999999</v>
      </c>
      <c r="BA210" s="641">
        <f t="shared" si="110"/>
        <v>999999999</v>
      </c>
      <c r="BB210" s="641">
        <f t="shared" si="110"/>
        <v>999999999</v>
      </c>
      <c r="BC210" s="641">
        <f t="shared" si="110"/>
        <v>999999999</v>
      </c>
      <c r="BD210" s="641">
        <f t="shared" si="110"/>
        <v>999999999</v>
      </c>
      <c r="BE210" s="641">
        <f t="shared" si="110"/>
        <v>999999999</v>
      </c>
      <c r="BF210" s="641">
        <f t="shared" si="110"/>
        <v>999999999</v>
      </c>
      <c r="BG210" s="641">
        <f t="shared" si="110"/>
        <v>999999999</v>
      </c>
      <c r="BH210" s="641">
        <f t="shared" si="110"/>
        <v>999999999</v>
      </c>
      <c r="BI210" s="641">
        <f t="shared" si="110"/>
        <v>999999999</v>
      </c>
      <c r="BJ210" s="641">
        <f t="shared" si="110"/>
        <v>999999999</v>
      </c>
      <c r="BK210" s="641">
        <f t="shared" si="111"/>
        <v>999999999</v>
      </c>
      <c r="BL210" s="641">
        <f t="shared" si="111"/>
        <v>999999999</v>
      </c>
      <c r="BM210" s="641">
        <f t="shared" si="111"/>
        <v>999999999</v>
      </c>
      <c r="BN210" s="641">
        <f t="shared" si="111"/>
        <v>999999999</v>
      </c>
      <c r="BO210" s="641">
        <f t="shared" si="111"/>
        <v>999999999</v>
      </c>
      <c r="BP210" s="641">
        <f t="shared" si="111"/>
        <v>999999999</v>
      </c>
      <c r="BQ210" s="641">
        <f t="shared" si="111"/>
        <v>999999999</v>
      </c>
      <c r="BR210" s="641">
        <f t="shared" si="111"/>
        <v>999999999</v>
      </c>
      <c r="BS210" s="641">
        <f t="shared" si="111"/>
        <v>999999999</v>
      </c>
      <c r="BT210" s="641">
        <f t="shared" si="111"/>
        <v>999999999</v>
      </c>
      <c r="BU210" s="641">
        <f t="shared" si="112"/>
        <v>999999999</v>
      </c>
      <c r="BV210" s="641">
        <f t="shared" si="112"/>
        <v>999999999</v>
      </c>
      <c r="BW210" s="641">
        <f t="shared" si="112"/>
        <v>999999999</v>
      </c>
      <c r="BX210" s="641">
        <f t="shared" si="112"/>
        <v>999999999</v>
      </c>
      <c r="BY210" s="641">
        <f t="shared" si="112"/>
        <v>999999999</v>
      </c>
      <c r="BZ210" s="641">
        <f t="shared" si="112"/>
        <v>999999999</v>
      </c>
      <c r="CA210" s="641">
        <f t="shared" si="112"/>
        <v>999999999</v>
      </c>
      <c r="CB210" s="641">
        <f t="shared" si="112"/>
        <v>999999999</v>
      </c>
      <c r="CC210" s="641">
        <f t="shared" si="112"/>
        <v>999999999</v>
      </c>
      <c r="CD210" s="641">
        <f t="shared" si="112"/>
        <v>999999999</v>
      </c>
      <c r="CE210" s="641">
        <f t="shared" si="113"/>
        <v>999999999</v>
      </c>
      <c r="CF210" s="641">
        <f t="shared" si="113"/>
        <v>999999999</v>
      </c>
      <c r="CG210" s="641">
        <f t="shared" si="113"/>
        <v>999999999</v>
      </c>
      <c r="CH210" s="641">
        <f t="shared" si="113"/>
        <v>999999999</v>
      </c>
      <c r="CI210" s="641">
        <f t="shared" si="113"/>
        <v>999999999</v>
      </c>
      <c r="CJ210" s="641">
        <f t="shared" si="113"/>
        <v>999999999</v>
      </c>
      <c r="CK210" s="641">
        <f t="shared" si="113"/>
        <v>999999999</v>
      </c>
      <c r="CL210" s="641">
        <f t="shared" si="113"/>
        <v>999999999</v>
      </c>
      <c r="CM210" s="641">
        <f t="shared" si="113"/>
        <v>999999999</v>
      </c>
      <c r="CN210" s="641">
        <f t="shared" si="113"/>
        <v>999999999</v>
      </c>
      <c r="CO210" s="641">
        <f t="shared" si="114"/>
        <v>999999999</v>
      </c>
      <c r="CP210" s="641">
        <f t="shared" si="114"/>
        <v>999999999</v>
      </c>
      <c r="CQ210" s="641">
        <f t="shared" si="114"/>
        <v>999999999</v>
      </c>
      <c r="CR210" s="641">
        <f t="shared" si="114"/>
        <v>999999999</v>
      </c>
      <c r="CS210" s="641">
        <f t="shared" si="114"/>
        <v>999999999</v>
      </c>
      <c r="CT210" s="641">
        <f t="shared" si="114"/>
        <v>999999999</v>
      </c>
      <c r="CU210" s="641">
        <f t="shared" si="114"/>
        <v>999999999</v>
      </c>
      <c r="CV210" s="641">
        <f t="shared" si="114"/>
        <v>999999999</v>
      </c>
      <c r="CW210" s="641">
        <f t="shared" si="114"/>
        <v>999999999</v>
      </c>
      <c r="CX210" s="641">
        <f t="shared" si="114"/>
        <v>999999999</v>
      </c>
      <c r="CY210" s="641">
        <f t="shared" si="115"/>
        <v>999999999</v>
      </c>
      <c r="CZ210" s="641">
        <f t="shared" si="115"/>
        <v>999999999</v>
      </c>
      <c r="DA210" s="641">
        <f t="shared" si="115"/>
        <v>999999999</v>
      </c>
      <c r="DB210" s="641">
        <f t="shared" si="115"/>
        <v>999999999</v>
      </c>
      <c r="DC210" s="641">
        <f t="shared" si="115"/>
        <v>999999999</v>
      </c>
      <c r="DD210" s="641">
        <f t="shared" si="115"/>
        <v>999999999</v>
      </c>
      <c r="DE210" s="641">
        <f t="shared" si="115"/>
        <v>999999999</v>
      </c>
      <c r="DF210" s="641">
        <f t="shared" si="115"/>
        <v>999999999</v>
      </c>
      <c r="DG210" s="641">
        <f t="shared" si="115"/>
        <v>999999999</v>
      </c>
      <c r="DH210" s="641">
        <f t="shared" si="115"/>
        <v>999999999</v>
      </c>
      <c r="DI210" s="641">
        <f t="shared" si="116"/>
        <v>999999999</v>
      </c>
      <c r="DJ210" s="641">
        <f t="shared" si="116"/>
        <v>999999999</v>
      </c>
      <c r="DK210" s="641">
        <f t="shared" si="116"/>
        <v>999999999</v>
      </c>
      <c r="DL210" s="641">
        <f t="shared" si="116"/>
        <v>999999999</v>
      </c>
      <c r="DM210" s="641">
        <f t="shared" si="116"/>
        <v>999999999</v>
      </c>
      <c r="DN210" s="641">
        <f t="shared" si="116"/>
        <v>999999999</v>
      </c>
      <c r="DO210" s="641">
        <f t="shared" si="116"/>
        <v>999999999</v>
      </c>
      <c r="DP210" s="641">
        <f t="shared" si="116"/>
        <v>999999999</v>
      </c>
      <c r="DQ210" s="641">
        <f t="shared" si="116"/>
        <v>999999999</v>
      </c>
      <c r="DR210" s="641">
        <f t="shared" si="116"/>
        <v>999999999</v>
      </c>
      <c r="DS210" s="641">
        <f t="shared" si="117"/>
        <v>999999999</v>
      </c>
      <c r="DT210" s="641">
        <f t="shared" si="117"/>
        <v>999999999</v>
      </c>
      <c r="DU210" s="641">
        <f t="shared" si="117"/>
        <v>999999999</v>
      </c>
      <c r="DV210" s="641">
        <f t="shared" si="117"/>
        <v>999999999</v>
      </c>
      <c r="DW210" s="641">
        <f t="shared" si="117"/>
        <v>999999999</v>
      </c>
      <c r="DX210" s="641">
        <f t="shared" si="117"/>
        <v>999999999</v>
      </c>
      <c r="DY210" s="641">
        <f t="shared" si="117"/>
        <v>999999999</v>
      </c>
      <c r="DZ210" s="641">
        <f t="shared" si="117"/>
        <v>999999999</v>
      </c>
      <c r="EA210" s="641">
        <f t="shared" si="117"/>
        <v>999999999</v>
      </c>
      <c r="EB210" s="641">
        <f t="shared" si="117"/>
        <v>999999999</v>
      </c>
      <c r="EC210" s="641">
        <f t="shared" si="117"/>
        <v>999999999</v>
      </c>
    </row>
    <row r="211" spans="28:133" ht="15.5">
      <c r="AB211" s="5">
        <f t="shared" si="118"/>
        <v>2</v>
      </c>
      <c r="AC211" s="128">
        <v>68</v>
      </c>
      <c r="AD211" s="129">
        <f t="shared" si="107"/>
        <v>8066.506604000002</v>
      </c>
      <c r="AF211" s="128">
        <v>68</v>
      </c>
      <c r="AG211" s="641">
        <f t="shared" si="108"/>
        <v>489661.50660399999</v>
      </c>
      <c r="AH211" s="641">
        <f t="shared" si="108"/>
        <v>426709.50660399999</v>
      </c>
      <c r="AI211" s="641">
        <f t="shared" si="108"/>
        <v>363757.50660399999</v>
      </c>
      <c r="AJ211" s="641">
        <f t="shared" si="108"/>
        <v>300805.50660399999</v>
      </c>
      <c r="AK211" s="641">
        <f t="shared" si="108"/>
        <v>237853.50660399999</v>
      </c>
      <c r="AL211" s="641">
        <f t="shared" si="108"/>
        <v>174901.50660399999</v>
      </c>
      <c r="AM211" s="641">
        <f t="shared" si="108"/>
        <v>112986.50660399999</v>
      </c>
      <c r="AN211" s="641">
        <f t="shared" si="108"/>
        <v>60526.506604000002</v>
      </c>
      <c r="AO211" s="641">
        <f t="shared" si="108"/>
        <v>8066.506604000002</v>
      </c>
      <c r="AP211" s="641">
        <f t="shared" si="108"/>
        <v>999999999</v>
      </c>
      <c r="AQ211" s="641">
        <f t="shared" si="109"/>
        <v>999999999</v>
      </c>
      <c r="AR211" s="641">
        <f t="shared" si="109"/>
        <v>999999999</v>
      </c>
      <c r="AS211" s="641">
        <f t="shared" si="109"/>
        <v>999999999</v>
      </c>
      <c r="AT211" s="641">
        <f t="shared" si="109"/>
        <v>999999999</v>
      </c>
      <c r="AU211" s="641">
        <f t="shared" si="109"/>
        <v>999999999</v>
      </c>
      <c r="AV211" s="641">
        <f t="shared" si="109"/>
        <v>999999999</v>
      </c>
      <c r="AW211" s="641">
        <f t="shared" si="109"/>
        <v>999999999</v>
      </c>
      <c r="AX211" s="641">
        <f t="shared" si="109"/>
        <v>999999999</v>
      </c>
      <c r="AY211" s="641">
        <f t="shared" si="109"/>
        <v>999999999</v>
      </c>
      <c r="AZ211" s="641">
        <f t="shared" si="109"/>
        <v>999999999</v>
      </c>
      <c r="BA211" s="641">
        <f t="shared" si="110"/>
        <v>999999999</v>
      </c>
      <c r="BB211" s="641">
        <f t="shared" si="110"/>
        <v>999999999</v>
      </c>
      <c r="BC211" s="641">
        <f t="shared" si="110"/>
        <v>999999999</v>
      </c>
      <c r="BD211" s="641">
        <f t="shared" si="110"/>
        <v>999999999</v>
      </c>
      <c r="BE211" s="641">
        <f t="shared" si="110"/>
        <v>999999999</v>
      </c>
      <c r="BF211" s="641">
        <f t="shared" si="110"/>
        <v>999999999</v>
      </c>
      <c r="BG211" s="641">
        <f t="shared" si="110"/>
        <v>999999999</v>
      </c>
      <c r="BH211" s="641">
        <f t="shared" si="110"/>
        <v>999999999</v>
      </c>
      <c r="BI211" s="641">
        <f t="shared" si="110"/>
        <v>999999999</v>
      </c>
      <c r="BJ211" s="641">
        <f t="shared" si="110"/>
        <v>999999999</v>
      </c>
      <c r="BK211" s="641">
        <f t="shared" si="111"/>
        <v>999999999</v>
      </c>
      <c r="BL211" s="641">
        <f t="shared" si="111"/>
        <v>999999999</v>
      </c>
      <c r="BM211" s="641">
        <f t="shared" si="111"/>
        <v>999999999</v>
      </c>
      <c r="BN211" s="641">
        <f t="shared" si="111"/>
        <v>999999999</v>
      </c>
      <c r="BO211" s="641">
        <f t="shared" si="111"/>
        <v>999999999</v>
      </c>
      <c r="BP211" s="641">
        <f t="shared" si="111"/>
        <v>999999999</v>
      </c>
      <c r="BQ211" s="641">
        <f t="shared" si="111"/>
        <v>999999999</v>
      </c>
      <c r="BR211" s="641">
        <f t="shared" si="111"/>
        <v>999999999</v>
      </c>
      <c r="BS211" s="641">
        <f t="shared" si="111"/>
        <v>999999999</v>
      </c>
      <c r="BT211" s="641">
        <f t="shared" si="111"/>
        <v>999999999</v>
      </c>
      <c r="BU211" s="641">
        <f t="shared" si="112"/>
        <v>999999999</v>
      </c>
      <c r="BV211" s="641">
        <f t="shared" si="112"/>
        <v>999999999</v>
      </c>
      <c r="BW211" s="641">
        <f t="shared" si="112"/>
        <v>999999999</v>
      </c>
      <c r="BX211" s="641">
        <f t="shared" si="112"/>
        <v>999999999</v>
      </c>
      <c r="BY211" s="641">
        <f t="shared" si="112"/>
        <v>999999999</v>
      </c>
      <c r="BZ211" s="641">
        <f t="shared" si="112"/>
        <v>999999999</v>
      </c>
      <c r="CA211" s="641">
        <f t="shared" si="112"/>
        <v>999999999</v>
      </c>
      <c r="CB211" s="641">
        <f t="shared" si="112"/>
        <v>999999999</v>
      </c>
      <c r="CC211" s="641">
        <f t="shared" si="112"/>
        <v>999999999</v>
      </c>
      <c r="CD211" s="641">
        <f t="shared" si="112"/>
        <v>999999999</v>
      </c>
      <c r="CE211" s="641">
        <f t="shared" si="113"/>
        <v>999999999</v>
      </c>
      <c r="CF211" s="641">
        <f t="shared" si="113"/>
        <v>999999999</v>
      </c>
      <c r="CG211" s="641">
        <f t="shared" si="113"/>
        <v>999999999</v>
      </c>
      <c r="CH211" s="641">
        <f t="shared" si="113"/>
        <v>999999999</v>
      </c>
      <c r="CI211" s="641">
        <f t="shared" si="113"/>
        <v>999999999</v>
      </c>
      <c r="CJ211" s="641">
        <f t="shared" si="113"/>
        <v>999999999</v>
      </c>
      <c r="CK211" s="641">
        <f t="shared" si="113"/>
        <v>999999999</v>
      </c>
      <c r="CL211" s="641">
        <f t="shared" si="113"/>
        <v>999999999</v>
      </c>
      <c r="CM211" s="641">
        <f t="shared" si="113"/>
        <v>999999999</v>
      </c>
      <c r="CN211" s="641">
        <f t="shared" si="113"/>
        <v>999999999</v>
      </c>
      <c r="CO211" s="641">
        <f t="shared" si="114"/>
        <v>999999999</v>
      </c>
      <c r="CP211" s="641">
        <f t="shared" si="114"/>
        <v>999999999</v>
      </c>
      <c r="CQ211" s="641">
        <f t="shared" si="114"/>
        <v>999999999</v>
      </c>
      <c r="CR211" s="641">
        <f t="shared" si="114"/>
        <v>999999999</v>
      </c>
      <c r="CS211" s="641">
        <f t="shared" si="114"/>
        <v>999999999</v>
      </c>
      <c r="CT211" s="641">
        <f t="shared" si="114"/>
        <v>999999999</v>
      </c>
      <c r="CU211" s="641">
        <f t="shared" si="114"/>
        <v>999999999</v>
      </c>
      <c r="CV211" s="641">
        <f t="shared" si="114"/>
        <v>999999999</v>
      </c>
      <c r="CW211" s="641">
        <f t="shared" si="114"/>
        <v>999999999</v>
      </c>
      <c r="CX211" s="641">
        <f t="shared" si="114"/>
        <v>999999999</v>
      </c>
      <c r="CY211" s="641">
        <f t="shared" si="115"/>
        <v>999999999</v>
      </c>
      <c r="CZ211" s="641">
        <f t="shared" si="115"/>
        <v>999999999</v>
      </c>
      <c r="DA211" s="641">
        <f t="shared" si="115"/>
        <v>999999999</v>
      </c>
      <c r="DB211" s="641">
        <f t="shared" si="115"/>
        <v>999999999</v>
      </c>
      <c r="DC211" s="641">
        <f t="shared" si="115"/>
        <v>999999999</v>
      </c>
      <c r="DD211" s="641">
        <f t="shared" si="115"/>
        <v>999999999</v>
      </c>
      <c r="DE211" s="641">
        <f t="shared" si="115"/>
        <v>999999999</v>
      </c>
      <c r="DF211" s="641">
        <f t="shared" si="115"/>
        <v>999999999</v>
      </c>
      <c r="DG211" s="641">
        <f t="shared" si="115"/>
        <v>999999999</v>
      </c>
      <c r="DH211" s="641">
        <f t="shared" si="115"/>
        <v>999999999</v>
      </c>
      <c r="DI211" s="641">
        <f t="shared" si="116"/>
        <v>999999999</v>
      </c>
      <c r="DJ211" s="641">
        <f t="shared" si="116"/>
        <v>999999999</v>
      </c>
      <c r="DK211" s="641">
        <f t="shared" si="116"/>
        <v>999999999</v>
      </c>
      <c r="DL211" s="641">
        <f t="shared" si="116"/>
        <v>999999999</v>
      </c>
      <c r="DM211" s="641">
        <f t="shared" si="116"/>
        <v>999999999</v>
      </c>
      <c r="DN211" s="641">
        <f t="shared" si="116"/>
        <v>999999999</v>
      </c>
      <c r="DO211" s="641">
        <f t="shared" si="116"/>
        <v>999999999</v>
      </c>
      <c r="DP211" s="641">
        <f t="shared" si="116"/>
        <v>999999999</v>
      </c>
      <c r="DQ211" s="641">
        <f t="shared" si="116"/>
        <v>999999999</v>
      </c>
      <c r="DR211" s="641">
        <f t="shared" si="116"/>
        <v>999999999</v>
      </c>
      <c r="DS211" s="641">
        <f t="shared" si="117"/>
        <v>999999999</v>
      </c>
      <c r="DT211" s="641">
        <f t="shared" si="117"/>
        <v>999999999</v>
      </c>
      <c r="DU211" s="641">
        <f t="shared" si="117"/>
        <v>999999999</v>
      </c>
      <c r="DV211" s="641">
        <f t="shared" si="117"/>
        <v>999999999</v>
      </c>
      <c r="DW211" s="641">
        <f t="shared" si="117"/>
        <v>999999999</v>
      </c>
      <c r="DX211" s="641">
        <f t="shared" si="117"/>
        <v>999999999</v>
      </c>
      <c r="DY211" s="641">
        <f t="shared" si="117"/>
        <v>999999999</v>
      </c>
      <c r="DZ211" s="641">
        <f t="shared" si="117"/>
        <v>999999999</v>
      </c>
      <c r="EA211" s="641">
        <f t="shared" si="117"/>
        <v>999999999</v>
      </c>
      <c r="EB211" s="641">
        <f t="shared" si="117"/>
        <v>999999999</v>
      </c>
      <c r="EC211" s="641">
        <f t="shared" si="117"/>
        <v>999999999</v>
      </c>
    </row>
    <row r="212" spans="28:133" ht="15.5">
      <c r="AB212" s="5">
        <f t="shared" si="118"/>
        <v>2</v>
      </c>
      <c r="AC212" s="128">
        <v>69</v>
      </c>
      <c r="AD212" s="129">
        <f t="shared" si="107"/>
        <v>8066.506604000002</v>
      </c>
      <c r="AF212" s="128">
        <v>69</v>
      </c>
      <c r="AG212" s="641">
        <f t="shared" si="108"/>
        <v>489661.50660399999</v>
      </c>
      <c r="AH212" s="641">
        <f t="shared" si="108"/>
        <v>426709.50660399999</v>
      </c>
      <c r="AI212" s="641">
        <f t="shared" si="108"/>
        <v>363757.50660399999</v>
      </c>
      <c r="AJ212" s="641">
        <f t="shared" si="108"/>
        <v>300805.50660399999</v>
      </c>
      <c r="AK212" s="641">
        <f t="shared" si="108"/>
        <v>237853.50660399999</v>
      </c>
      <c r="AL212" s="641">
        <f t="shared" si="108"/>
        <v>174901.50660399999</v>
      </c>
      <c r="AM212" s="641">
        <f t="shared" si="108"/>
        <v>112986.50660399999</v>
      </c>
      <c r="AN212" s="641">
        <f t="shared" si="108"/>
        <v>60526.506604000002</v>
      </c>
      <c r="AO212" s="641">
        <f t="shared" si="108"/>
        <v>8066.506604000002</v>
      </c>
      <c r="AP212" s="641">
        <f t="shared" si="108"/>
        <v>999999999</v>
      </c>
      <c r="AQ212" s="641">
        <f t="shared" si="109"/>
        <v>999999999</v>
      </c>
      <c r="AR212" s="641">
        <f t="shared" si="109"/>
        <v>999999999</v>
      </c>
      <c r="AS212" s="641">
        <f t="shared" si="109"/>
        <v>999999999</v>
      </c>
      <c r="AT212" s="641">
        <f t="shared" si="109"/>
        <v>999999999</v>
      </c>
      <c r="AU212" s="641">
        <f t="shared" si="109"/>
        <v>999999999</v>
      </c>
      <c r="AV212" s="641">
        <f t="shared" si="109"/>
        <v>999999999</v>
      </c>
      <c r="AW212" s="641">
        <f t="shared" si="109"/>
        <v>999999999</v>
      </c>
      <c r="AX212" s="641">
        <f t="shared" si="109"/>
        <v>999999999</v>
      </c>
      <c r="AY212" s="641">
        <f t="shared" si="109"/>
        <v>999999999</v>
      </c>
      <c r="AZ212" s="641">
        <f t="shared" si="109"/>
        <v>999999999</v>
      </c>
      <c r="BA212" s="641">
        <f t="shared" si="110"/>
        <v>999999999</v>
      </c>
      <c r="BB212" s="641">
        <f t="shared" si="110"/>
        <v>999999999</v>
      </c>
      <c r="BC212" s="641">
        <f t="shared" si="110"/>
        <v>999999999</v>
      </c>
      <c r="BD212" s="641">
        <f t="shared" si="110"/>
        <v>999999999</v>
      </c>
      <c r="BE212" s="641">
        <f t="shared" si="110"/>
        <v>999999999</v>
      </c>
      <c r="BF212" s="641">
        <f t="shared" si="110"/>
        <v>999999999</v>
      </c>
      <c r="BG212" s="641">
        <f t="shared" si="110"/>
        <v>999999999</v>
      </c>
      <c r="BH212" s="641">
        <f t="shared" si="110"/>
        <v>999999999</v>
      </c>
      <c r="BI212" s="641">
        <f t="shared" si="110"/>
        <v>999999999</v>
      </c>
      <c r="BJ212" s="641">
        <f t="shared" si="110"/>
        <v>999999999</v>
      </c>
      <c r="BK212" s="641">
        <f t="shared" si="111"/>
        <v>999999999</v>
      </c>
      <c r="BL212" s="641">
        <f t="shared" si="111"/>
        <v>999999999</v>
      </c>
      <c r="BM212" s="641">
        <f t="shared" si="111"/>
        <v>999999999</v>
      </c>
      <c r="BN212" s="641">
        <f t="shared" si="111"/>
        <v>999999999</v>
      </c>
      <c r="BO212" s="641">
        <f t="shared" si="111"/>
        <v>999999999</v>
      </c>
      <c r="BP212" s="641">
        <f t="shared" si="111"/>
        <v>999999999</v>
      </c>
      <c r="BQ212" s="641">
        <f t="shared" si="111"/>
        <v>999999999</v>
      </c>
      <c r="BR212" s="641">
        <f t="shared" si="111"/>
        <v>999999999</v>
      </c>
      <c r="BS212" s="641">
        <f t="shared" si="111"/>
        <v>999999999</v>
      </c>
      <c r="BT212" s="641">
        <f t="shared" si="111"/>
        <v>999999999</v>
      </c>
      <c r="BU212" s="641">
        <f t="shared" si="112"/>
        <v>999999999</v>
      </c>
      <c r="BV212" s="641">
        <f t="shared" si="112"/>
        <v>999999999</v>
      </c>
      <c r="BW212" s="641">
        <f t="shared" si="112"/>
        <v>999999999</v>
      </c>
      <c r="BX212" s="641">
        <f t="shared" si="112"/>
        <v>999999999</v>
      </c>
      <c r="BY212" s="641">
        <f t="shared" si="112"/>
        <v>999999999</v>
      </c>
      <c r="BZ212" s="641">
        <f t="shared" si="112"/>
        <v>999999999</v>
      </c>
      <c r="CA212" s="641">
        <f t="shared" si="112"/>
        <v>999999999</v>
      </c>
      <c r="CB212" s="641">
        <f t="shared" si="112"/>
        <v>999999999</v>
      </c>
      <c r="CC212" s="641">
        <f t="shared" si="112"/>
        <v>999999999</v>
      </c>
      <c r="CD212" s="641">
        <f t="shared" si="112"/>
        <v>999999999</v>
      </c>
      <c r="CE212" s="641">
        <f t="shared" si="113"/>
        <v>999999999</v>
      </c>
      <c r="CF212" s="641">
        <f t="shared" si="113"/>
        <v>999999999</v>
      </c>
      <c r="CG212" s="641">
        <f t="shared" si="113"/>
        <v>999999999</v>
      </c>
      <c r="CH212" s="641">
        <f t="shared" si="113"/>
        <v>999999999</v>
      </c>
      <c r="CI212" s="641">
        <f t="shared" si="113"/>
        <v>999999999</v>
      </c>
      <c r="CJ212" s="641">
        <f t="shared" si="113"/>
        <v>999999999</v>
      </c>
      <c r="CK212" s="641">
        <f t="shared" si="113"/>
        <v>999999999</v>
      </c>
      <c r="CL212" s="641">
        <f t="shared" si="113"/>
        <v>999999999</v>
      </c>
      <c r="CM212" s="641">
        <f t="shared" si="113"/>
        <v>999999999</v>
      </c>
      <c r="CN212" s="641">
        <f t="shared" si="113"/>
        <v>999999999</v>
      </c>
      <c r="CO212" s="641">
        <f t="shared" si="114"/>
        <v>999999999</v>
      </c>
      <c r="CP212" s="641">
        <f t="shared" si="114"/>
        <v>999999999</v>
      </c>
      <c r="CQ212" s="641">
        <f t="shared" si="114"/>
        <v>999999999</v>
      </c>
      <c r="CR212" s="641">
        <f t="shared" si="114"/>
        <v>999999999</v>
      </c>
      <c r="CS212" s="641">
        <f t="shared" si="114"/>
        <v>999999999</v>
      </c>
      <c r="CT212" s="641">
        <f t="shared" si="114"/>
        <v>999999999</v>
      </c>
      <c r="CU212" s="641">
        <f t="shared" si="114"/>
        <v>999999999</v>
      </c>
      <c r="CV212" s="641">
        <f t="shared" si="114"/>
        <v>999999999</v>
      </c>
      <c r="CW212" s="641">
        <f t="shared" si="114"/>
        <v>999999999</v>
      </c>
      <c r="CX212" s="641">
        <f t="shared" si="114"/>
        <v>999999999</v>
      </c>
      <c r="CY212" s="641">
        <f t="shared" si="115"/>
        <v>999999999</v>
      </c>
      <c r="CZ212" s="641">
        <f t="shared" si="115"/>
        <v>999999999</v>
      </c>
      <c r="DA212" s="641">
        <f t="shared" si="115"/>
        <v>999999999</v>
      </c>
      <c r="DB212" s="641">
        <f t="shared" si="115"/>
        <v>999999999</v>
      </c>
      <c r="DC212" s="641">
        <f t="shared" si="115"/>
        <v>999999999</v>
      </c>
      <c r="DD212" s="641">
        <f t="shared" si="115"/>
        <v>999999999</v>
      </c>
      <c r="DE212" s="641">
        <f t="shared" si="115"/>
        <v>999999999</v>
      </c>
      <c r="DF212" s="641">
        <f t="shared" si="115"/>
        <v>999999999</v>
      </c>
      <c r="DG212" s="641">
        <f t="shared" si="115"/>
        <v>999999999</v>
      </c>
      <c r="DH212" s="641">
        <f t="shared" si="115"/>
        <v>999999999</v>
      </c>
      <c r="DI212" s="641">
        <f t="shared" si="116"/>
        <v>999999999</v>
      </c>
      <c r="DJ212" s="641">
        <f t="shared" si="116"/>
        <v>999999999</v>
      </c>
      <c r="DK212" s="641">
        <f t="shared" si="116"/>
        <v>999999999</v>
      </c>
      <c r="DL212" s="641">
        <f t="shared" si="116"/>
        <v>999999999</v>
      </c>
      <c r="DM212" s="641">
        <f t="shared" si="116"/>
        <v>999999999</v>
      </c>
      <c r="DN212" s="641">
        <f t="shared" si="116"/>
        <v>999999999</v>
      </c>
      <c r="DO212" s="641">
        <f t="shared" si="116"/>
        <v>999999999</v>
      </c>
      <c r="DP212" s="641">
        <f t="shared" si="116"/>
        <v>999999999</v>
      </c>
      <c r="DQ212" s="641">
        <f t="shared" si="116"/>
        <v>999999999</v>
      </c>
      <c r="DR212" s="641">
        <f t="shared" si="116"/>
        <v>999999999</v>
      </c>
      <c r="DS212" s="641">
        <f t="shared" si="117"/>
        <v>999999999</v>
      </c>
      <c r="DT212" s="641">
        <f t="shared" si="117"/>
        <v>999999999</v>
      </c>
      <c r="DU212" s="641">
        <f t="shared" si="117"/>
        <v>999999999</v>
      </c>
      <c r="DV212" s="641">
        <f t="shared" si="117"/>
        <v>999999999</v>
      </c>
      <c r="DW212" s="641">
        <f t="shared" si="117"/>
        <v>999999999</v>
      </c>
      <c r="DX212" s="641">
        <f t="shared" si="117"/>
        <v>999999999</v>
      </c>
      <c r="DY212" s="641">
        <f t="shared" si="117"/>
        <v>999999999</v>
      </c>
      <c r="DZ212" s="641">
        <f t="shared" si="117"/>
        <v>999999999</v>
      </c>
      <c r="EA212" s="641">
        <f t="shared" si="117"/>
        <v>999999999</v>
      </c>
      <c r="EB212" s="641">
        <f t="shared" si="117"/>
        <v>999999999</v>
      </c>
      <c r="EC212" s="641">
        <f t="shared" si="117"/>
        <v>999999999</v>
      </c>
    </row>
    <row r="213" spans="28:133" ht="15.5">
      <c r="AB213" s="5">
        <f t="shared" si="118"/>
        <v>2</v>
      </c>
      <c r="AC213" s="128">
        <v>70</v>
      </c>
      <c r="AD213" s="129">
        <f t="shared" si="107"/>
        <v>8066.506604000002</v>
      </c>
      <c r="AF213" s="128">
        <v>70</v>
      </c>
      <c r="AG213" s="641">
        <f t="shared" ref="AG213:AP222" si="119">IF(VLOOKUP($AF213,$T$61:$X$161,2)+VLOOKUP(AG$142,$T$61:$X$161,$AF$141)+VLOOKUP(0,$T$61:$X$161,$AF$140)+VLOOKUP(0,$T$61:$X$161,5)+$Y$51+$Z$44-$U$17&lt;0,999999999,VLOOKUP($AF213,$T$61:$X$161,2)+VLOOKUP(AG$142,$T$61:$X$161,$AF$141)+VLOOKUP(0,$T$61:$X$161,$AF$140)+VLOOKUP(0,$T$61:$X$161,5)+$Y$51+$Z$44-$U$17)</f>
        <v>489661.50660399999</v>
      </c>
      <c r="AH213" s="641">
        <f t="shared" si="119"/>
        <v>426709.50660399999</v>
      </c>
      <c r="AI213" s="641">
        <f t="shared" si="119"/>
        <v>363757.50660399999</v>
      </c>
      <c r="AJ213" s="641">
        <f t="shared" si="119"/>
        <v>300805.50660399999</v>
      </c>
      <c r="AK213" s="641">
        <f t="shared" si="119"/>
        <v>237853.50660399999</v>
      </c>
      <c r="AL213" s="641">
        <f t="shared" si="119"/>
        <v>174901.50660399999</v>
      </c>
      <c r="AM213" s="641">
        <f t="shared" si="119"/>
        <v>112986.50660399999</v>
      </c>
      <c r="AN213" s="641">
        <f t="shared" si="119"/>
        <v>60526.506604000002</v>
      </c>
      <c r="AO213" s="641">
        <f t="shared" si="119"/>
        <v>8066.506604000002</v>
      </c>
      <c r="AP213" s="641">
        <f t="shared" si="119"/>
        <v>999999999</v>
      </c>
      <c r="AQ213" s="641">
        <f t="shared" ref="AQ213:AZ222" si="120">IF(VLOOKUP($AF213,$T$61:$X$161,2)+VLOOKUP(AQ$142,$T$61:$X$161,$AF$141)+VLOOKUP(0,$T$61:$X$161,$AF$140)+VLOOKUP(0,$T$61:$X$161,5)+$Y$51+$Z$44-$U$17&lt;0,999999999,VLOOKUP($AF213,$T$61:$X$161,2)+VLOOKUP(AQ$142,$T$61:$X$161,$AF$141)+VLOOKUP(0,$T$61:$X$161,$AF$140)+VLOOKUP(0,$T$61:$X$161,5)+$Y$51+$Z$44-$U$17)</f>
        <v>999999999</v>
      </c>
      <c r="AR213" s="641">
        <f t="shared" si="120"/>
        <v>999999999</v>
      </c>
      <c r="AS213" s="641">
        <f t="shared" si="120"/>
        <v>999999999</v>
      </c>
      <c r="AT213" s="641">
        <f t="shared" si="120"/>
        <v>999999999</v>
      </c>
      <c r="AU213" s="641">
        <f t="shared" si="120"/>
        <v>999999999</v>
      </c>
      <c r="AV213" s="641">
        <f t="shared" si="120"/>
        <v>999999999</v>
      </c>
      <c r="AW213" s="641">
        <f t="shared" si="120"/>
        <v>999999999</v>
      </c>
      <c r="AX213" s="641">
        <f t="shared" si="120"/>
        <v>999999999</v>
      </c>
      <c r="AY213" s="641">
        <f t="shared" si="120"/>
        <v>999999999</v>
      </c>
      <c r="AZ213" s="641">
        <f t="shared" si="120"/>
        <v>999999999</v>
      </c>
      <c r="BA213" s="641">
        <f t="shared" ref="BA213:BJ222" si="121">IF(VLOOKUP($AF213,$T$61:$X$161,2)+VLOOKUP(BA$142,$T$61:$X$161,$AF$141)+VLOOKUP(0,$T$61:$X$161,$AF$140)+VLOOKUP(0,$T$61:$X$161,5)+$Y$51+$Z$44-$U$17&lt;0,999999999,VLOOKUP($AF213,$T$61:$X$161,2)+VLOOKUP(BA$142,$T$61:$X$161,$AF$141)+VLOOKUP(0,$T$61:$X$161,$AF$140)+VLOOKUP(0,$T$61:$X$161,5)+$Y$51+$Z$44-$U$17)</f>
        <v>999999999</v>
      </c>
      <c r="BB213" s="641">
        <f t="shared" si="121"/>
        <v>999999999</v>
      </c>
      <c r="BC213" s="641">
        <f t="shared" si="121"/>
        <v>999999999</v>
      </c>
      <c r="BD213" s="641">
        <f t="shared" si="121"/>
        <v>999999999</v>
      </c>
      <c r="BE213" s="641">
        <f t="shared" si="121"/>
        <v>999999999</v>
      </c>
      <c r="BF213" s="641">
        <f t="shared" si="121"/>
        <v>999999999</v>
      </c>
      <c r="BG213" s="641">
        <f t="shared" si="121"/>
        <v>999999999</v>
      </c>
      <c r="BH213" s="641">
        <f t="shared" si="121"/>
        <v>999999999</v>
      </c>
      <c r="BI213" s="641">
        <f t="shared" si="121"/>
        <v>999999999</v>
      </c>
      <c r="BJ213" s="641">
        <f t="shared" si="121"/>
        <v>999999999</v>
      </c>
      <c r="BK213" s="641">
        <f t="shared" ref="BK213:BT222" si="122">IF(VLOOKUP($AF213,$T$61:$X$161,2)+VLOOKUP(BK$142,$T$61:$X$161,$AF$141)+VLOOKUP(0,$T$61:$X$161,$AF$140)+VLOOKUP(0,$T$61:$X$161,5)+$Y$51+$Z$44-$U$17&lt;0,999999999,VLOOKUP($AF213,$T$61:$X$161,2)+VLOOKUP(BK$142,$T$61:$X$161,$AF$141)+VLOOKUP(0,$T$61:$X$161,$AF$140)+VLOOKUP(0,$T$61:$X$161,5)+$Y$51+$Z$44-$U$17)</f>
        <v>999999999</v>
      </c>
      <c r="BL213" s="641">
        <f t="shared" si="122"/>
        <v>999999999</v>
      </c>
      <c r="BM213" s="641">
        <f t="shared" si="122"/>
        <v>999999999</v>
      </c>
      <c r="BN213" s="641">
        <f t="shared" si="122"/>
        <v>999999999</v>
      </c>
      <c r="BO213" s="641">
        <f t="shared" si="122"/>
        <v>999999999</v>
      </c>
      <c r="BP213" s="641">
        <f t="shared" si="122"/>
        <v>999999999</v>
      </c>
      <c r="BQ213" s="641">
        <f t="shared" si="122"/>
        <v>999999999</v>
      </c>
      <c r="BR213" s="641">
        <f t="shared" si="122"/>
        <v>999999999</v>
      </c>
      <c r="BS213" s="641">
        <f t="shared" si="122"/>
        <v>999999999</v>
      </c>
      <c r="BT213" s="641">
        <f t="shared" si="122"/>
        <v>999999999</v>
      </c>
      <c r="BU213" s="641">
        <f t="shared" ref="BU213:CD222" si="123">IF(VLOOKUP($AF213,$T$61:$X$161,2)+VLOOKUP(BU$142,$T$61:$X$161,$AF$141)+VLOOKUP(0,$T$61:$X$161,$AF$140)+VLOOKUP(0,$T$61:$X$161,5)+$Y$51+$Z$44-$U$17&lt;0,999999999,VLOOKUP($AF213,$T$61:$X$161,2)+VLOOKUP(BU$142,$T$61:$X$161,$AF$141)+VLOOKUP(0,$T$61:$X$161,$AF$140)+VLOOKUP(0,$T$61:$X$161,5)+$Y$51+$Z$44-$U$17)</f>
        <v>999999999</v>
      </c>
      <c r="BV213" s="641">
        <f t="shared" si="123"/>
        <v>999999999</v>
      </c>
      <c r="BW213" s="641">
        <f t="shared" si="123"/>
        <v>999999999</v>
      </c>
      <c r="BX213" s="641">
        <f t="shared" si="123"/>
        <v>999999999</v>
      </c>
      <c r="BY213" s="641">
        <f t="shared" si="123"/>
        <v>999999999</v>
      </c>
      <c r="BZ213" s="641">
        <f t="shared" si="123"/>
        <v>999999999</v>
      </c>
      <c r="CA213" s="641">
        <f t="shared" si="123"/>
        <v>999999999</v>
      </c>
      <c r="CB213" s="641">
        <f t="shared" si="123"/>
        <v>999999999</v>
      </c>
      <c r="CC213" s="641">
        <f t="shared" si="123"/>
        <v>999999999</v>
      </c>
      <c r="CD213" s="641">
        <f t="shared" si="123"/>
        <v>999999999</v>
      </c>
      <c r="CE213" s="641">
        <f t="shared" ref="CE213:CN222" si="124">IF(VLOOKUP($AF213,$T$61:$X$161,2)+VLOOKUP(CE$142,$T$61:$X$161,$AF$141)+VLOOKUP(0,$T$61:$X$161,$AF$140)+VLOOKUP(0,$T$61:$X$161,5)+$Y$51+$Z$44-$U$17&lt;0,999999999,VLOOKUP($AF213,$T$61:$X$161,2)+VLOOKUP(CE$142,$T$61:$X$161,$AF$141)+VLOOKUP(0,$T$61:$X$161,$AF$140)+VLOOKUP(0,$T$61:$X$161,5)+$Y$51+$Z$44-$U$17)</f>
        <v>999999999</v>
      </c>
      <c r="CF213" s="641">
        <f t="shared" si="124"/>
        <v>999999999</v>
      </c>
      <c r="CG213" s="641">
        <f t="shared" si="124"/>
        <v>999999999</v>
      </c>
      <c r="CH213" s="641">
        <f t="shared" si="124"/>
        <v>999999999</v>
      </c>
      <c r="CI213" s="641">
        <f t="shared" si="124"/>
        <v>999999999</v>
      </c>
      <c r="CJ213" s="641">
        <f t="shared" si="124"/>
        <v>999999999</v>
      </c>
      <c r="CK213" s="641">
        <f t="shared" si="124"/>
        <v>999999999</v>
      </c>
      <c r="CL213" s="641">
        <f t="shared" si="124"/>
        <v>999999999</v>
      </c>
      <c r="CM213" s="641">
        <f t="shared" si="124"/>
        <v>999999999</v>
      </c>
      <c r="CN213" s="641">
        <f t="shared" si="124"/>
        <v>999999999</v>
      </c>
      <c r="CO213" s="641">
        <f t="shared" ref="CO213:CX222" si="125">IF(VLOOKUP($AF213,$T$61:$X$161,2)+VLOOKUP(CO$142,$T$61:$X$161,$AF$141)+VLOOKUP(0,$T$61:$X$161,$AF$140)+VLOOKUP(0,$T$61:$X$161,5)+$Y$51+$Z$44-$U$17&lt;0,999999999,VLOOKUP($AF213,$T$61:$X$161,2)+VLOOKUP(CO$142,$T$61:$X$161,$AF$141)+VLOOKUP(0,$T$61:$X$161,$AF$140)+VLOOKUP(0,$T$61:$X$161,5)+$Y$51+$Z$44-$U$17)</f>
        <v>999999999</v>
      </c>
      <c r="CP213" s="641">
        <f t="shared" si="125"/>
        <v>999999999</v>
      </c>
      <c r="CQ213" s="641">
        <f t="shared" si="125"/>
        <v>999999999</v>
      </c>
      <c r="CR213" s="641">
        <f t="shared" si="125"/>
        <v>999999999</v>
      </c>
      <c r="CS213" s="641">
        <f t="shared" si="125"/>
        <v>999999999</v>
      </c>
      <c r="CT213" s="641">
        <f t="shared" si="125"/>
        <v>999999999</v>
      </c>
      <c r="CU213" s="641">
        <f t="shared" si="125"/>
        <v>999999999</v>
      </c>
      <c r="CV213" s="641">
        <f t="shared" si="125"/>
        <v>999999999</v>
      </c>
      <c r="CW213" s="641">
        <f t="shared" si="125"/>
        <v>999999999</v>
      </c>
      <c r="CX213" s="641">
        <f t="shared" si="125"/>
        <v>999999999</v>
      </c>
      <c r="CY213" s="641">
        <f t="shared" ref="CY213:DH222" si="126">IF(VLOOKUP($AF213,$T$61:$X$161,2)+VLOOKUP(CY$142,$T$61:$X$161,$AF$141)+VLOOKUP(0,$T$61:$X$161,$AF$140)+VLOOKUP(0,$T$61:$X$161,5)+$Y$51+$Z$44-$U$17&lt;0,999999999,VLOOKUP($AF213,$T$61:$X$161,2)+VLOOKUP(CY$142,$T$61:$X$161,$AF$141)+VLOOKUP(0,$T$61:$X$161,$AF$140)+VLOOKUP(0,$T$61:$X$161,5)+$Y$51+$Z$44-$U$17)</f>
        <v>999999999</v>
      </c>
      <c r="CZ213" s="641">
        <f t="shared" si="126"/>
        <v>999999999</v>
      </c>
      <c r="DA213" s="641">
        <f t="shared" si="126"/>
        <v>999999999</v>
      </c>
      <c r="DB213" s="641">
        <f t="shared" si="126"/>
        <v>999999999</v>
      </c>
      <c r="DC213" s="641">
        <f t="shared" si="126"/>
        <v>999999999</v>
      </c>
      <c r="DD213" s="641">
        <f t="shared" si="126"/>
        <v>999999999</v>
      </c>
      <c r="DE213" s="641">
        <f t="shared" si="126"/>
        <v>999999999</v>
      </c>
      <c r="DF213" s="641">
        <f t="shared" si="126"/>
        <v>999999999</v>
      </c>
      <c r="DG213" s="641">
        <f t="shared" si="126"/>
        <v>999999999</v>
      </c>
      <c r="DH213" s="641">
        <f t="shared" si="126"/>
        <v>999999999</v>
      </c>
      <c r="DI213" s="641">
        <f t="shared" ref="DI213:DR222" si="127">IF(VLOOKUP($AF213,$T$61:$X$161,2)+VLOOKUP(DI$142,$T$61:$X$161,$AF$141)+VLOOKUP(0,$T$61:$X$161,$AF$140)+VLOOKUP(0,$T$61:$X$161,5)+$Y$51+$Z$44-$U$17&lt;0,999999999,VLOOKUP($AF213,$T$61:$X$161,2)+VLOOKUP(DI$142,$T$61:$X$161,$AF$141)+VLOOKUP(0,$T$61:$X$161,$AF$140)+VLOOKUP(0,$T$61:$X$161,5)+$Y$51+$Z$44-$U$17)</f>
        <v>999999999</v>
      </c>
      <c r="DJ213" s="641">
        <f t="shared" si="127"/>
        <v>999999999</v>
      </c>
      <c r="DK213" s="641">
        <f t="shared" si="127"/>
        <v>999999999</v>
      </c>
      <c r="DL213" s="641">
        <f t="shared" si="127"/>
        <v>999999999</v>
      </c>
      <c r="DM213" s="641">
        <f t="shared" si="127"/>
        <v>999999999</v>
      </c>
      <c r="DN213" s="641">
        <f t="shared" si="127"/>
        <v>999999999</v>
      </c>
      <c r="DO213" s="641">
        <f t="shared" si="127"/>
        <v>999999999</v>
      </c>
      <c r="DP213" s="641">
        <f t="shared" si="127"/>
        <v>999999999</v>
      </c>
      <c r="DQ213" s="641">
        <f t="shared" si="127"/>
        <v>999999999</v>
      </c>
      <c r="DR213" s="641">
        <f t="shared" si="127"/>
        <v>999999999</v>
      </c>
      <c r="DS213" s="641">
        <f t="shared" ref="DS213:EC222" si="128">IF(VLOOKUP($AF213,$T$61:$X$161,2)+VLOOKUP(DS$142,$T$61:$X$161,$AF$141)+VLOOKUP(0,$T$61:$X$161,$AF$140)+VLOOKUP(0,$T$61:$X$161,5)+$Y$51+$Z$44-$U$17&lt;0,999999999,VLOOKUP($AF213,$T$61:$X$161,2)+VLOOKUP(DS$142,$T$61:$X$161,$AF$141)+VLOOKUP(0,$T$61:$X$161,$AF$140)+VLOOKUP(0,$T$61:$X$161,5)+$Y$51+$Z$44-$U$17)</f>
        <v>999999999</v>
      </c>
      <c r="DT213" s="641">
        <f t="shared" si="128"/>
        <v>999999999</v>
      </c>
      <c r="DU213" s="641">
        <f t="shared" si="128"/>
        <v>999999999</v>
      </c>
      <c r="DV213" s="641">
        <f t="shared" si="128"/>
        <v>999999999</v>
      </c>
      <c r="DW213" s="641">
        <f t="shared" si="128"/>
        <v>999999999</v>
      </c>
      <c r="DX213" s="641">
        <f t="shared" si="128"/>
        <v>999999999</v>
      </c>
      <c r="DY213" s="641">
        <f t="shared" si="128"/>
        <v>999999999</v>
      </c>
      <c r="DZ213" s="641">
        <f t="shared" si="128"/>
        <v>999999999</v>
      </c>
      <c r="EA213" s="641">
        <f t="shared" si="128"/>
        <v>999999999</v>
      </c>
      <c r="EB213" s="641">
        <f t="shared" si="128"/>
        <v>999999999</v>
      </c>
      <c r="EC213" s="641">
        <f t="shared" si="128"/>
        <v>999999999</v>
      </c>
    </row>
    <row r="214" spans="28:133" ht="15.5">
      <c r="AB214" s="5">
        <f t="shared" si="118"/>
        <v>2</v>
      </c>
      <c r="AC214" s="128">
        <v>71</v>
      </c>
      <c r="AD214" s="129">
        <f t="shared" si="107"/>
        <v>8066.506604000002</v>
      </c>
      <c r="AF214" s="128">
        <v>71</v>
      </c>
      <c r="AG214" s="641">
        <f t="shared" si="119"/>
        <v>489661.50660399999</v>
      </c>
      <c r="AH214" s="641">
        <f t="shared" si="119"/>
        <v>426709.50660399999</v>
      </c>
      <c r="AI214" s="641">
        <f t="shared" si="119"/>
        <v>363757.50660399999</v>
      </c>
      <c r="AJ214" s="641">
        <f t="shared" si="119"/>
        <v>300805.50660399999</v>
      </c>
      <c r="AK214" s="641">
        <f t="shared" si="119"/>
        <v>237853.50660399999</v>
      </c>
      <c r="AL214" s="641">
        <f t="shared" si="119"/>
        <v>174901.50660399999</v>
      </c>
      <c r="AM214" s="641">
        <f t="shared" si="119"/>
        <v>112986.50660399999</v>
      </c>
      <c r="AN214" s="641">
        <f t="shared" si="119"/>
        <v>60526.506604000002</v>
      </c>
      <c r="AO214" s="641">
        <f t="shared" si="119"/>
        <v>8066.506604000002</v>
      </c>
      <c r="AP214" s="641">
        <f t="shared" si="119"/>
        <v>999999999</v>
      </c>
      <c r="AQ214" s="641">
        <f t="shared" si="120"/>
        <v>999999999</v>
      </c>
      <c r="AR214" s="641">
        <f t="shared" si="120"/>
        <v>999999999</v>
      </c>
      <c r="AS214" s="641">
        <f t="shared" si="120"/>
        <v>999999999</v>
      </c>
      <c r="AT214" s="641">
        <f t="shared" si="120"/>
        <v>999999999</v>
      </c>
      <c r="AU214" s="641">
        <f t="shared" si="120"/>
        <v>999999999</v>
      </c>
      <c r="AV214" s="641">
        <f t="shared" si="120"/>
        <v>999999999</v>
      </c>
      <c r="AW214" s="641">
        <f t="shared" si="120"/>
        <v>999999999</v>
      </c>
      <c r="AX214" s="641">
        <f t="shared" si="120"/>
        <v>999999999</v>
      </c>
      <c r="AY214" s="641">
        <f t="shared" si="120"/>
        <v>999999999</v>
      </c>
      <c r="AZ214" s="641">
        <f t="shared" si="120"/>
        <v>999999999</v>
      </c>
      <c r="BA214" s="641">
        <f t="shared" si="121"/>
        <v>999999999</v>
      </c>
      <c r="BB214" s="641">
        <f t="shared" si="121"/>
        <v>999999999</v>
      </c>
      <c r="BC214" s="641">
        <f t="shared" si="121"/>
        <v>999999999</v>
      </c>
      <c r="BD214" s="641">
        <f t="shared" si="121"/>
        <v>999999999</v>
      </c>
      <c r="BE214" s="641">
        <f t="shared" si="121"/>
        <v>999999999</v>
      </c>
      <c r="BF214" s="641">
        <f t="shared" si="121"/>
        <v>999999999</v>
      </c>
      <c r="BG214" s="641">
        <f t="shared" si="121"/>
        <v>999999999</v>
      </c>
      <c r="BH214" s="641">
        <f t="shared" si="121"/>
        <v>999999999</v>
      </c>
      <c r="BI214" s="641">
        <f t="shared" si="121"/>
        <v>999999999</v>
      </c>
      <c r="BJ214" s="641">
        <f t="shared" si="121"/>
        <v>999999999</v>
      </c>
      <c r="BK214" s="641">
        <f t="shared" si="122"/>
        <v>999999999</v>
      </c>
      <c r="BL214" s="641">
        <f t="shared" si="122"/>
        <v>999999999</v>
      </c>
      <c r="BM214" s="641">
        <f t="shared" si="122"/>
        <v>999999999</v>
      </c>
      <c r="BN214" s="641">
        <f t="shared" si="122"/>
        <v>999999999</v>
      </c>
      <c r="BO214" s="641">
        <f t="shared" si="122"/>
        <v>999999999</v>
      </c>
      <c r="BP214" s="641">
        <f t="shared" si="122"/>
        <v>999999999</v>
      </c>
      <c r="BQ214" s="641">
        <f t="shared" si="122"/>
        <v>999999999</v>
      </c>
      <c r="BR214" s="641">
        <f t="shared" si="122"/>
        <v>999999999</v>
      </c>
      <c r="BS214" s="641">
        <f t="shared" si="122"/>
        <v>999999999</v>
      </c>
      <c r="BT214" s="641">
        <f t="shared" si="122"/>
        <v>999999999</v>
      </c>
      <c r="BU214" s="641">
        <f t="shared" si="123"/>
        <v>999999999</v>
      </c>
      <c r="BV214" s="641">
        <f t="shared" si="123"/>
        <v>999999999</v>
      </c>
      <c r="BW214" s="641">
        <f t="shared" si="123"/>
        <v>999999999</v>
      </c>
      <c r="BX214" s="641">
        <f t="shared" si="123"/>
        <v>999999999</v>
      </c>
      <c r="BY214" s="641">
        <f t="shared" si="123"/>
        <v>999999999</v>
      </c>
      <c r="BZ214" s="641">
        <f t="shared" si="123"/>
        <v>999999999</v>
      </c>
      <c r="CA214" s="641">
        <f t="shared" si="123"/>
        <v>999999999</v>
      </c>
      <c r="CB214" s="641">
        <f t="shared" si="123"/>
        <v>999999999</v>
      </c>
      <c r="CC214" s="641">
        <f t="shared" si="123"/>
        <v>999999999</v>
      </c>
      <c r="CD214" s="641">
        <f t="shared" si="123"/>
        <v>999999999</v>
      </c>
      <c r="CE214" s="641">
        <f t="shared" si="124"/>
        <v>999999999</v>
      </c>
      <c r="CF214" s="641">
        <f t="shared" si="124"/>
        <v>999999999</v>
      </c>
      <c r="CG214" s="641">
        <f t="shared" si="124"/>
        <v>999999999</v>
      </c>
      <c r="CH214" s="641">
        <f t="shared" si="124"/>
        <v>999999999</v>
      </c>
      <c r="CI214" s="641">
        <f t="shared" si="124"/>
        <v>999999999</v>
      </c>
      <c r="CJ214" s="641">
        <f t="shared" si="124"/>
        <v>999999999</v>
      </c>
      <c r="CK214" s="641">
        <f t="shared" si="124"/>
        <v>999999999</v>
      </c>
      <c r="CL214" s="641">
        <f t="shared" si="124"/>
        <v>999999999</v>
      </c>
      <c r="CM214" s="641">
        <f t="shared" si="124"/>
        <v>999999999</v>
      </c>
      <c r="CN214" s="641">
        <f t="shared" si="124"/>
        <v>999999999</v>
      </c>
      <c r="CO214" s="641">
        <f t="shared" si="125"/>
        <v>999999999</v>
      </c>
      <c r="CP214" s="641">
        <f t="shared" si="125"/>
        <v>999999999</v>
      </c>
      <c r="CQ214" s="641">
        <f t="shared" si="125"/>
        <v>999999999</v>
      </c>
      <c r="CR214" s="641">
        <f t="shared" si="125"/>
        <v>999999999</v>
      </c>
      <c r="CS214" s="641">
        <f t="shared" si="125"/>
        <v>999999999</v>
      </c>
      <c r="CT214" s="641">
        <f t="shared" si="125"/>
        <v>999999999</v>
      </c>
      <c r="CU214" s="641">
        <f t="shared" si="125"/>
        <v>999999999</v>
      </c>
      <c r="CV214" s="641">
        <f t="shared" si="125"/>
        <v>999999999</v>
      </c>
      <c r="CW214" s="641">
        <f t="shared" si="125"/>
        <v>999999999</v>
      </c>
      <c r="CX214" s="641">
        <f t="shared" si="125"/>
        <v>999999999</v>
      </c>
      <c r="CY214" s="641">
        <f t="shared" si="126"/>
        <v>999999999</v>
      </c>
      <c r="CZ214" s="641">
        <f t="shared" si="126"/>
        <v>999999999</v>
      </c>
      <c r="DA214" s="641">
        <f t="shared" si="126"/>
        <v>999999999</v>
      </c>
      <c r="DB214" s="641">
        <f t="shared" si="126"/>
        <v>999999999</v>
      </c>
      <c r="DC214" s="641">
        <f t="shared" si="126"/>
        <v>999999999</v>
      </c>
      <c r="DD214" s="641">
        <f t="shared" si="126"/>
        <v>999999999</v>
      </c>
      <c r="DE214" s="641">
        <f t="shared" si="126"/>
        <v>999999999</v>
      </c>
      <c r="DF214" s="641">
        <f t="shared" si="126"/>
        <v>999999999</v>
      </c>
      <c r="DG214" s="641">
        <f t="shared" si="126"/>
        <v>999999999</v>
      </c>
      <c r="DH214" s="641">
        <f t="shared" si="126"/>
        <v>999999999</v>
      </c>
      <c r="DI214" s="641">
        <f t="shared" si="127"/>
        <v>999999999</v>
      </c>
      <c r="DJ214" s="641">
        <f t="shared" si="127"/>
        <v>999999999</v>
      </c>
      <c r="DK214" s="641">
        <f t="shared" si="127"/>
        <v>999999999</v>
      </c>
      <c r="DL214" s="641">
        <f t="shared" si="127"/>
        <v>999999999</v>
      </c>
      <c r="DM214" s="641">
        <f t="shared" si="127"/>
        <v>999999999</v>
      </c>
      <c r="DN214" s="641">
        <f t="shared" si="127"/>
        <v>999999999</v>
      </c>
      <c r="DO214" s="641">
        <f t="shared" si="127"/>
        <v>999999999</v>
      </c>
      <c r="DP214" s="641">
        <f t="shared" si="127"/>
        <v>999999999</v>
      </c>
      <c r="DQ214" s="641">
        <f t="shared" si="127"/>
        <v>999999999</v>
      </c>
      <c r="DR214" s="641">
        <f t="shared" si="127"/>
        <v>999999999</v>
      </c>
      <c r="DS214" s="641">
        <f t="shared" si="128"/>
        <v>999999999</v>
      </c>
      <c r="DT214" s="641">
        <f t="shared" si="128"/>
        <v>999999999</v>
      </c>
      <c r="DU214" s="641">
        <f t="shared" si="128"/>
        <v>999999999</v>
      </c>
      <c r="DV214" s="641">
        <f t="shared" si="128"/>
        <v>999999999</v>
      </c>
      <c r="DW214" s="641">
        <f t="shared" si="128"/>
        <v>999999999</v>
      </c>
      <c r="DX214" s="641">
        <f t="shared" si="128"/>
        <v>999999999</v>
      </c>
      <c r="DY214" s="641">
        <f t="shared" si="128"/>
        <v>999999999</v>
      </c>
      <c r="DZ214" s="641">
        <f t="shared" si="128"/>
        <v>999999999</v>
      </c>
      <c r="EA214" s="641">
        <f t="shared" si="128"/>
        <v>999999999</v>
      </c>
      <c r="EB214" s="641">
        <f t="shared" si="128"/>
        <v>999999999</v>
      </c>
      <c r="EC214" s="641">
        <f t="shared" si="128"/>
        <v>999999999</v>
      </c>
    </row>
    <row r="215" spans="28:133" ht="15.5">
      <c r="AB215" s="5">
        <f t="shared" si="118"/>
        <v>2</v>
      </c>
      <c r="AC215" s="128">
        <v>72</v>
      </c>
      <c r="AD215" s="129">
        <f t="shared" si="107"/>
        <v>8066.506604000002</v>
      </c>
      <c r="AF215" s="128">
        <v>72</v>
      </c>
      <c r="AG215" s="641">
        <f t="shared" si="119"/>
        <v>489661.50660399999</v>
      </c>
      <c r="AH215" s="641">
        <f t="shared" si="119"/>
        <v>426709.50660399999</v>
      </c>
      <c r="AI215" s="641">
        <f t="shared" si="119"/>
        <v>363757.50660399999</v>
      </c>
      <c r="AJ215" s="641">
        <f t="shared" si="119"/>
        <v>300805.50660399999</v>
      </c>
      <c r="AK215" s="641">
        <f t="shared" si="119"/>
        <v>237853.50660399999</v>
      </c>
      <c r="AL215" s="641">
        <f t="shared" si="119"/>
        <v>174901.50660399999</v>
      </c>
      <c r="AM215" s="641">
        <f t="shared" si="119"/>
        <v>112986.50660399999</v>
      </c>
      <c r="AN215" s="641">
        <f t="shared" si="119"/>
        <v>60526.506604000002</v>
      </c>
      <c r="AO215" s="641">
        <f t="shared" si="119"/>
        <v>8066.506604000002</v>
      </c>
      <c r="AP215" s="641">
        <f t="shared" si="119"/>
        <v>999999999</v>
      </c>
      <c r="AQ215" s="641">
        <f t="shared" si="120"/>
        <v>999999999</v>
      </c>
      <c r="AR215" s="641">
        <f t="shared" si="120"/>
        <v>999999999</v>
      </c>
      <c r="AS215" s="641">
        <f t="shared" si="120"/>
        <v>999999999</v>
      </c>
      <c r="AT215" s="641">
        <f t="shared" si="120"/>
        <v>999999999</v>
      </c>
      <c r="AU215" s="641">
        <f t="shared" si="120"/>
        <v>999999999</v>
      </c>
      <c r="AV215" s="641">
        <f t="shared" si="120"/>
        <v>999999999</v>
      </c>
      <c r="AW215" s="641">
        <f t="shared" si="120"/>
        <v>999999999</v>
      </c>
      <c r="AX215" s="641">
        <f t="shared" si="120"/>
        <v>999999999</v>
      </c>
      <c r="AY215" s="641">
        <f t="shared" si="120"/>
        <v>999999999</v>
      </c>
      <c r="AZ215" s="641">
        <f t="shared" si="120"/>
        <v>999999999</v>
      </c>
      <c r="BA215" s="641">
        <f t="shared" si="121"/>
        <v>999999999</v>
      </c>
      <c r="BB215" s="641">
        <f t="shared" si="121"/>
        <v>999999999</v>
      </c>
      <c r="BC215" s="641">
        <f t="shared" si="121"/>
        <v>999999999</v>
      </c>
      <c r="BD215" s="641">
        <f t="shared" si="121"/>
        <v>999999999</v>
      </c>
      <c r="BE215" s="641">
        <f t="shared" si="121"/>
        <v>999999999</v>
      </c>
      <c r="BF215" s="641">
        <f t="shared" si="121"/>
        <v>999999999</v>
      </c>
      <c r="BG215" s="641">
        <f t="shared" si="121"/>
        <v>999999999</v>
      </c>
      <c r="BH215" s="641">
        <f t="shared" si="121"/>
        <v>999999999</v>
      </c>
      <c r="BI215" s="641">
        <f t="shared" si="121"/>
        <v>999999999</v>
      </c>
      <c r="BJ215" s="641">
        <f t="shared" si="121"/>
        <v>999999999</v>
      </c>
      <c r="BK215" s="641">
        <f t="shared" si="122"/>
        <v>999999999</v>
      </c>
      <c r="BL215" s="641">
        <f t="shared" si="122"/>
        <v>999999999</v>
      </c>
      <c r="BM215" s="641">
        <f t="shared" si="122"/>
        <v>999999999</v>
      </c>
      <c r="BN215" s="641">
        <f t="shared" si="122"/>
        <v>999999999</v>
      </c>
      <c r="BO215" s="641">
        <f t="shared" si="122"/>
        <v>999999999</v>
      </c>
      <c r="BP215" s="641">
        <f t="shared" si="122"/>
        <v>999999999</v>
      </c>
      <c r="BQ215" s="641">
        <f t="shared" si="122"/>
        <v>999999999</v>
      </c>
      <c r="BR215" s="641">
        <f t="shared" si="122"/>
        <v>999999999</v>
      </c>
      <c r="BS215" s="641">
        <f t="shared" si="122"/>
        <v>999999999</v>
      </c>
      <c r="BT215" s="641">
        <f t="shared" si="122"/>
        <v>999999999</v>
      </c>
      <c r="BU215" s="641">
        <f t="shared" si="123"/>
        <v>999999999</v>
      </c>
      <c r="BV215" s="641">
        <f t="shared" si="123"/>
        <v>999999999</v>
      </c>
      <c r="BW215" s="641">
        <f t="shared" si="123"/>
        <v>999999999</v>
      </c>
      <c r="BX215" s="641">
        <f t="shared" si="123"/>
        <v>999999999</v>
      </c>
      <c r="BY215" s="641">
        <f t="shared" si="123"/>
        <v>999999999</v>
      </c>
      <c r="BZ215" s="641">
        <f t="shared" si="123"/>
        <v>999999999</v>
      </c>
      <c r="CA215" s="641">
        <f t="shared" si="123"/>
        <v>999999999</v>
      </c>
      <c r="CB215" s="641">
        <f t="shared" si="123"/>
        <v>999999999</v>
      </c>
      <c r="CC215" s="641">
        <f t="shared" si="123"/>
        <v>999999999</v>
      </c>
      <c r="CD215" s="641">
        <f t="shared" si="123"/>
        <v>999999999</v>
      </c>
      <c r="CE215" s="641">
        <f t="shared" si="124"/>
        <v>999999999</v>
      </c>
      <c r="CF215" s="641">
        <f t="shared" si="124"/>
        <v>999999999</v>
      </c>
      <c r="CG215" s="641">
        <f t="shared" si="124"/>
        <v>999999999</v>
      </c>
      <c r="CH215" s="641">
        <f t="shared" si="124"/>
        <v>999999999</v>
      </c>
      <c r="CI215" s="641">
        <f t="shared" si="124"/>
        <v>999999999</v>
      </c>
      <c r="CJ215" s="641">
        <f t="shared" si="124"/>
        <v>999999999</v>
      </c>
      <c r="CK215" s="641">
        <f t="shared" si="124"/>
        <v>999999999</v>
      </c>
      <c r="CL215" s="641">
        <f t="shared" si="124"/>
        <v>999999999</v>
      </c>
      <c r="CM215" s="641">
        <f t="shared" si="124"/>
        <v>999999999</v>
      </c>
      <c r="CN215" s="641">
        <f t="shared" si="124"/>
        <v>999999999</v>
      </c>
      <c r="CO215" s="641">
        <f t="shared" si="125"/>
        <v>999999999</v>
      </c>
      <c r="CP215" s="641">
        <f t="shared" si="125"/>
        <v>999999999</v>
      </c>
      <c r="CQ215" s="641">
        <f t="shared" si="125"/>
        <v>999999999</v>
      </c>
      <c r="CR215" s="641">
        <f t="shared" si="125"/>
        <v>999999999</v>
      </c>
      <c r="CS215" s="641">
        <f t="shared" si="125"/>
        <v>999999999</v>
      </c>
      <c r="CT215" s="641">
        <f t="shared" si="125"/>
        <v>999999999</v>
      </c>
      <c r="CU215" s="641">
        <f t="shared" si="125"/>
        <v>999999999</v>
      </c>
      <c r="CV215" s="641">
        <f t="shared" si="125"/>
        <v>999999999</v>
      </c>
      <c r="CW215" s="641">
        <f t="shared" si="125"/>
        <v>999999999</v>
      </c>
      <c r="CX215" s="641">
        <f t="shared" si="125"/>
        <v>999999999</v>
      </c>
      <c r="CY215" s="641">
        <f t="shared" si="126"/>
        <v>999999999</v>
      </c>
      <c r="CZ215" s="641">
        <f t="shared" si="126"/>
        <v>999999999</v>
      </c>
      <c r="DA215" s="641">
        <f t="shared" si="126"/>
        <v>999999999</v>
      </c>
      <c r="DB215" s="641">
        <f t="shared" si="126"/>
        <v>999999999</v>
      </c>
      <c r="DC215" s="641">
        <f t="shared" si="126"/>
        <v>999999999</v>
      </c>
      <c r="DD215" s="641">
        <f t="shared" si="126"/>
        <v>999999999</v>
      </c>
      <c r="DE215" s="641">
        <f t="shared" si="126"/>
        <v>999999999</v>
      </c>
      <c r="DF215" s="641">
        <f t="shared" si="126"/>
        <v>999999999</v>
      </c>
      <c r="DG215" s="641">
        <f t="shared" si="126"/>
        <v>999999999</v>
      </c>
      <c r="DH215" s="641">
        <f t="shared" si="126"/>
        <v>999999999</v>
      </c>
      <c r="DI215" s="641">
        <f t="shared" si="127"/>
        <v>999999999</v>
      </c>
      <c r="DJ215" s="641">
        <f t="shared" si="127"/>
        <v>999999999</v>
      </c>
      <c r="DK215" s="641">
        <f t="shared" si="127"/>
        <v>999999999</v>
      </c>
      <c r="DL215" s="641">
        <f t="shared" si="127"/>
        <v>999999999</v>
      </c>
      <c r="DM215" s="641">
        <f t="shared" si="127"/>
        <v>999999999</v>
      </c>
      <c r="DN215" s="641">
        <f t="shared" si="127"/>
        <v>999999999</v>
      </c>
      <c r="DO215" s="641">
        <f t="shared" si="127"/>
        <v>999999999</v>
      </c>
      <c r="DP215" s="641">
        <f t="shared" si="127"/>
        <v>999999999</v>
      </c>
      <c r="DQ215" s="641">
        <f t="shared" si="127"/>
        <v>999999999</v>
      </c>
      <c r="DR215" s="641">
        <f t="shared" si="127"/>
        <v>999999999</v>
      </c>
      <c r="DS215" s="641">
        <f t="shared" si="128"/>
        <v>999999999</v>
      </c>
      <c r="DT215" s="641">
        <f t="shared" si="128"/>
        <v>999999999</v>
      </c>
      <c r="DU215" s="641">
        <f t="shared" si="128"/>
        <v>999999999</v>
      </c>
      <c r="DV215" s="641">
        <f t="shared" si="128"/>
        <v>999999999</v>
      </c>
      <c r="DW215" s="641">
        <f t="shared" si="128"/>
        <v>999999999</v>
      </c>
      <c r="DX215" s="641">
        <f t="shared" si="128"/>
        <v>999999999</v>
      </c>
      <c r="DY215" s="641">
        <f t="shared" si="128"/>
        <v>999999999</v>
      </c>
      <c r="DZ215" s="641">
        <f t="shared" si="128"/>
        <v>999999999</v>
      </c>
      <c r="EA215" s="641">
        <f t="shared" si="128"/>
        <v>999999999</v>
      </c>
      <c r="EB215" s="641">
        <f t="shared" si="128"/>
        <v>999999999</v>
      </c>
      <c r="EC215" s="641">
        <f t="shared" si="128"/>
        <v>999999999</v>
      </c>
    </row>
    <row r="216" spans="28:133" ht="15.5">
      <c r="AB216" s="5">
        <f t="shared" si="118"/>
        <v>2</v>
      </c>
      <c r="AC216" s="128">
        <v>73</v>
      </c>
      <c r="AD216" s="129">
        <f t="shared" si="107"/>
        <v>8066.506604000002</v>
      </c>
      <c r="AF216" s="128">
        <v>73</v>
      </c>
      <c r="AG216" s="641">
        <f t="shared" si="119"/>
        <v>489661.50660399999</v>
      </c>
      <c r="AH216" s="641">
        <f t="shared" si="119"/>
        <v>426709.50660399999</v>
      </c>
      <c r="AI216" s="641">
        <f t="shared" si="119"/>
        <v>363757.50660399999</v>
      </c>
      <c r="AJ216" s="641">
        <f t="shared" si="119"/>
        <v>300805.50660399999</v>
      </c>
      <c r="AK216" s="641">
        <f t="shared" si="119"/>
        <v>237853.50660399999</v>
      </c>
      <c r="AL216" s="641">
        <f t="shared" si="119"/>
        <v>174901.50660399999</v>
      </c>
      <c r="AM216" s="641">
        <f t="shared" si="119"/>
        <v>112986.50660399999</v>
      </c>
      <c r="AN216" s="641">
        <f t="shared" si="119"/>
        <v>60526.506604000002</v>
      </c>
      <c r="AO216" s="641">
        <f t="shared" si="119"/>
        <v>8066.506604000002</v>
      </c>
      <c r="AP216" s="641">
        <f t="shared" si="119"/>
        <v>999999999</v>
      </c>
      <c r="AQ216" s="641">
        <f t="shared" si="120"/>
        <v>999999999</v>
      </c>
      <c r="AR216" s="641">
        <f t="shared" si="120"/>
        <v>999999999</v>
      </c>
      <c r="AS216" s="641">
        <f t="shared" si="120"/>
        <v>999999999</v>
      </c>
      <c r="AT216" s="641">
        <f t="shared" si="120"/>
        <v>999999999</v>
      </c>
      <c r="AU216" s="641">
        <f t="shared" si="120"/>
        <v>999999999</v>
      </c>
      <c r="AV216" s="641">
        <f t="shared" si="120"/>
        <v>999999999</v>
      </c>
      <c r="AW216" s="641">
        <f t="shared" si="120"/>
        <v>999999999</v>
      </c>
      <c r="AX216" s="641">
        <f t="shared" si="120"/>
        <v>999999999</v>
      </c>
      <c r="AY216" s="641">
        <f t="shared" si="120"/>
        <v>999999999</v>
      </c>
      <c r="AZ216" s="641">
        <f t="shared" si="120"/>
        <v>999999999</v>
      </c>
      <c r="BA216" s="641">
        <f t="shared" si="121"/>
        <v>999999999</v>
      </c>
      <c r="BB216" s="641">
        <f t="shared" si="121"/>
        <v>999999999</v>
      </c>
      <c r="BC216" s="641">
        <f t="shared" si="121"/>
        <v>999999999</v>
      </c>
      <c r="BD216" s="641">
        <f t="shared" si="121"/>
        <v>999999999</v>
      </c>
      <c r="BE216" s="641">
        <f t="shared" si="121"/>
        <v>999999999</v>
      </c>
      <c r="BF216" s="641">
        <f t="shared" si="121"/>
        <v>999999999</v>
      </c>
      <c r="BG216" s="641">
        <f t="shared" si="121"/>
        <v>999999999</v>
      </c>
      <c r="BH216" s="641">
        <f t="shared" si="121"/>
        <v>999999999</v>
      </c>
      <c r="BI216" s="641">
        <f t="shared" si="121"/>
        <v>999999999</v>
      </c>
      <c r="BJ216" s="641">
        <f t="shared" si="121"/>
        <v>999999999</v>
      </c>
      <c r="BK216" s="641">
        <f t="shared" si="122"/>
        <v>999999999</v>
      </c>
      <c r="BL216" s="641">
        <f t="shared" si="122"/>
        <v>999999999</v>
      </c>
      <c r="BM216" s="641">
        <f t="shared" si="122"/>
        <v>999999999</v>
      </c>
      <c r="BN216" s="641">
        <f t="shared" si="122"/>
        <v>999999999</v>
      </c>
      <c r="BO216" s="641">
        <f t="shared" si="122"/>
        <v>999999999</v>
      </c>
      <c r="BP216" s="641">
        <f t="shared" si="122"/>
        <v>999999999</v>
      </c>
      <c r="BQ216" s="641">
        <f t="shared" si="122"/>
        <v>999999999</v>
      </c>
      <c r="BR216" s="641">
        <f t="shared" si="122"/>
        <v>999999999</v>
      </c>
      <c r="BS216" s="641">
        <f t="shared" si="122"/>
        <v>999999999</v>
      </c>
      <c r="BT216" s="641">
        <f t="shared" si="122"/>
        <v>999999999</v>
      </c>
      <c r="BU216" s="641">
        <f t="shared" si="123"/>
        <v>999999999</v>
      </c>
      <c r="BV216" s="641">
        <f t="shared" si="123"/>
        <v>999999999</v>
      </c>
      <c r="BW216" s="641">
        <f t="shared" si="123"/>
        <v>999999999</v>
      </c>
      <c r="BX216" s="641">
        <f t="shared" si="123"/>
        <v>999999999</v>
      </c>
      <c r="BY216" s="641">
        <f t="shared" si="123"/>
        <v>999999999</v>
      </c>
      <c r="BZ216" s="641">
        <f t="shared" si="123"/>
        <v>999999999</v>
      </c>
      <c r="CA216" s="641">
        <f t="shared" si="123"/>
        <v>999999999</v>
      </c>
      <c r="CB216" s="641">
        <f t="shared" si="123"/>
        <v>999999999</v>
      </c>
      <c r="CC216" s="641">
        <f t="shared" si="123"/>
        <v>999999999</v>
      </c>
      <c r="CD216" s="641">
        <f t="shared" si="123"/>
        <v>999999999</v>
      </c>
      <c r="CE216" s="641">
        <f t="shared" si="124"/>
        <v>999999999</v>
      </c>
      <c r="CF216" s="641">
        <f t="shared" si="124"/>
        <v>999999999</v>
      </c>
      <c r="CG216" s="641">
        <f t="shared" si="124"/>
        <v>999999999</v>
      </c>
      <c r="CH216" s="641">
        <f t="shared" si="124"/>
        <v>999999999</v>
      </c>
      <c r="CI216" s="641">
        <f t="shared" si="124"/>
        <v>999999999</v>
      </c>
      <c r="CJ216" s="641">
        <f t="shared" si="124"/>
        <v>999999999</v>
      </c>
      <c r="CK216" s="641">
        <f t="shared" si="124"/>
        <v>999999999</v>
      </c>
      <c r="CL216" s="641">
        <f t="shared" si="124"/>
        <v>999999999</v>
      </c>
      <c r="CM216" s="641">
        <f t="shared" si="124"/>
        <v>999999999</v>
      </c>
      <c r="CN216" s="641">
        <f t="shared" si="124"/>
        <v>999999999</v>
      </c>
      <c r="CO216" s="641">
        <f t="shared" si="125"/>
        <v>999999999</v>
      </c>
      <c r="CP216" s="641">
        <f t="shared" si="125"/>
        <v>999999999</v>
      </c>
      <c r="CQ216" s="641">
        <f t="shared" si="125"/>
        <v>999999999</v>
      </c>
      <c r="CR216" s="641">
        <f t="shared" si="125"/>
        <v>999999999</v>
      </c>
      <c r="CS216" s="641">
        <f t="shared" si="125"/>
        <v>999999999</v>
      </c>
      <c r="CT216" s="641">
        <f t="shared" si="125"/>
        <v>999999999</v>
      </c>
      <c r="CU216" s="641">
        <f t="shared" si="125"/>
        <v>999999999</v>
      </c>
      <c r="CV216" s="641">
        <f t="shared" si="125"/>
        <v>999999999</v>
      </c>
      <c r="CW216" s="641">
        <f t="shared" si="125"/>
        <v>999999999</v>
      </c>
      <c r="CX216" s="641">
        <f t="shared" si="125"/>
        <v>999999999</v>
      </c>
      <c r="CY216" s="641">
        <f t="shared" si="126"/>
        <v>999999999</v>
      </c>
      <c r="CZ216" s="641">
        <f t="shared" si="126"/>
        <v>999999999</v>
      </c>
      <c r="DA216" s="641">
        <f t="shared" si="126"/>
        <v>999999999</v>
      </c>
      <c r="DB216" s="641">
        <f t="shared" si="126"/>
        <v>999999999</v>
      </c>
      <c r="DC216" s="641">
        <f t="shared" si="126"/>
        <v>999999999</v>
      </c>
      <c r="DD216" s="641">
        <f t="shared" si="126"/>
        <v>999999999</v>
      </c>
      <c r="DE216" s="641">
        <f t="shared" si="126"/>
        <v>999999999</v>
      </c>
      <c r="DF216" s="641">
        <f t="shared" si="126"/>
        <v>999999999</v>
      </c>
      <c r="DG216" s="641">
        <f t="shared" si="126"/>
        <v>999999999</v>
      </c>
      <c r="DH216" s="641">
        <f t="shared" si="126"/>
        <v>999999999</v>
      </c>
      <c r="DI216" s="641">
        <f t="shared" si="127"/>
        <v>999999999</v>
      </c>
      <c r="DJ216" s="641">
        <f t="shared" si="127"/>
        <v>999999999</v>
      </c>
      <c r="DK216" s="641">
        <f t="shared" si="127"/>
        <v>999999999</v>
      </c>
      <c r="DL216" s="641">
        <f t="shared" si="127"/>
        <v>999999999</v>
      </c>
      <c r="DM216" s="641">
        <f t="shared" si="127"/>
        <v>999999999</v>
      </c>
      <c r="DN216" s="641">
        <f t="shared" si="127"/>
        <v>999999999</v>
      </c>
      <c r="DO216" s="641">
        <f t="shared" si="127"/>
        <v>999999999</v>
      </c>
      <c r="DP216" s="641">
        <f t="shared" si="127"/>
        <v>999999999</v>
      </c>
      <c r="DQ216" s="641">
        <f t="shared" si="127"/>
        <v>999999999</v>
      </c>
      <c r="DR216" s="641">
        <f t="shared" si="127"/>
        <v>999999999</v>
      </c>
      <c r="DS216" s="641">
        <f t="shared" si="128"/>
        <v>999999999</v>
      </c>
      <c r="DT216" s="641">
        <f t="shared" si="128"/>
        <v>999999999</v>
      </c>
      <c r="DU216" s="641">
        <f t="shared" si="128"/>
        <v>999999999</v>
      </c>
      <c r="DV216" s="641">
        <f t="shared" si="128"/>
        <v>999999999</v>
      </c>
      <c r="DW216" s="641">
        <f t="shared" si="128"/>
        <v>999999999</v>
      </c>
      <c r="DX216" s="641">
        <f t="shared" si="128"/>
        <v>999999999</v>
      </c>
      <c r="DY216" s="641">
        <f t="shared" si="128"/>
        <v>999999999</v>
      </c>
      <c r="DZ216" s="641">
        <f t="shared" si="128"/>
        <v>999999999</v>
      </c>
      <c r="EA216" s="641">
        <f t="shared" si="128"/>
        <v>999999999</v>
      </c>
      <c r="EB216" s="641">
        <f t="shared" si="128"/>
        <v>999999999</v>
      </c>
      <c r="EC216" s="641">
        <f t="shared" si="128"/>
        <v>999999999</v>
      </c>
    </row>
    <row r="217" spans="28:133" ht="15.5">
      <c r="AB217" s="5">
        <f t="shared" si="118"/>
        <v>2</v>
      </c>
      <c r="AC217" s="128">
        <v>74</v>
      </c>
      <c r="AD217" s="129">
        <f t="shared" si="107"/>
        <v>8066.506604000002</v>
      </c>
      <c r="AF217" s="128">
        <v>74</v>
      </c>
      <c r="AG217" s="641">
        <f t="shared" si="119"/>
        <v>489661.50660399999</v>
      </c>
      <c r="AH217" s="641">
        <f t="shared" si="119"/>
        <v>426709.50660399999</v>
      </c>
      <c r="AI217" s="641">
        <f t="shared" si="119"/>
        <v>363757.50660399999</v>
      </c>
      <c r="AJ217" s="641">
        <f t="shared" si="119"/>
        <v>300805.50660399999</v>
      </c>
      <c r="AK217" s="641">
        <f t="shared" si="119"/>
        <v>237853.50660399999</v>
      </c>
      <c r="AL217" s="641">
        <f t="shared" si="119"/>
        <v>174901.50660399999</v>
      </c>
      <c r="AM217" s="641">
        <f t="shared" si="119"/>
        <v>112986.50660399999</v>
      </c>
      <c r="AN217" s="641">
        <f t="shared" si="119"/>
        <v>60526.506604000002</v>
      </c>
      <c r="AO217" s="641">
        <f t="shared" si="119"/>
        <v>8066.506604000002</v>
      </c>
      <c r="AP217" s="641">
        <f t="shared" si="119"/>
        <v>999999999</v>
      </c>
      <c r="AQ217" s="641">
        <f t="shared" si="120"/>
        <v>999999999</v>
      </c>
      <c r="AR217" s="641">
        <f t="shared" si="120"/>
        <v>999999999</v>
      </c>
      <c r="AS217" s="641">
        <f t="shared" si="120"/>
        <v>999999999</v>
      </c>
      <c r="AT217" s="641">
        <f t="shared" si="120"/>
        <v>999999999</v>
      </c>
      <c r="AU217" s="641">
        <f t="shared" si="120"/>
        <v>999999999</v>
      </c>
      <c r="AV217" s="641">
        <f t="shared" si="120"/>
        <v>999999999</v>
      </c>
      <c r="AW217" s="641">
        <f t="shared" si="120"/>
        <v>999999999</v>
      </c>
      <c r="AX217" s="641">
        <f t="shared" si="120"/>
        <v>999999999</v>
      </c>
      <c r="AY217" s="641">
        <f t="shared" si="120"/>
        <v>999999999</v>
      </c>
      <c r="AZ217" s="641">
        <f t="shared" si="120"/>
        <v>999999999</v>
      </c>
      <c r="BA217" s="641">
        <f t="shared" si="121"/>
        <v>999999999</v>
      </c>
      <c r="BB217" s="641">
        <f t="shared" si="121"/>
        <v>999999999</v>
      </c>
      <c r="BC217" s="641">
        <f t="shared" si="121"/>
        <v>999999999</v>
      </c>
      <c r="BD217" s="641">
        <f t="shared" si="121"/>
        <v>999999999</v>
      </c>
      <c r="BE217" s="641">
        <f t="shared" si="121"/>
        <v>999999999</v>
      </c>
      <c r="BF217" s="641">
        <f t="shared" si="121"/>
        <v>999999999</v>
      </c>
      <c r="BG217" s="641">
        <f t="shared" si="121"/>
        <v>999999999</v>
      </c>
      <c r="BH217" s="641">
        <f t="shared" si="121"/>
        <v>999999999</v>
      </c>
      <c r="BI217" s="641">
        <f t="shared" si="121"/>
        <v>999999999</v>
      </c>
      <c r="BJ217" s="641">
        <f t="shared" si="121"/>
        <v>999999999</v>
      </c>
      <c r="BK217" s="641">
        <f t="shared" si="122"/>
        <v>999999999</v>
      </c>
      <c r="BL217" s="641">
        <f t="shared" si="122"/>
        <v>999999999</v>
      </c>
      <c r="BM217" s="641">
        <f t="shared" si="122"/>
        <v>999999999</v>
      </c>
      <c r="BN217" s="641">
        <f t="shared" si="122"/>
        <v>999999999</v>
      </c>
      <c r="BO217" s="641">
        <f t="shared" si="122"/>
        <v>999999999</v>
      </c>
      <c r="BP217" s="641">
        <f t="shared" si="122"/>
        <v>999999999</v>
      </c>
      <c r="BQ217" s="641">
        <f t="shared" si="122"/>
        <v>999999999</v>
      </c>
      <c r="BR217" s="641">
        <f t="shared" si="122"/>
        <v>999999999</v>
      </c>
      <c r="BS217" s="641">
        <f t="shared" si="122"/>
        <v>999999999</v>
      </c>
      <c r="BT217" s="641">
        <f t="shared" si="122"/>
        <v>999999999</v>
      </c>
      <c r="BU217" s="641">
        <f t="shared" si="123"/>
        <v>999999999</v>
      </c>
      <c r="BV217" s="641">
        <f t="shared" si="123"/>
        <v>999999999</v>
      </c>
      <c r="BW217" s="641">
        <f t="shared" si="123"/>
        <v>999999999</v>
      </c>
      <c r="BX217" s="641">
        <f t="shared" si="123"/>
        <v>999999999</v>
      </c>
      <c r="BY217" s="641">
        <f t="shared" si="123"/>
        <v>999999999</v>
      </c>
      <c r="BZ217" s="641">
        <f t="shared" si="123"/>
        <v>999999999</v>
      </c>
      <c r="CA217" s="641">
        <f t="shared" si="123"/>
        <v>999999999</v>
      </c>
      <c r="CB217" s="641">
        <f t="shared" si="123"/>
        <v>999999999</v>
      </c>
      <c r="CC217" s="641">
        <f t="shared" si="123"/>
        <v>999999999</v>
      </c>
      <c r="CD217" s="641">
        <f t="shared" si="123"/>
        <v>999999999</v>
      </c>
      <c r="CE217" s="641">
        <f t="shared" si="124"/>
        <v>999999999</v>
      </c>
      <c r="CF217" s="641">
        <f t="shared" si="124"/>
        <v>999999999</v>
      </c>
      <c r="CG217" s="641">
        <f t="shared" si="124"/>
        <v>999999999</v>
      </c>
      <c r="CH217" s="641">
        <f t="shared" si="124"/>
        <v>999999999</v>
      </c>
      <c r="CI217" s="641">
        <f t="shared" si="124"/>
        <v>999999999</v>
      </c>
      <c r="CJ217" s="641">
        <f t="shared" si="124"/>
        <v>999999999</v>
      </c>
      <c r="CK217" s="641">
        <f t="shared" si="124"/>
        <v>999999999</v>
      </c>
      <c r="CL217" s="641">
        <f t="shared" si="124"/>
        <v>999999999</v>
      </c>
      <c r="CM217" s="641">
        <f t="shared" si="124"/>
        <v>999999999</v>
      </c>
      <c r="CN217" s="641">
        <f t="shared" si="124"/>
        <v>999999999</v>
      </c>
      <c r="CO217" s="641">
        <f t="shared" si="125"/>
        <v>999999999</v>
      </c>
      <c r="CP217" s="641">
        <f t="shared" si="125"/>
        <v>999999999</v>
      </c>
      <c r="CQ217" s="641">
        <f t="shared" si="125"/>
        <v>999999999</v>
      </c>
      <c r="CR217" s="641">
        <f t="shared" si="125"/>
        <v>999999999</v>
      </c>
      <c r="CS217" s="641">
        <f t="shared" si="125"/>
        <v>999999999</v>
      </c>
      <c r="CT217" s="641">
        <f t="shared" si="125"/>
        <v>999999999</v>
      </c>
      <c r="CU217" s="641">
        <f t="shared" si="125"/>
        <v>999999999</v>
      </c>
      <c r="CV217" s="641">
        <f t="shared" si="125"/>
        <v>999999999</v>
      </c>
      <c r="CW217" s="641">
        <f t="shared" si="125"/>
        <v>999999999</v>
      </c>
      <c r="CX217" s="641">
        <f t="shared" si="125"/>
        <v>999999999</v>
      </c>
      <c r="CY217" s="641">
        <f t="shared" si="126"/>
        <v>999999999</v>
      </c>
      <c r="CZ217" s="641">
        <f t="shared" si="126"/>
        <v>999999999</v>
      </c>
      <c r="DA217" s="641">
        <f t="shared" si="126"/>
        <v>999999999</v>
      </c>
      <c r="DB217" s="641">
        <f t="shared" si="126"/>
        <v>999999999</v>
      </c>
      <c r="DC217" s="641">
        <f t="shared" si="126"/>
        <v>999999999</v>
      </c>
      <c r="DD217" s="641">
        <f t="shared" si="126"/>
        <v>999999999</v>
      </c>
      <c r="DE217" s="641">
        <f t="shared" si="126"/>
        <v>999999999</v>
      </c>
      <c r="DF217" s="641">
        <f t="shared" si="126"/>
        <v>999999999</v>
      </c>
      <c r="DG217" s="641">
        <f t="shared" si="126"/>
        <v>999999999</v>
      </c>
      <c r="DH217" s="641">
        <f t="shared" si="126"/>
        <v>999999999</v>
      </c>
      <c r="DI217" s="641">
        <f t="shared" si="127"/>
        <v>999999999</v>
      </c>
      <c r="DJ217" s="641">
        <f t="shared" si="127"/>
        <v>999999999</v>
      </c>
      <c r="DK217" s="641">
        <f t="shared" si="127"/>
        <v>999999999</v>
      </c>
      <c r="DL217" s="641">
        <f t="shared" si="127"/>
        <v>999999999</v>
      </c>
      <c r="DM217" s="641">
        <f t="shared" si="127"/>
        <v>999999999</v>
      </c>
      <c r="DN217" s="641">
        <f t="shared" si="127"/>
        <v>999999999</v>
      </c>
      <c r="DO217" s="641">
        <f t="shared" si="127"/>
        <v>999999999</v>
      </c>
      <c r="DP217" s="641">
        <f t="shared" si="127"/>
        <v>999999999</v>
      </c>
      <c r="DQ217" s="641">
        <f t="shared" si="127"/>
        <v>999999999</v>
      </c>
      <c r="DR217" s="641">
        <f t="shared" si="127"/>
        <v>999999999</v>
      </c>
      <c r="DS217" s="641">
        <f t="shared" si="128"/>
        <v>999999999</v>
      </c>
      <c r="DT217" s="641">
        <f t="shared" si="128"/>
        <v>999999999</v>
      </c>
      <c r="DU217" s="641">
        <f t="shared" si="128"/>
        <v>999999999</v>
      </c>
      <c r="DV217" s="641">
        <f t="shared" si="128"/>
        <v>999999999</v>
      </c>
      <c r="DW217" s="641">
        <f t="shared" si="128"/>
        <v>999999999</v>
      </c>
      <c r="DX217" s="641">
        <f t="shared" si="128"/>
        <v>999999999</v>
      </c>
      <c r="DY217" s="641">
        <f t="shared" si="128"/>
        <v>999999999</v>
      </c>
      <c r="DZ217" s="641">
        <f t="shared" si="128"/>
        <v>999999999</v>
      </c>
      <c r="EA217" s="641">
        <f t="shared" si="128"/>
        <v>999999999</v>
      </c>
      <c r="EB217" s="641">
        <f t="shared" si="128"/>
        <v>999999999</v>
      </c>
      <c r="EC217" s="641">
        <f t="shared" si="128"/>
        <v>999999999</v>
      </c>
    </row>
    <row r="218" spans="28:133" ht="15.5">
      <c r="AB218" s="5">
        <f t="shared" si="118"/>
        <v>2</v>
      </c>
      <c r="AC218" s="128">
        <v>75</v>
      </c>
      <c r="AD218" s="129">
        <f t="shared" si="107"/>
        <v>8066.506604000002</v>
      </c>
      <c r="AF218" s="128">
        <v>75</v>
      </c>
      <c r="AG218" s="641">
        <f t="shared" si="119"/>
        <v>489661.50660399999</v>
      </c>
      <c r="AH218" s="641">
        <f t="shared" si="119"/>
        <v>426709.50660399999</v>
      </c>
      <c r="AI218" s="641">
        <f t="shared" si="119"/>
        <v>363757.50660399999</v>
      </c>
      <c r="AJ218" s="641">
        <f t="shared" si="119"/>
        <v>300805.50660399999</v>
      </c>
      <c r="AK218" s="641">
        <f t="shared" si="119"/>
        <v>237853.50660399999</v>
      </c>
      <c r="AL218" s="641">
        <f t="shared" si="119"/>
        <v>174901.50660399999</v>
      </c>
      <c r="AM218" s="641">
        <f t="shared" si="119"/>
        <v>112986.50660399999</v>
      </c>
      <c r="AN218" s="641">
        <f t="shared" si="119"/>
        <v>60526.506604000002</v>
      </c>
      <c r="AO218" s="641">
        <f t="shared" si="119"/>
        <v>8066.506604000002</v>
      </c>
      <c r="AP218" s="641">
        <f t="shared" si="119"/>
        <v>999999999</v>
      </c>
      <c r="AQ218" s="641">
        <f t="shared" si="120"/>
        <v>999999999</v>
      </c>
      <c r="AR218" s="641">
        <f t="shared" si="120"/>
        <v>999999999</v>
      </c>
      <c r="AS218" s="641">
        <f t="shared" si="120"/>
        <v>999999999</v>
      </c>
      <c r="AT218" s="641">
        <f t="shared" si="120"/>
        <v>999999999</v>
      </c>
      <c r="AU218" s="641">
        <f t="shared" si="120"/>
        <v>999999999</v>
      </c>
      <c r="AV218" s="641">
        <f t="shared" si="120"/>
        <v>999999999</v>
      </c>
      <c r="AW218" s="641">
        <f t="shared" si="120"/>
        <v>999999999</v>
      </c>
      <c r="AX218" s="641">
        <f t="shared" si="120"/>
        <v>999999999</v>
      </c>
      <c r="AY218" s="641">
        <f t="shared" si="120"/>
        <v>999999999</v>
      </c>
      <c r="AZ218" s="641">
        <f t="shared" si="120"/>
        <v>999999999</v>
      </c>
      <c r="BA218" s="641">
        <f t="shared" si="121"/>
        <v>999999999</v>
      </c>
      <c r="BB218" s="641">
        <f t="shared" si="121"/>
        <v>999999999</v>
      </c>
      <c r="BC218" s="641">
        <f t="shared" si="121"/>
        <v>999999999</v>
      </c>
      <c r="BD218" s="641">
        <f t="shared" si="121"/>
        <v>999999999</v>
      </c>
      <c r="BE218" s="641">
        <f t="shared" si="121"/>
        <v>999999999</v>
      </c>
      <c r="BF218" s="641">
        <f t="shared" si="121"/>
        <v>999999999</v>
      </c>
      <c r="BG218" s="641">
        <f t="shared" si="121"/>
        <v>999999999</v>
      </c>
      <c r="BH218" s="641">
        <f t="shared" si="121"/>
        <v>999999999</v>
      </c>
      <c r="BI218" s="641">
        <f t="shared" si="121"/>
        <v>999999999</v>
      </c>
      <c r="BJ218" s="641">
        <f t="shared" si="121"/>
        <v>999999999</v>
      </c>
      <c r="BK218" s="641">
        <f t="shared" si="122"/>
        <v>999999999</v>
      </c>
      <c r="BL218" s="641">
        <f t="shared" si="122"/>
        <v>999999999</v>
      </c>
      <c r="BM218" s="641">
        <f t="shared" si="122"/>
        <v>999999999</v>
      </c>
      <c r="BN218" s="641">
        <f t="shared" si="122"/>
        <v>999999999</v>
      </c>
      <c r="BO218" s="641">
        <f t="shared" si="122"/>
        <v>999999999</v>
      </c>
      <c r="BP218" s="641">
        <f t="shared" si="122"/>
        <v>999999999</v>
      </c>
      <c r="BQ218" s="641">
        <f t="shared" si="122"/>
        <v>999999999</v>
      </c>
      <c r="BR218" s="641">
        <f t="shared" si="122"/>
        <v>999999999</v>
      </c>
      <c r="BS218" s="641">
        <f t="shared" si="122"/>
        <v>999999999</v>
      </c>
      <c r="BT218" s="641">
        <f t="shared" si="122"/>
        <v>999999999</v>
      </c>
      <c r="BU218" s="641">
        <f t="shared" si="123"/>
        <v>999999999</v>
      </c>
      <c r="BV218" s="641">
        <f t="shared" si="123"/>
        <v>999999999</v>
      </c>
      <c r="BW218" s="641">
        <f t="shared" si="123"/>
        <v>999999999</v>
      </c>
      <c r="BX218" s="641">
        <f t="shared" si="123"/>
        <v>999999999</v>
      </c>
      <c r="BY218" s="641">
        <f t="shared" si="123"/>
        <v>999999999</v>
      </c>
      <c r="BZ218" s="641">
        <f t="shared" si="123"/>
        <v>999999999</v>
      </c>
      <c r="CA218" s="641">
        <f t="shared" si="123"/>
        <v>999999999</v>
      </c>
      <c r="CB218" s="641">
        <f t="shared" si="123"/>
        <v>999999999</v>
      </c>
      <c r="CC218" s="641">
        <f t="shared" si="123"/>
        <v>999999999</v>
      </c>
      <c r="CD218" s="641">
        <f t="shared" si="123"/>
        <v>999999999</v>
      </c>
      <c r="CE218" s="641">
        <f t="shared" si="124"/>
        <v>999999999</v>
      </c>
      <c r="CF218" s="641">
        <f t="shared" si="124"/>
        <v>999999999</v>
      </c>
      <c r="CG218" s="641">
        <f t="shared" si="124"/>
        <v>999999999</v>
      </c>
      <c r="CH218" s="641">
        <f t="shared" si="124"/>
        <v>999999999</v>
      </c>
      <c r="CI218" s="641">
        <f t="shared" si="124"/>
        <v>999999999</v>
      </c>
      <c r="CJ218" s="641">
        <f t="shared" si="124"/>
        <v>999999999</v>
      </c>
      <c r="CK218" s="641">
        <f t="shared" si="124"/>
        <v>999999999</v>
      </c>
      <c r="CL218" s="641">
        <f t="shared" si="124"/>
        <v>999999999</v>
      </c>
      <c r="CM218" s="641">
        <f t="shared" si="124"/>
        <v>999999999</v>
      </c>
      <c r="CN218" s="641">
        <f t="shared" si="124"/>
        <v>999999999</v>
      </c>
      <c r="CO218" s="641">
        <f t="shared" si="125"/>
        <v>999999999</v>
      </c>
      <c r="CP218" s="641">
        <f t="shared" si="125"/>
        <v>999999999</v>
      </c>
      <c r="CQ218" s="641">
        <f t="shared" si="125"/>
        <v>999999999</v>
      </c>
      <c r="CR218" s="641">
        <f t="shared" si="125"/>
        <v>999999999</v>
      </c>
      <c r="CS218" s="641">
        <f t="shared" si="125"/>
        <v>999999999</v>
      </c>
      <c r="CT218" s="641">
        <f t="shared" si="125"/>
        <v>999999999</v>
      </c>
      <c r="CU218" s="641">
        <f t="shared" si="125"/>
        <v>999999999</v>
      </c>
      <c r="CV218" s="641">
        <f t="shared" si="125"/>
        <v>999999999</v>
      </c>
      <c r="CW218" s="641">
        <f t="shared" si="125"/>
        <v>999999999</v>
      </c>
      <c r="CX218" s="641">
        <f t="shared" si="125"/>
        <v>999999999</v>
      </c>
      <c r="CY218" s="641">
        <f t="shared" si="126"/>
        <v>999999999</v>
      </c>
      <c r="CZ218" s="641">
        <f t="shared" si="126"/>
        <v>999999999</v>
      </c>
      <c r="DA218" s="641">
        <f t="shared" si="126"/>
        <v>999999999</v>
      </c>
      <c r="DB218" s="641">
        <f t="shared" si="126"/>
        <v>999999999</v>
      </c>
      <c r="DC218" s="641">
        <f t="shared" si="126"/>
        <v>999999999</v>
      </c>
      <c r="DD218" s="641">
        <f t="shared" si="126"/>
        <v>999999999</v>
      </c>
      <c r="DE218" s="641">
        <f t="shared" si="126"/>
        <v>999999999</v>
      </c>
      <c r="DF218" s="641">
        <f t="shared" si="126"/>
        <v>999999999</v>
      </c>
      <c r="DG218" s="641">
        <f t="shared" si="126"/>
        <v>999999999</v>
      </c>
      <c r="DH218" s="641">
        <f t="shared" si="126"/>
        <v>999999999</v>
      </c>
      <c r="DI218" s="641">
        <f t="shared" si="127"/>
        <v>999999999</v>
      </c>
      <c r="DJ218" s="641">
        <f t="shared" si="127"/>
        <v>999999999</v>
      </c>
      <c r="DK218" s="641">
        <f t="shared" si="127"/>
        <v>999999999</v>
      </c>
      <c r="DL218" s="641">
        <f t="shared" si="127"/>
        <v>999999999</v>
      </c>
      <c r="DM218" s="641">
        <f t="shared" si="127"/>
        <v>999999999</v>
      </c>
      <c r="DN218" s="641">
        <f t="shared" si="127"/>
        <v>999999999</v>
      </c>
      <c r="DO218" s="641">
        <f t="shared" si="127"/>
        <v>999999999</v>
      </c>
      <c r="DP218" s="641">
        <f t="shared" si="127"/>
        <v>999999999</v>
      </c>
      <c r="DQ218" s="641">
        <f t="shared" si="127"/>
        <v>999999999</v>
      </c>
      <c r="DR218" s="641">
        <f t="shared" si="127"/>
        <v>999999999</v>
      </c>
      <c r="DS218" s="641">
        <f t="shared" si="128"/>
        <v>999999999</v>
      </c>
      <c r="DT218" s="641">
        <f t="shared" si="128"/>
        <v>999999999</v>
      </c>
      <c r="DU218" s="641">
        <f t="shared" si="128"/>
        <v>999999999</v>
      </c>
      <c r="DV218" s="641">
        <f t="shared" si="128"/>
        <v>999999999</v>
      </c>
      <c r="DW218" s="641">
        <f t="shared" si="128"/>
        <v>999999999</v>
      </c>
      <c r="DX218" s="641">
        <f t="shared" si="128"/>
        <v>999999999</v>
      </c>
      <c r="DY218" s="641">
        <f t="shared" si="128"/>
        <v>999999999</v>
      </c>
      <c r="DZ218" s="641">
        <f t="shared" si="128"/>
        <v>999999999</v>
      </c>
      <c r="EA218" s="641">
        <f t="shared" si="128"/>
        <v>999999999</v>
      </c>
      <c r="EB218" s="641">
        <f t="shared" si="128"/>
        <v>999999999</v>
      </c>
      <c r="EC218" s="641">
        <f t="shared" si="128"/>
        <v>999999999</v>
      </c>
    </row>
    <row r="219" spans="28:133" ht="15.5">
      <c r="AB219" s="5">
        <f t="shared" si="118"/>
        <v>2</v>
      </c>
      <c r="AC219" s="128">
        <v>76</v>
      </c>
      <c r="AD219" s="129">
        <f t="shared" si="107"/>
        <v>8066.506604000002</v>
      </c>
      <c r="AF219" s="128">
        <v>76</v>
      </c>
      <c r="AG219" s="641">
        <f t="shared" si="119"/>
        <v>489661.50660399999</v>
      </c>
      <c r="AH219" s="641">
        <f t="shared" si="119"/>
        <v>426709.50660399999</v>
      </c>
      <c r="AI219" s="641">
        <f t="shared" si="119"/>
        <v>363757.50660399999</v>
      </c>
      <c r="AJ219" s="641">
        <f t="shared" si="119"/>
        <v>300805.50660399999</v>
      </c>
      <c r="AK219" s="641">
        <f t="shared" si="119"/>
        <v>237853.50660399999</v>
      </c>
      <c r="AL219" s="641">
        <f t="shared" si="119"/>
        <v>174901.50660399999</v>
      </c>
      <c r="AM219" s="641">
        <f t="shared" si="119"/>
        <v>112986.50660399999</v>
      </c>
      <c r="AN219" s="641">
        <f t="shared" si="119"/>
        <v>60526.506604000002</v>
      </c>
      <c r="AO219" s="641">
        <f t="shared" si="119"/>
        <v>8066.506604000002</v>
      </c>
      <c r="AP219" s="641">
        <f t="shared" si="119"/>
        <v>999999999</v>
      </c>
      <c r="AQ219" s="641">
        <f t="shared" si="120"/>
        <v>999999999</v>
      </c>
      <c r="AR219" s="641">
        <f t="shared" si="120"/>
        <v>999999999</v>
      </c>
      <c r="AS219" s="641">
        <f t="shared" si="120"/>
        <v>999999999</v>
      </c>
      <c r="AT219" s="641">
        <f t="shared" si="120"/>
        <v>999999999</v>
      </c>
      <c r="AU219" s="641">
        <f t="shared" si="120"/>
        <v>999999999</v>
      </c>
      <c r="AV219" s="641">
        <f t="shared" si="120"/>
        <v>999999999</v>
      </c>
      <c r="AW219" s="641">
        <f t="shared" si="120"/>
        <v>999999999</v>
      </c>
      <c r="AX219" s="641">
        <f t="shared" si="120"/>
        <v>999999999</v>
      </c>
      <c r="AY219" s="641">
        <f t="shared" si="120"/>
        <v>999999999</v>
      </c>
      <c r="AZ219" s="641">
        <f t="shared" si="120"/>
        <v>999999999</v>
      </c>
      <c r="BA219" s="641">
        <f t="shared" si="121"/>
        <v>999999999</v>
      </c>
      <c r="BB219" s="641">
        <f t="shared" si="121"/>
        <v>999999999</v>
      </c>
      <c r="BC219" s="641">
        <f t="shared" si="121"/>
        <v>999999999</v>
      </c>
      <c r="BD219" s="641">
        <f t="shared" si="121"/>
        <v>999999999</v>
      </c>
      <c r="BE219" s="641">
        <f t="shared" si="121"/>
        <v>999999999</v>
      </c>
      <c r="BF219" s="641">
        <f t="shared" si="121"/>
        <v>999999999</v>
      </c>
      <c r="BG219" s="641">
        <f t="shared" si="121"/>
        <v>999999999</v>
      </c>
      <c r="BH219" s="641">
        <f t="shared" si="121"/>
        <v>999999999</v>
      </c>
      <c r="BI219" s="641">
        <f t="shared" si="121"/>
        <v>999999999</v>
      </c>
      <c r="BJ219" s="641">
        <f t="shared" si="121"/>
        <v>999999999</v>
      </c>
      <c r="BK219" s="641">
        <f t="shared" si="122"/>
        <v>999999999</v>
      </c>
      <c r="BL219" s="641">
        <f t="shared" si="122"/>
        <v>999999999</v>
      </c>
      <c r="BM219" s="641">
        <f t="shared" si="122"/>
        <v>999999999</v>
      </c>
      <c r="BN219" s="641">
        <f t="shared" si="122"/>
        <v>999999999</v>
      </c>
      <c r="BO219" s="641">
        <f t="shared" si="122"/>
        <v>999999999</v>
      </c>
      <c r="BP219" s="641">
        <f t="shared" si="122"/>
        <v>999999999</v>
      </c>
      <c r="BQ219" s="641">
        <f t="shared" si="122"/>
        <v>999999999</v>
      </c>
      <c r="BR219" s="641">
        <f t="shared" si="122"/>
        <v>999999999</v>
      </c>
      <c r="BS219" s="641">
        <f t="shared" si="122"/>
        <v>999999999</v>
      </c>
      <c r="BT219" s="641">
        <f t="shared" si="122"/>
        <v>999999999</v>
      </c>
      <c r="BU219" s="641">
        <f t="shared" si="123"/>
        <v>999999999</v>
      </c>
      <c r="BV219" s="641">
        <f t="shared" si="123"/>
        <v>999999999</v>
      </c>
      <c r="BW219" s="641">
        <f t="shared" si="123"/>
        <v>999999999</v>
      </c>
      <c r="BX219" s="641">
        <f t="shared" si="123"/>
        <v>999999999</v>
      </c>
      <c r="BY219" s="641">
        <f t="shared" si="123"/>
        <v>999999999</v>
      </c>
      <c r="BZ219" s="641">
        <f t="shared" si="123"/>
        <v>999999999</v>
      </c>
      <c r="CA219" s="641">
        <f t="shared" si="123"/>
        <v>999999999</v>
      </c>
      <c r="CB219" s="641">
        <f t="shared" si="123"/>
        <v>999999999</v>
      </c>
      <c r="CC219" s="641">
        <f t="shared" si="123"/>
        <v>999999999</v>
      </c>
      <c r="CD219" s="641">
        <f t="shared" si="123"/>
        <v>999999999</v>
      </c>
      <c r="CE219" s="641">
        <f t="shared" si="124"/>
        <v>999999999</v>
      </c>
      <c r="CF219" s="641">
        <f t="shared" si="124"/>
        <v>999999999</v>
      </c>
      <c r="CG219" s="641">
        <f t="shared" si="124"/>
        <v>999999999</v>
      </c>
      <c r="CH219" s="641">
        <f t="shared" si="124"/>
        <v>999999999</v>
      </c>
      <c r="CI219" s="641">
        <f t="shared" si="124"/>
        <v>999999999</v>
      </c>
      <c r="CJ219" s="641">
        <f t="shared" si="124"/>
        <v>999999999</v>
      </c>
      <c r="CK219" s="641">
        <f t="shared" si="124"/>
        <v>999999999</v>
      </c>
      <c r="CL219" s="641">
        <f t="shared" si="124"/>
        <v>999999999</v>
      </c>
      <c r="CM219" s="641">
        <f t="shared" si="124"/>
        <v>999999999</v>
      </c>
      <c r="CN219" s="641">
        <f t="shared" si="124"/>
        <v>999999999</v>
      </c>
      <c r="CO219" s="641">
        <f t="shared" si="125"/>
        <v>999999999</v>
      </c>
      <c r="CP219" s="641">
        <f t="shared" si="125"/>
        <v>999999999</v>
      </c>
      <c r="CQ219" s="641">
        <f t="shared" si="125"/>
        <v>999999999</v>
      </c>
      <c r="CR219" s="641">
        <f t="shared" si="125"/>
        <v>999999999</v>
      </c>
      <c r="CS219" s="641">
        <f t="shared" si="125"/>
        <v>999999999</v>
      </c>
      <c r="CT219" s="641">
        <f t="shared" si="125"/>
        <v>999999999</v>
      </c>
      <c r="CU219" s="641">
        <f t="shared" si="125"/>
        <v>999999999</v>
      </c>
      <c r="CV219" s="641">
        <f t="shared" si="125"/>
        <v>999999999</v>
      </c>
      <c r="CW219" s="641">
        <f t="shared" si="125"/>
        <v>999999999</v>
      </c>
      <c r="CX219" s="641">
        <f t="shared" si="125"/>
        <v>999999999</v>
      </c>
      <c r="CY219" s="641">
        <f t="shared" si="126"/>
        <v>999999999</v>
      </c>
      <c r="CZ219" s="641">
        <f t="shared" si="126"/>
        <v>999999999</v>
      </c>
      <c r="DA219" s="641">
        <f t="shared" si="126"/>
        <v>999999999</v>
      </c>
      <c r="DB219" s="641">
        <f t="shared" si="126"/>
        <v>999999999</v>
      </c>
      <c r="DC219" s="641">
        <f t="shared" si="126"/>
        <v>999999999</v>
      </c>
      <c r="DD219" s="641">
        <f t="shared" si="126"/>
        <v>999999999</v>
      </c>
      <c r="DE219" s="641">
        <f t="shared" si="126"/>
        <v>999999999</v>
      </c>
      <c r="DF219" s="641">
        <f t="shared" si="126"/>
        <v>999999999</v>
      </c>
      <c r="DG219" s="641">
        <f t="shared" si="126"/>
        <v>999999999</v>
      </c>
      <c r="DH219" s="641">
        <f t="shared" si="126"/>
        <v>999999999</v>
      </c>
      <c r="DI219" s="641">
        <f t="shared" si="127"/>
        <v>999999999</v>
      </c>
      <c r="DJ219" s="641">
        <f t="shared" si="127"/>
        <v>999999999</v>
      </c>
      <c r="DK219" s="641">
        <f t="shared" si="127"/>
        <v>999999999</v>
      </c>
      <c r="DL219" s="641">
        <f t="shared" si="127"/>
        <v>999999999</v>
      </c>
      <c r="DM219" s="641">
        <f t="shared" si="127"/>
        <v>999999999</v>
      </c>
      <c r="DN219" s="641">
        <f t="shared" si="127"/>
        <v>999999999</v>
      </c>
      <c r="DO219" s="641">
        <f t="shared" si="127"/>
        <v>999999999</v>
      </c>
      <c r="DP219" s="641">
        <f t="shared" si="127"/>
        <v>999999999</v>
      </c>
      <c r="DQ219" s="641">
        <f t="shared" si="127"/>
        <v>999999999</v>
      </c>
      <c r="DR219" s="641">
        <f t="shared" si="127"/>
        <v>999999999</v>
      </c>
      <c r="DS219" s="641">
        <f t="shared" si="128"/>
        <v>999999999</v>
      </c>
      <c r="DT219" s="641">
        <f t="shared" si="128"/>
        <v>999999999</v>
      </c>
      <c r="DU219" s="641">
        <f t="shared" si="128"/>
        <v>999999999</v>
      </c>
      <c r="DV219" s="641">
        <f t="shared" si="128"/>
        <v>999999999</v>
      </c>
      <c r="DW219" s="641">
        <f t="shared" si="128"/>
        <v>999999999</v>
      </c>
      <c r="DX219" s="641">
        <f t="shared" si="128"/>
        <v>999999999</v>
      </c>
      <c r="DY219" s="641">
        <f t="shared" si="128"/>
        <v>999999999</v>
      </c>
      <c r="DZ219" s="641">
        <f t="shared" si="128"/>
        <v>999999999</v>
      </c>
      <c r="EA219" s="641">
        <f t="shared" si="128"/>
        <v>999999999</v>
      </c>
      <c r="EB219" s="641">
        <f t="shared" si="128"/>
        <v>999999999</v>
      </c>
      <c r="EC219" s="641">
        <f t="shared" si="128"/>
        <v>999999999</v>
      </c>
    </row>
    <row r="220" spans="28:133" ht="15.5">
      <c r="AB220" s="5">
        <f t="shared" si="118"/>
        <v>2</v>
      </c>
      <c r="AC220" s="128">
        <v>77</v>
      </c>
      <c r="AD220" s="129">
        <f t="shared" si="107"/>
        <v>8066.506604000002</v>
      </c>
      <c r="AF220" s="128">
        <v>77</v>
      </c>
      <c r="AG220" s="641">
        <f t="shared" si="119"/>
        <v>489661.50660399999</v>
      </c>
      <c r="AH220" s="641">
        <f t="shared" si="119"/>
        <v>426709.50660399999</v>
      </c>
      <c r="AI220" s="641">
        <f t="shared" si="119"/>
        <v>363757.50660399999</v>
      </c>
      <c r="AJ220" s="641">
        <f t="shared" si="119"/>
        <v>300805.50660399999</v>
      </c>
      <c r="AK220" s="641">
        <f t="shared" si="119"/>
        <v>237853.50660399999</v>
      </c>
      <c r="AL220" s="641">
        <f t="shared" si="119"/>
        <v>174901.50660399999</v>
      </c>
      <c r="AM220" s="641">
        <f t="shared" si="119"/>
        <v>112986.50660399999</v>
      </c>
      <c r="AN220" s="641">
        <f t="shared" si="119"/>
        <v>60526.506604000002</v>
      </c>
      <c r="AO220" s="641">
        <f t="shared" si="119"/>
        <v>8066.506604000002</v>
      </c>
      <c r="AP220" s="641">
        <f t="shared" si="119"/>
        <v>999999999</v>
      </c>
      <c r="AQ220" s="641">
        <f t="shared" si="120"/>
        <v>999999999</v>
      </c>
      <c r="AR220" s="641">
        <f t="shared" si="120"/>
        <v>999999999</v>
      </c>
      <c r="AS220" s="641">
        <f t="shared" si="120"/>
        <v>999999999</v>
      </c>
      <c r="AT220" s="641">
        <f t="shared" si="120"/>
        <v>999999999</v>
      </c>
      <c r="AU220" s="641">
        <f t="shared" si="120"/>
        <v>999999999</v>
      </c>
      <c r="AV220" s="641">
        <f t="shared" si="120"/>
        <v>999999999</v>
      </c>
      <c r="AW220" s="641">
        <f t="shared" si="120"/>
        <v>999999999</v>
      </c>
      <c r="AX220" s="641">
        <f t="shared" si="120"/>
        <v>999999999</v>
      </c>
      <c r="AY220" s="641">
        <f t="shared" si="120"/>
        <v>999999999</v>
      </c>
      <c r="AZ220" s="641">
        <f t="shared" si="120"/>
        <v>999999999</v>
      </c>
      <c r="BA220" s="641">
        <f t="shared" si="121"/>
        <v>999999999</v>
      </c>
      <c r="BB220" s="641">
        <f t="shared" si="121"/>
        <v>999999999</v>
      </c>
      <c r="BC220" s="641">
        <f t="shared" si="121"/>
        <v>999999999</v>
      </c>
      <c r="BD220" s="641">
        <f t="shared" si="121"/>
        <v>999999999</v>
      </c>
      <c r="BE220" s="641">
        <f t="shared" si="121"/>
        <v>999999999</v>
      </c>
      <c r="BF220" s="641">
        <f t="shared" si="121"/>
        <v>999999999</v>
      </c>
      <c r="BG220" s="641">
        <f t="shared" si="121"/>
        <v>999999999</v>
      </c>
      <c r="BH220" s="641">
        <f t="shared" si="121"/>
        <v>999999999</v>
      </c>
      <c r="BI220" s="641">
        <f t="shared" si="121"/>
        <v>999999999</v>
      </c>
      <c r="BJ220" s="641">
        <f t="shared" si="121"/>
        <v>999999999</v>
      </c>
      <c r="BK220" s="641">
        <f t="shared" si="122"/>
        <v>999999999</v>
      </c>
      <c r="BL220" s="641">
        <f t="shared" si="122"/>
        <v>999999999</v>
      </c>
      <c r="BM220" s="641">
        <f t="shared" si="122"/>
        <v>999999999</v>
      </c>
      <c r="BN220" s="641">
        <f t="shared" si="122"/>
        <v>999999999</v>
      </c>
      <c r="BO220" s="641">
        <f t="shared" si="122"/>
        <v>999999999</v>
      </c>
      <c r="BP220" s="641">
        <f t="shared" si="122"/>
        <v>999999999</v>
      </c>
      <c r="BQ220" s="641">
        <f t="shared" si="122"/>
        <v>999999999</v>
      </c>
      <c r="BR220" s="641">
        <f t="shared" si="122"/>
        <v>999999999</v>
      </c>
      <c r="BS220" s="641">
        <f t="shared" si="122"/>
        <v>999999999</v>
      </c>
      <c r="BT220" s="641">
        <f t="shared" si="122"/>
        <v>999999999</v>
      </c>
      <c r="BU220" s="641">
        <f t="shared" si="123"/>
        <v>999999999</v>
      </c>
      <c r="BV220" s="641">
        <f t="shared" si="123"/>
        <v>999999999</v>
      </c>
      <c r="BW220" s="641">
        <f t="shared" si="123"/>
        <v>999999999</v>
      </c>
      <c r="BX220" s="641">
        <f t="shared" si="123"/>
        <v>999999999</v>
      </c>
      <c r="BY220" s="641">
        <f t="shared" si="123"/>
        <v>999999999</v>
      </c>
      <c r="BZ220" s="641">
        <f t="shared" si="123"/>
        <v>999999999</v>
      </c>
      <c r="CA220" s="641">
        <f t="shared" si="123"/>
        <v>999999999</v>
      </c>
      <c r="CB220" s="641">
        <f t="shared" si="123"/>
        <v>999999999</v>
      </c>
      <c r="CC220" s="641">
        <f t="shared" si="123"/>
        <v>999999999</v>
      </c>
      <c r="CD220" s="641">
        <f t="shared" si="123"/>
        <v>999999999</v>
      </c>
      <c r="CE220" s="641">
        <f t="shared" si="124"/>
        <v>999999999</v>
      </c>
      <c r="CF220" s="641">
        <f t="shared" si="124"/>
        <v>999999999</v>
      </c>
      <c r="CG220" s="641">
        <f t="shared" si="124"/>
        <v>999999999</v>
      </c>
      <c r="CH220" s="641">
        <f t="shared" si="124"/>
        <v>999999999</v>
      </c>
      <c r="CI220" s="641">
        <f t="shared" si="124"/>
        <v>999999999</v>
      </c>
      <c r="CJ220" s="641">
        <f t="shared" si="124"/>
        <v>999999999</v>
      </c>
      <c r="CK220" s="641">
        <f t="shared" si="124"/>
        <v>999999999</v>
      </c>
      <c r="CL220" s="641">
        <f t="shared" si="124"/>
        <v>999999999</v>
      </c>
      <c r="CM220" s="641">
        <f t="shared" si="124"/>
        <v>999999999</v>
      </c>
      <c r="CN220" s="641">
        <f t="shared" si="124"/>
        <v>999999999</v>
      </c>
      <c r="CO220" s="641">
        <f t="shared" si="125"/>
        <v>999999999</v>
      </c>
      <c r="CP220" s="641">
        <f t="shared" si="125"/>
        <v>999999999</v>
      </c>
      <c r="CQ220" s="641">
        <f t="shared" si="125"/>
        <v>999999999</v>
      </c>
      <c r="CR220" s="641">
        <f t="shared" si="125"/>
        <v>999999999</v>
      </c>
      <c r="CS220" s="641">
        <f t="shared" si="125"/>
        <v>999999999</v>
      </c>
      <c r="CT220" s="641">
        <f t="shared" si="125"/>
        <v>999999999</v>
      </c>
      <c r="CU220" s="641">
        <f t="shared" si="125"/>
        <v>999999999</v>
      </c>
      <c r="CV220" s="641">
        <f t="shared" si="125"/>
        <v>999999999</v>
      </c>
      <c r="CW220" s="641">
        <f t="shared" si="125"/>
        <v>999999999</v>
      </c>
      <c r="CX220" s="641">
        <f t="shared" si="125"/>
        <v>999999999</v>
      </c>
      <c r="CY220" s="641">
        <f t="shared" si="126"/>
        <v>999999999</v>
      </c>
      <c r="CZ220" s="641">
        <f t="shared" si="126"/>
        <v>999999999</v>
      </c>
      <c r="DA220" s="641">
        <f t="shared" si="126"/>
        <v>999999999</v>
      </c>
      <c r="DB220" s="641">
        <f t="shared" si="126"/>
        <v>999999999</v>
      </c>
      <c r="DC220" s="641">
        <f t="shared" si="126"/>
        <v>999999999</v>
      </c>
      <c r="DD220" s="641">
        <f t="shared" si="126"/>
        <v>999999999</v>
      </c>
      <c r="DE220" s="641">
        <f t="shared" si="126"/>
        <v>999999999</v>
      </c>
      <c r="DF220" s="641">
        <f t="shared" si="126"/>
        <v>999999999</v>
      </c>
      <c r="DG220" s="641">
        <f t="shared" si="126"/>
        <v>999999999</v>
      </c>
      <c r="DH220" s="641">
        <f t="shared" si="126"/>
        <v>999999999</v>
      </c>
      <c r="DI220" s="641">
        <f t="shared" si="127"/>
        <v>999999999</v>
      </c>
      <c r="DJ220" s="641">
        <f t="shared" si="127"/>
        <v>999999999</v>
      </c>
      <c r="DK220" s="641">
        <f t="shared" si="127"/>
        <v>999999999</v>
      </c>
      <c r="DL220" s="641">
        <f t="shared" si="127"/>
        <v>999999999</v>
      </c>
      <c r="DM220" s="641">
        <f t="shared" si="127"/>
        <v>999999999</v>
      </c>
      <c r="DN220" s="641">
        <f t="shared" si="127"/>
        <v>999999999</v>
      </c>
      <c r="DO220" s="641">
        <f t="shared" si="127"/>
        <v>999999999</v>
      </c>
      <c r="DP220" s="641">
        <f t="shared" si="127"/>
        <v>999999999</v>
      </c>
      <c r="DQ220" s="641">
        <f t="shared" si="127"/>
        <v>999999999</v>
      </c>
      <c r="DR220" s="641">
        <f t="shared" si="127"/>
        <v>999999999</v>
      </c>
      <c r="DS220" s="641">
        <f t="shared" si="128"/>
        <v>999999999</v>
      </c>
      <c r="DT220" s="641">
        <f t="shared" si="128"/>
        <v>999999999</v>
      </c>
      <c r="DU220" s="641">
        <f t="shared" si="128"/>
        <v>999999999</v>
      </c>
      <c r="DV220" s="641">
        <f t="shared" si="128"/>
        <v>999999999</v>
      </c>
      <c r="DW220" s="641">
        <f t="shared" si="128"/>
        <v>999999999</v>
      </c>
      <c r="DX220" s="641">
        <f t="shared" si="128"/>
        <v>999999999</v>
      </c>
      <c r="DY220" s="641">
        <f t="shared" si="128"/>
        <v>999999999</v>
      </c>
      <c r="DZ220" s="641">
        <f t="shared" si="128"/>
        <v>999999999</v>
      </c>
      <c r="EA220" s="641">
        <f t="shared" si="128"/>
        <v>999999999</v>
      </c>
      <c r="EB220" s="641">
        <f t="shared" si="128"/>
        <v>999999999</v>
      </c>
      <c r="EC220" s="641">
        <f t="shared" si="128"/>
        <v>999999999</v>
      </c>
    </row>
    <row r="221" spans="28:133" ht="15.5">
      <c r="AB221" s="5">
        <f t="shared" si="118"/>
        <v>2</v>
      </c>
      <c r="AC221" s="128">
        <v>78</v>
      </c>
      <c r="AD221" s="129">
        <f t="shared" si="107"/>
        <v>8066.506604000002</v>
      </c>
      <c r="AF221" s="128">
        <v>78</v>
      </c>
      <c r="AG221" s="641">
        <f t="shared" si="119"/>
        <v>489661.50660399999</v>
      </c>
      <c r="AH221" s="641">
        <f t="shared" si="119"/>
        <v>426709.50660399999</v>
      </c>
      <c r="AI221" s="641">
        <f t="shared" si="119"/>
        <v>363757.50660399999</v>
      </c>
      <c r="AJ221" s="641">
        <f t="shared" si="119"/>
        <v>300805.50660399999</v>
      </c>
      <c r="AK221" s="641">
        <f t="shared" si="119"/>
        <v>237853.50660399999</v>
      </c>
      <c r="AL221" s="641">
        <f t="shared" si="119"/>
        <v>174901.50660399999</v>
      </c>
      <c r="AM221" s="641">
        <f t="shared" si="119"/>
        <v>112986.50660399999</v>
      </c>
      <c r="AN221" s="641">
        <f t="shared" si="119"/>
        <v>60526.506604000002</v>
      </c>
      <c r="AO221" s="641">
        <f t="shared" si="119"/>
        <v>8066.506604000002</v>
      </c>
      <c r="AP221" s="641">
        <f t="shared" si="119"/>
        <v>999999999</v>
      </c>
      <c r="AQ221" s="641">
        <f t="shared" si="120"/>
        <v>999999999</v>
      </c>
      <c r="AR221" s="641">
        <f t="shared" si="120"/>
        <v>999999999</v>
      </c>
      <c r="AS221" s="641">
        <f t="shared" si="120"/>
        <v>999999999</v>
      </c>
      <c r="AT221" s="641">
        <f t="shared" si="120"/>
        <v>999999999</v>
      </c>
      <c r="AU221" s="641">
        <f t="shared" si="120"/>
        <v>999999999</v>
      </c>
      <c r="AV221" s="641">
        <f t="shared" si="120"/>
        <v>999999999</v>
      </c>
      <c r="AW221" s="641">
        <f t="shared" si="120"/>
        <v>999999999</v>
      </c>
      <c r="AX221" s="641">
        <f t="shared" si="120"/>
        <v>999999999</v>
      </c>
      <c r="AY221" s="641">
        <f t="shared" si="120"/>
        <v>999999999</v>
      </c>
      <c r="AZ221" s="641">
        <f t="shared" si="120"/>
        <v>999999999</v>
      </c>
      <c r="BA221" s="641">
        <f t="shared" si="121"/>
        <v>999999999</v>
      </c>
      <c r="BB221" s="641">
        <f t="shared" si="121"/>
        <v>999999999</v>
      </c>
      <c r="BC221" s="641">
        <f t="shared" si="121"/>
        <v>999999999</v>
      </c>
      <c r="BD221" s="641">
        <f t="shared" si="121"/>
        <v>999999999</v>
      </c>
      <c r="BE221" s="641">
        <f t="shared" si="121"/>
        <v>999999999</v>
      </c>
      <c r="BF221" s="641">
        <f t="shared" si="121"/>
        <v>999999999</v>
      </c>
      <c r="BG221" s="641">
        <f t="shared" si="121"/>
        <v>999999999</v>
      </c>
      <c r="BH221" s="641">
        <f t="shared" si="121"/>
        <v>999999999</v>
      </c>
      <c r="BI221" s="641">
        <f t="shared" si="121"/>
        <v>999999999</v>
      </c>
      <c r="BJ221" s="641">
        <f t="shared" si="121"/>
        <v>999999999</v>
      </c>
      <c r="BK221" s="641">
        <f t="shared" si="122"/>
        <v>999999999</v>
      </c>
      <c r="BL221" s="641">
        <f t="shared" si="122"/>
        <v>999999999</v>
      </c>
      <c r="BM221" s="641">
        <f t="shared" si="122"/>
        <v>999999999</v>
      </c>
      <c r="BN221" s="641">
        <f t="shared" si="122"/>
        <v>999999999</v>
      </c>
      <c r="BO221" s="641">
        <f t="shared" si="122"/>
        <v>999999999</v>
      </c>
      <c r="BP221" s="641">
        <f t="shared" si="122"/>
        <v>999999999</v>
      </c>
      <c r="BQ221" s="641">
        <f t="shared" si="122"/>
        <v>999999999</v>
      </c>
      <c r="BR221" s="641">
        <f t="shared" si="122"/>
        <v>999999999</v>
      </c>
      <c r="BS221" s="641">
        <f t="shared" si="122"/>
        <v>999999999</v>
      </c>
      <c r="BT221" s="641">
        <f t="shared" si="122"/>
        <v>999999999</v>
      </c>
      <c r="BU221" s="641">
        <f t="shared" si="123"/>
        <v>999999999</v>
      </c>
      <c r="BV221" s="641">
        <f t="shared" si="123"/>
        <v>999999999</v>
      </c>
      <c r="BW221" s="641">
        <f t="shared" si="123"/>
        <v>999999999</v>
      </c>
      <c r="BX221" s="641">
        <f t="shared" si="123"/>
        <v>999999999</v>
      </c>
      <c r="BY221" s="641">
        <f t="shared" si="123"/>
        <v>999999999</v>
      </c>
      <c r="BZ221" s="641">
        <f t="shared" si="123"/>
        <v>999999999</v>
      </c>
      <c r="CA221" s="641">
        <f t="shared" si="123"/>
        <v>999999999</v>
      </c>
      <c r="CB221" s="641">
        <f t="shared" si="123"/>
        <v>999999999</v>
      </c>
      <c r="CC221" s="641">
        <f t="shared" si="123"/>
        <v>999999999</v>
      </c>
      <c r="CD221" s="641">
        <f t="shared" si="123"/>
        <v>999999999</v>
      </c>
      <c r="CE221" s="641">
        <f t="shared" si="124"/>
        <v>999999999</v>
      </c>
      <c r="CF221" s="641">
        <f t="shared" si="124"/>
        <v>999999999</v>
      </c>
      <c r="CG221" s="641">
        <f t="shared" si="124"/>
        <v>999999999</v>
      </c>
      <c r="CH221" s="641">
        <f t="shared" si="124"/>
        <v>999999999</v>
      </c>
      <c r="CI221" s="641">
        <f t="shared" si="124"/>
        <v>999999999</v>
      </c>
      <c r="CJ221" s="641">
        <f t="shared" si="124"/>
        <v>999999999</v>
      </c>
      <c r="CK221" s="641">
        <f t="shared" si="124"/>
        <v>999999999</v>
      </c>
      <c r="CL221" s="641">
        <f t="shared" si="124"/>
        <v>999999999</v>
      </c>
      <c r="CM221" s="641">
        <f t="shared" si="124"/>
        <v>999999999</v>
      </c>
      <c r="CN221" s="641">
        <f t="shared" si="124"/>
        <v>999999999</v>
      </c>
      <c r="CO221" s="641">
        <f t="shared" si="125"/>
        <v>999999999</v>
      </c>
      <c r="CP221" s="641">
        <f t="shared" si="125"/>
        <v>999999999</v>
      </c>
      <c r="CQ221" s="641">
        <f t="shared" si="125"/>
        <v>999999999</v>
      </c>
      <c r="CR221" s="641">
        <f t="shared" si="125"/>
        <v>999999999</v>
      </c>
      <c r="CS221" s="641">
        <f t="shared" si="125"/>
        <v>999999999</v>
      </c>
      <c r="CT221" s="641">
        <f t="shared" si="125"/>
        <v>999999999</v>
      </c>
      <c r="CU221" s="641">
        <f t="shared" si="125"/>
        <v>999999999</v>
      </c>
      <c r="CV221" s="641">
        <f t="shared" si="125"/>
        <v>999999999</v>
      </c>
      <c r="CW221" s="641">
        <f t="shared" si="125"/>
        <v>999999999</v>
      </c>
      <c r="CX221" s="641">
        <f t="shared" si="125"/>
        <v>999999999</v>
      </c>
      <c r="CY221" s="641">
        <f t="shared" si="126"/>
        <v>999999999</v>
      </c>
      <c r="CZ221" s="641">
        <f t="shared" si="126"/>
        <v>999999999</v>
      </c>
      <c r="DA221" s="641">
        <f t="shared" si="126"/>
        <v>999999999</v>
      </c>
      <c r="DB221" s="641">
        <f t="shared" si="126"/>
        <v>999999999</v>
      </c>
      <c r="DC221" s="641">
        <f t="shared" si="126"/>
        <v>999999999</v>
      </c>
      <c r="DD221" s="641">
        <f t="shared" si="126"/>
        <v>999999999</v>
      </c>
      <c r="DE221" s="641">
        <f t="shared" si="126"/>
        <v>999999999</v>
      </c>
      <c r="DF221" s="641">
        <f t="shared" si="126"/>
        <v>999999999</v>
      </c>
      <c r="DG221" s="641">
        <f t="shared" si="126"/>
        <v>999999999</v>
      </c>
      <c r="DH221" s="641">
        <f t="shared" si="126"/>
        <v>999999999</v>
      </c>
      <c r="DI221" s="641">
        <f t="shared" si="127"/>
        <v>999999999</v>
      </c>
      <c r="DJ221" s="641">
        <f t="shared" si="127"/>
        <v>999999999</v>
      </c>
      <c r="DK221" s="641">
        <f t="shared" si="127"/>
        <v>999999999</v>
      </c>
      <c r="DL221" s="641">
        <f t="shared" si="127"/>
        <v>999999999</v>
      </c>
      <c r="DM221" s="641">
        <f t="shared" si="127"/>
        <v>999999999</v>
      </c>
      <c r="DN221" s="641">
        <f t="shared" si="127"/>
        <v>999999999</v>
      </c>
      <c r="DO221" s="641">
        <f t="shared" si="127"/>
        <v>999999999</v>
      </c>
      <c r="DP221" s="641">
        <f t="shared" si="127"/>
        <v>999999999</v>
      </c>
      <c r="DQ221" s="641">
        <f t="shared" si="127"/>
        <v>999999999</v>
      </c>
      <c r="DR221" s="641">
        <f t="shared" si="127"/>
        <v>999999999</v>
      </c>
      <c r="DS221" s="641">
        <f t="shared" si="128"/>
        <v>999999999</v>
      </c>
      <c r="DT221" s="641">
        <f t="shared" si="128"/>
        <v>999999999</v>
      </c>
      <c r="DU221" s="641">
        <f t="shared" si="128"/>
        <v>999999999</v>
      </c>
      <c r="DV221" s="641">
        <f t="shared" si="128"/>
        <v>999999999</v>
      </c>
      <c r="DW221" s="641">
        <f t="shared" si="128"/>
        <v>999999999</v>
      </c>
      <c r="DX221" s="641">
        <f t="shared" si="128"/>
        <v>999999999</v>
      </c>
      <c r="DY221" s="641">
        <f t="shared" si="128"/>
        <v>999999999</v>
      </c>
      <c r="DZ221" s="641">
        <f t="shared" si="128"/>
        <v>999999999</v>
      </c>
      <c r="EA221" s="641">
        <f t="shared" si="128"/>
        <v>999999999</v>
      </c>
      <c r="EB221" s="641">
        <f t="shared" si="128"/>
        <v>999999999</v>
      </c>
      <c r="EC221" s="641">
        <f t="shared" si="128"/>
        <v>999999999</v>
      </c>
    </row>
    <row r="222" spans="28:133" ht="15.5">
      <c r="AB222" s="5">
        <f t="shared" si="118"/>
        <v>2</v>
      </c>
      <c r="AC222" s="128">
        <v>79</v>
      </c>
      <c r="AD222" s="129">
        <f t="shared" si="107"/>
        <v>8066.506604000002</v>
      </c>
      <c r="AF222" s="128">
        <v>79</v>
      </c>
      <c r="AG222" s="641">
        <f t="shared" si="119"/>
        <v>489661.50660399999</v>
      </c>
      <c r="AH222" s="641">
        <f t="shared" si="119"/>
        <v>426709.50660399999</v>
      </c>
      <c r="AI222" s="641">
        <f t="shared" si="119"/>
        <v>363757.50660399999</v>
      </c>
      <c r="AJ222" s="641">
        <f t="shared" si="119"/>
        <v>300805.50660399999</v>
      </c>
      <c r="AK222" s="641">
        <f t="shared" si="119"/>
        <v>237853.50660399999</v>
      </c>
      <c r="AL222" s="641">
        <f t="shared" si="119"/>
        <v>174901.50660399999</v>
      </c>
      <c r="AM222" s="641">
        <f t="shared" si="119"/>
        <v>112986.50660399999</v>
      </c>
      <c r="AN222" s="641">
        <f t="shared" si="119"/>
        <v>60526.506604000002</v>
      </c>
      <c r="AO222" s="641">
        <f t="shared" si="119"/>
        <v>8066.506604000002</v>
      </c>
      <c r="AP222" s="641">
        <f t="shared" si="119"/>
        <v>999999999</v>
      </c>
      <c r="AQ222" s="641">
        <f t="shared" si="120"/>
        <v>999999999</v>
      </c>
      <c r="AR222" s="641">
        <f t="shared" si="120"/>
        <v>999999999</v>
      </c>
      <c r="AS222" s="641">
        <f t="shared" si="120"/>
        <v>999999999</v>
      </c>
      <c r="AT222" s="641">
        <f t="shared" si="120"/>
        <v>999999999</v>
      </c>
      <c r="AU222" s="641">
        <f t="shared" si="120"/>
        <v>999999999</v>
      </c>
      <c r="AV222" s="641">
        <f t="shared" si="120"/>
        <v>999999999</v>
      </c>
      <c r="AW222" s="641">
        <f t="shared" si="120"/>
        <v>999999999</v>
      </c>
      <c r="AX222" s="641">
        <f t="shared" si="120"/>
        <v>999999999</v>
      </c>
      <c r="AY222" s="641">
        <f t="shared" si="120"/>
        <v>999999999</v>
      </c>
      <c r="AZ222" s="641">
        <f t="shared" si="120"/>
        <v>999999999</v>
      </c>
      <c r="BA222" s="641">
        <f t="shared" si="121"/>
        <v>999999999</v>
      </c>
      <c r="BB222" s="641">
        <f t="shared" si="121"/>
        <v>999999999</v>
      </c>
      <c r="BC222" s="641">
        <f t="shared" si="121"/>
        <v>999999999</v>
      </c>
      <c r="BD222" s="641">
        <f t="shared" si="121"/>
        <v>999999999</v>
      </c>
      <c r="BE222" s="641">
        <f t="shared" si="121"/>
        <v>999999999</v>
      </c>
      <c r="BF222" s="641">
        <f t="shared" si="121"/>
        <v>999999999</v>
      </c>
      <c r="BG222" s="641">
        <f t="shared" si="121"/>
        <v>999999999</v>
      </c>
      <c r="BH222" s="641">
        <f t="shared" si="121"/>
        <v>999999999</v>
      </c>
      <c r="BI222" s="641">
        <f t="shared" si="121"/>
        <v>999999999</v>
      </c>
      <c r="BJ222" s="641">
        <f t="shared" si="121"/>
        <v>999999999</v>
      </c>
      <c r="BK222" s="641">
        <f t="shared" si="122"/>
        <v>999999999</v>
      </c>
      <c r="BL222" s="641">
        <f t="shared" si="122"/>
        <v>999999999</v>
      </c>
      <c r="BM222" s="641">
        <f t="shared" si="122"/>
        <v>999999999</v>
      </c>
      <c r="BN222" s="641">
        <f t="shared" si="122"/>
        <v>999999999</v>
      </c>
      <c r="BO222" s="641">
        <f t="shared" si="122"/>
        <v>999999999</v>
      </c>
      <c r="BP222" s="641">
        <f t="shared" si="122"/>
        <v>999999999</v>
      </c>
      <c r="BQ222" s="641">
        <f t="shared" si="122"/>
        <v>999999999</v>
      </c>
      <c r="BR222" s="641">
        <f t="shared" si="122"/>
        <v>999999999</v>
      </c>
      <c r="BS222" s="641">
        <f t="shared" si="122"/>
        <v>999999999</v>
      </c>
      <c r="BT222" s="641">
        <f t="shared" si="122"/>
        <v>999999999</v>
      </c>
      <c r="BU222" s="641">
        <f t="shared" si="123"/>
        <v>999999999</v>
      </c>
      <c r="BV222" s="641">
        <f t="shared" si="123"/>
        <v>999999999</v>
      </c>
      <c r="BW222" s="641">
        <f t="shared" si="123"/>
        <v>999999999</v>
      </c>
      <c r="BX222" s="641">
        <f t="shared" si="123"/>
        <v>999999999</v>
      </c>
      <c r="BY222" s="641">
        <f t="shared" si="123"/>
        <v>999999999</v>
      </c>
      <c r="BZ222" s="641">
        <f t="shared" si="123"/>
        <v>999999999</v>
      </c>
      <c r="CA222" s="641">
        <f t="shared" si="123"/>
        <v>999999999</v>
      </c>
      <c r="CB222" s="641">
        <f t="shared" si="123"/>
        <v>999999999</v>
      </c>
      <c r="CC222" s="641">
        <f t="shared" si="123"/>
        <v>999999999</v>
      </c>
      <c r="CD222" s="641">
        <f t="shared" si="123"/>
        <v>999999999</v>
      </c>
      <c r="CE222" s="641">
        <f t="shared" si="124"/>
        <v>999999999</v>
      </c>
      <c r="CF222" s="641">
        <f t="shared" si="124"/>
        <v>999999999</v>
      </c>
      <c r="CG222" s="641">
        <f t="shared" si="124"/>
        <v>999999999</v>
      </c>
      <c r="CH222" s="641">
        <f t="shared" si="124"/>
        <v>999999999</v>
      </c>
      <c r="CI222" s="641">
        <f t="shared" si="124"/>
        <v>999999999</v>
      </c>
      <c r="CJ222" s="641">
        <f t="shared" si="124"/>
        <v>999999999</v>
      </c>
      <c r="CK222" s="641">
        <f t="shared" si="124"/>
        <v>999999999</v>
      </c>
      <c r="CL222" s="641">
        <f t="shared" si="124"/>
        <v>999999999</v>
      </c>
      <c r="CM222" s="641">
        <f t="shared" si="124"/>
        <v>999999999</v>
      </c>
      <c r="CN222" s="641">
        <f t="shared" si="124"/>
        <v>999999999</v>
      </c>
      <c r="CO222" s="641">
        <f t="shared" si="125"/>
        <v>999999999</v>
      </c>
      <c r="CP222" s="641">
        <f t="shared" si="125"/>
        <v>999999999</v>
      </c>
      <c r="CQ222" s="641">
        <f t="shared" si="125"/>
        <v>999999999</v>
      </c>
      <c r="CR222" s="641">
        <f t="shared" si="125"/>
        <v>999999999</v>
      </c>
      <c r="CS222" s="641">
        <f t="shared" si="125"/>
        <v>999999999</v>
      </c>
      <c r="CT222" s="641">
        <f t="shared" si="125"/>
        <v>999999999</v>
      </c>
      <c r="CU222" s="641">
        <f t="shared" si="125"/>
        <v>999999999</v>
      </c>
      <c r="CV222" s="641">
        <f t="shared" si="125"/>
        <v>999999999</v>
      </c>
      <c r="CW222" s="641">
        <f t="shared" si="125"/>
        <v>999999999</v>
      </c>
      <c r="CX222" s="641">
        <f t="shared" si="125"/>
        <v>999999999</v>
      </c>
      <c r="CY222" s="641">
        <f t="shared" si="126"/>
        <v>999999999</v>
      </c>
      <c r="CZ222" s="641">
        <f t="shared" si="126"/>
        <v>999999999</v>
      </c>
      <c r="DA222" s="641">
        <f t="shared" si="126"/>
        <v>999999999</v>
      </c>
      <c r="DB222" s="641">
        <f t="shared" si="126"/>
        <v>999999999</v>
      </c>
      <c r="DC222" s="641">
        <f t="shared" si="126"/>
        <v>999999999</v>
      </c>
      <c r="DD222" s="641">
        <f t="shared" si="126"/>
        <v>999999999</v>
      </c>
      <c r="DE222" s="641">
        <f t="shared" si="126"/>
        <v>999999999</v>
      </c>
      <c r="DF222" s="641">
        <f t="shared" si="126"/>
        <v>999999999</v>
      </c>
      <c r="DG222" s="641">
        <f t="shared" si="126"/>
        <v>999999999</v>
      </c>
      <c r="DH222" s="641">
        <f t="shared" si="126"/>
        <v>999999999</v>
      </c>
      <c r="DI222" s="641">
        <f t="shared" si="127"/>
        <v>999999999</v>
      </c>
      <c r="DJ222" s="641">
        <f t="shared" si="127"/>
        <v>999999999</v>
      </c>
      <c r="DK222" s="641">
        <f t="shared" si="127"/>
        <v>999999999</v>
      </c>
      <c r="DL222" s="641">
        <f t="shared" si="127"/>
        <v>999999999</v>
      </c>
      <c r="DM222" s="641">
        <f t="shared" si="127"/>
        <v>999999999</v>
      </c>
      <c r="DN222" s="641">
        <f t="shared" si="127"/>
        <v>999999999</v>
      </c>
      <c r="DO222" s="641">
        <f t="shared" si="127"/>
        <v>999999999</v>
      </c>
      <c r="DP222" s="641">
        <f t="shared" si="127"/>
        <v>999999999</v>
      </c>
      <c r="DQ222" s="641">
        <f t="shared" si="127"/>
        <v>999999999</v>
      </c>
      <c r="DR222" s="641">
        <f t="shared" si="127"/>
        <v>999999999</v>
      </c>
      <c r="DS222" s="641">
        <f t="shared" si="128"/>
        <v>999999999</v>
      </c>
      <c r="DT222" s="641">
        <f t="shared" si="128"/>
        <v>999999999</v>
      </c>
      <c r="DU222" s="641">
        <f t="shared" si="128"/>
        <v>999999999</v>
      </c>
      <c r="DV222" s="641">
        <f t="shared" si="128"/>
        <v>999999999</v>
      </c>
      <c r="DW222" s="641">
        <f t="shared" si="128"/>
        <v>999999999</v>
      </c>
      <c r="DX222" s="641">
        <f t="shared" si="128"/>
        <v>999999999</v>
      </c>
      <c r="DY222" s="641">
        <f t="shared" si="128"/>
        <v>999999999</v>
      </c>
      <c r="DZ222" s="641">
        <f t="shared" si="128"/>
        <v>999999999</v>
      </c>
      <c r="EA222" s="641">
        <f t="shared" si="128"/>
        <v>999999999</v>
      </c>
      <c r="EB222" s="641">
        <f t="shared" si="128"/>
        <v>999999999</v>
      </c>
      <c r="EC222" s="641">
        <f t="shared" si="128"/>
        <v>999999999</v>
      </c>
    </row>
    <row r="223" spans="28:133" ht="15.5">
      <c r="AB223" s="5">
        <f t="shared" si="118"/>
        <v>2</v>
      </c>
      <c r="AC223" s="128">
        <v>80</v>
      </c>
      <c r="AD223" s="129">
        <f t="shared" si="107"/>
        <v>8066.506604000002</v>
      </c>
      <c r="AF223" s="128">
        <v>80</v>
      </c>
      <c r="AG223" s="641">
        <f t="shared" ref="AG223:AP232" si="129">IF(VLOOKUP($AF223,$T$61:$X$161,2)+VLOOKUP(AG$142,$T$61:$X$161,$AF$141)+VLOOKUP(0,$T$61:$X$161,$AF$140)+VLOOKUP(0,$T$61:$X$161,5)+$Y$51+$Z$44-$U$17&lt;0,999999999,VLOOKUP($AF223,$T$61:$X$161,2)+VLOOKUP(AG$142,$T$61:$X$161,$AF$141)+VLOOKUP(0,$T$61:$X$161,$AF$140)+VLOOKUP(0,$T$61:$X$161,5)+$Y$51+$Z$44-$U$17)</f>
        <v>489661.50660399999</v>
      </c>
      <c r="AH223" s="641">
        <f t="shared" si="129"/>
        <v>426709.50660399999</v>
      </c>
      <c r="AI223" s="641">
        <f t="shared" si="129"/>
        <v>363757.50660399999</v>
      </c>
      <c r="AJ223" s="641">
        <f t="shared" si="129"/>
        <v>300805.50660399999</v>
      </c>
      <c r="AK223" s="641">
        <f t="shared" si="129"/>
        <v>237853.50660399999</v>
      </c>
      <c r="AL223" s="641">
        <f t="shared" si="129"/>
        <v>174901.50660399999</v>
      </c>
      <c r="AM223" s="641">
        <f t="shared" si="129"/>
        <v>112986.50660399999</v>
      </c>
      <c r="AN223" s="641">
        <f t="shared" si="129"/>
        <v>60526.506604000002</v>
      </c>
      <c r="AO223" s="641">
        <f t="shared" si="129"/>
        <v>8066.506604000002</v>
      </c>
      <c r="AP223" s="641">
        <f t="shared" si="129"/>
        <v>999999999</v>
      </c>
      <c r="AQ223" s="641">
        <f t="shared" ref="AQ223:AZ232" si="130">IF(VLOOKUP($AF223,$T$61:$X$161,2)+VLOOKUP(AQ$142,$T$61:$X$161,$AF$141)+VLOOKUP(0,$T$61:$X$161,$AF$140)+VLOOKUP(0,$T$61:$X$161,5)+$Y$51+$Z$44-$U$17&lt;0,999999999,VLOOKUP($AF223,$T$61:$X$161,2)+VLOOKUP(AQ$142,$T$61:$X$161,$AF$141)+VLOOKUP(0,$T$61:$X$161,$AF$140)+VLOOKUP(0,$T$61:$X$161,5)+$Y$51+$Z$44-$U$17)</f>
        <v>999999999</v>
      </c>
      <c r="AR223" s="641">
        <f t="shared" si="130"/>
        <v>999999999</v>
      </c>
      <c r="AS223" s="641">
        <f t="shared" si="130"/>
        <v>999999999</v>
      </c>
      <c r="AT223" s="641">
        <f t="shared" si="130"/>
        <v>999999999</v>
      </c>
      <c r="AU223" s="641">
        <f t="shared" si="130"/>
        <v>999999999</v>
      </c>
      <c r="AV223" s="641">
        <f t="shared" si="130"/>
        <v>999999999</v>
      </c>
      <c r="AW223" s="641">
        <f t="shared" si="130"/>
        <v>999999999</v>
      </c>
      <c r="AX223" s="641">
        <f t="shared" si="130"/>
        <v>999999999</v>
      </c>
      <c r="AY223" s="641">
        <f t="shared" si="130"/>
        <v>999999999</v>
      </c>
      <c r="AZ223" s="641">
        <f t="shared" si="130"/>
        <v>999999999</v>
      </c>
      <c r="BA223" s="641">
        <f t="shared" ref="BA223:BJ232" si="131">IF(VLOOKUP($AF223,$T$61:$X$161,2)+VLOOKUP(BA$142,$T$61:$X$161,$AF$141)+VLOOKUP(0,$T$61:$X$161,$AF$140)+VLOOKUP(0,$T$61:$X$161,5)+$Y$51+$Z$44-$U$17&lt;0,999999999,VLOOKUP($AF223,$T$61:$X$161,2)+VLOOKUP(BA$142,$T$61:$X$161,$AF$141)+VLOOKUP(0,$T$61:$X$161,$AF$140)+VLOOKUP(0,$T$61:$X$161,5)+$Y$51+$Z$44-$U$17)</f>
        <v>999999999</v>
      </c>
      <c r="BB223" s="641">
        <f t="shared" si="131"/>
        <v>999999999</v>
      </c>
      <c r="BC223" s="641">
        <f t="shared" si="131"/>
        <v>999999999</v>
      </c>
      <c r="BD223" s="641">
        <f t="shared" si="131"/>
        <v>999999999</v>
      </c>
      <c r="BE223" s="641">
        <f t="shared" si="131"/>
        <v>999999999</v>
      </c>
      <c r="BF223" s="641">
        <f t="shared" si="131"/>
        <v>999999999</v>
      </c>
      <c r="BG223" s="641">
        <f t="shared" si="131"/>
        <v>999999999</v>
      </c>
      <c r="BH223" s="641">
        <f t="shared" si="131"/>
        <v>999999999</v>
      </c>
      <c r="BI223" s="641">
        <f t="shared" si="131"/>
        <v>999999999</v>
      </c>
      <c r="BJ223" s="641">
        <f t="shared" si="131"/>
        <v>999999999</v>
      </c>
      <c r="BK223" s="641">
        <f t="shared" ref="BK223:BT232" si="132">IF(VLOOKUP($AF223,$T$61:$X$161,2)+VLOOKUP(BK$142,$T$61:$X$161,$AF$141)+VLOOKUP(0,$T$61:$X$161,$AF$140)+VLOOKUP(0,$T$61:$X$161,5)+$Y$51+$Z$44-$U$17&lt;0,999999999,VLOOKUP($AF223,$T$61:$X$161,2)+VLOOKUP(BK$142,$T$61:$X$161,$AF$141)+VLOOKUP(0,$T$61:$X$161,$AF$140)+VLOOKUP(0,$T$61:$X$161,5)+$Y$51+$Z$44-$U$17)</f>
        <v>999999999</v>
      </c>
      <c r="BL223" s="641">
        <f t="shared" si="132"/>
        <v>999999999</v>
      </c>
      <c r="BM223" s="641">
        <f t="shared" si="132"/>
        <v>999999999</v>
      </c>
      <c r="BN223" s="641">
        <f t="shared" si="132"/>
        <v>999999999</v>
      </c>
      <c r="BO223" s="641">
        <f t="shared" si="132"/>
        <v>999999999</v>
      </c>
      <c r="BP223" s="641">
        <f t="shared" si="132"/>
        <v>999999999</v>
      </c>
      <c r="BQ223" s="641">
        <f t="shared" si="132"/>
        <v>999999999</v>
      </c>
      <c r="BR223" s="641">
        <f t="shared" si="132"/>
        <v>999999999</v>
      </c>
      <c r="BS223" s="641">
        <f t="shared" si="132"/>
        <v>999999999</v>
      </c>
      <c r="BT223" s="641">
        <f t="shared" si="132"/>
        <v>999999999</v>
      </c>
      <c r="BU223" s="641">
        <f t="shared" ref="BU223:CD232" si="133">IF(VLOOKUP($AF223,$T$61:$X$161,2)+VLOOKUP(BU$142,$T$61:$X$161,$AF$141)+VLOOKUP(0,$T$61:$X$161,$AF$140)+VLOOKUP(0,$T$61:$X$161,5)+$Y$51+$Z$44-$U$17&lt;0,999999999,VLOOKUP($AF223,$T$61:$X$161,2)+VLOOKUP(BU$142,$T$61:$X$161,$AF$141)+VLOOKUP(0,$T$61:$X$161,$AF$140)+VLOOKUP(0,$T$61:$X$161,5)+$Y$51+$Z$44-$U$17)</f>
        <v>999999999</v>
      </c>
      <c r="BV223" s="641">
        <f t="shared" si="133"/>
        <v>999999999</v>
      </c>
      <c r="BW223" s="641">
        <f t="shared" si="133"/>
        <v>999999999</v>
      </c>
      <c r="BX223" s="641">
        <f t="shared" si="133"/>
        <v>999999999</v>
      </c>
      <c r="BY223" s="641">
        <f t="shared" si="133"/>
        <v>999999999</v>
      </c>
      <c r="BZ223" s="641">
        <f t="shared" si="133"/>
        <v>999999999</v>
      </c>
      <c r="CA223" s="641">
        <f t="shared" si="133"/>
        <v>999999999</v>
      </c>
      <c r="CB223" s="641">
        <f t="shared" si="133"/>
        <v>999999999</v>
      </c>
      <c r="CC223" s="641">
        <f t="shared" si="133"/>
        <v>999999999</v>
      </c>
      <c r="CD223" s="641">
        <f t="shared" si="133"/>
        <v>999999999</v>
      </c>
      <c r="CE223" s="641">
        <f t="shared" ref="CE223:CN232" si="134">IF(VLOOKUP($AF223,$T$61:$X$161,2)+VLOOKUP(CE$142,$T$61:$X$161,$AF$141)+VLOOKUP(0,$T$61:$X$161,$AF$140)+VLOOKUP(0,$T$61:$X$161,5)+$Y$51+$Z$44-$U$17&lt;0,999999999,VLOOKUP($AF223,$T$61:$X$161,2)+VLOOKUP(CE$142,$T$61:$X$161,$AF$141)+VLOOKUP(0,$T$61:$X$161,$AF$140)+VLOOKUP(0,$T$61:$X$161,5)+$Y$51+$Z$44-$U$17)</f>
        <v>999999999</v>
      </c>
      <c r="CF223" s="641">
        <f t="shared" si="134"/>
        <v>999999999</v>
      </c>
      <c r="CG223" s="641">
        <f t="shared" si="134"/>
        <v>999999999</v>
      </c>
      <c r="CH223" s="641">
        <f t="shared" si="134"/>
        <v>999999999</v>
      </c>
      <c r="CI223" s="641">
        <f t="shared" si="134"/>
        <v>999999999</v>
      </c>
      <c r="CJ223" s="641">
        <f t="shared" si="134"/>
        <v>999999999</v>
      </c>
      <c r="CK223" s="641">
        <f t="shared" si="134"/>
        <v>999999999</v>
      </c>
      <c r="CL223" s="641">
        <f t="shared" si="134"/>
        <v>999999999</v>
      </c>
      <c r="CM223" s="641">
        <f t="shared" si="134"/>
        <v>999999999</v>
      </c>
      <c r="CN223" s="641">
        <f t="shared" si="134"/>
        <v>999999999</v>
      </c>
      <c r="CO223" s="641">
        <f t="shared" ref="CO223:CX232" si="135">IF(VLOOKUP($AF223,$T$61:$X$161,2)+VLOOKUP(CO$142,$T$61:$X$161,$AF$141)+VLOOKUP(0,$T$61:$X$161,$AF$140)+VLOOKUP(0,$T$61:$X$161,5)+$Y$51+$Z$44-$U$17&lt;0,999999999,VLOOKUP($AF223,$T$61:$X$161,2)+VLOOKUP(CO$142,$T$61:$X$161,$AF$141)+VLOOKUP(0,$T$61:$X$161,$AF$140)+VLOOKUP(0,$T$61:$X$161,5)+$Y$51+$Z$44-$U$17)</f>
        <v>999999999</v>
      </c>
      <c r="CP223" s="641">
        <f t="shared" si="135"/>
        <v>999999999</v>
      </c>
      <c r="CQ223" s="641">
        <f t="shared" si="135"/>
        <v>999999999</v>
      </c>
      <c r="CR223" s="641">
        <f t="shared" si="135"/>
        <v>999999999</v>
      </c>
      <c r="CS223" s="641">
        <f t="shared" si="135"/>
        <v>999999999</v>
      </c>
      <c r="CT223" s="641">
        <f t="shared" si="135"/>
        <v>999999999</v>
      </c>
      <c r="CU223" s="641">
        <f t="shared" si="135"/>
        <v>999999999</v>
      </c>
      <c r="CV223" s="641">
        <f t="shared" si="135"/>
        <v>999999999</v>
      </c>
      <c r="CW223" s="641">
        <f t="shared" si="135"/>
        <v>999999999</v>
      </c>
      <c r="CX223" s="641">
        <f t="shared" si="135"/>
        <v>999999999</v>
      </c>
      <c r="CY223" s="641">
        <f t="shared" ref="CY223:DH232" si="136">IF(VLOOKUP($AF223,$T$61:$X$161,2)+VLOOKUP(CY$142,$T$61:$X$161,$AF$141)+VLOOKUP(0,$T$61:$X$161,$AF$140)+VLOOKUP(0,$T$61:$X$161,5)+$Y$51+$Z$44-$U$17&lt;0,999999999,VLOOKUP($AF223,$T$61:$X$161,2)+VLOOKUP(CY$142,$T$61:$X$161,$AF$141)+VLOOKUP(0,$T$61:$X$161,$AF$140)+VLOOKUP(0,$T$61:$X$161,5)+$Y$51+$Z$44-$U$17)</f>
        <v>999999999</v>
      </c>
      <c r="CZ223" s="641">
        <f t="shared" si="136"/>
        <v>999999999</v>
      </c>
      <c r="DA223" s="641">
        <f t="shared" si="136"/>
        <v>999999999</v>
      </c>
      <c r="DB223" s="641">
        <f t="shared" si="136"/>
        <v>999999999</v>
      </c>
      <c r="DC223" s="641">
        <f t="shared" si="136"/>
        <v>999999999</v>
      </c>
      <c r="DD223" s="641">
        <f t="shared" si="136"/>
        <v>999999999</v>
      </c>
      <c r="DE223" s="641">
        <f t="shared" si="136"/>
        <v>999999999</v>
      </c>
      <c r="DF223" s="641">
        <f t="shared" si="136"/>
        <v>999999999</v>
      </c>
      <c r="DG223" s="641">
        <f t="shared" si="136"/>
        <v>999999999</v>
      </c>
      <c r="DH223" s="641">
        <f t="shared" si="136"/>
        <v>999999999</v>
      </c>
      <c r="DI223" s="641">
        <f t="shared" ref="DI223:DR232" si="137">IF(VLOOKUP($AF223,$T$61:$X$161,2)+VLOOKUP(DI$142,$T$61:$X$161,$AF$141)+VLOOKUP(0,$T$61:$X$161,$AF$140)+VLOOKUP(0,$T$61:$X$161,5)+$Y$51+$Z$44-$U$17&lt;0,999999999,VLOOKUP($AF223,$T$61:$X$161,2)+VLOOKUP(DI$142,$T$61:$X$161,$AF$141)+VLOOKUP(0,$T$61:$X$161,$AF$140)+VLOOKUP(0,$T$61:$X$161,5)+$Y$51+$Z$44-$U$17)</f>
        <v>999999999</v>
      </c>
      <c r="DJ223" s="641">
        <f t="shared" si="137"/>
        <v>999999999</v>
      </c>
      <c r="DK223" s="641">
        <f t="shared" si="137"/>
        <v>999999999</v>
      </c>
      <c r="DL223" s="641">
        <f t="shared" si="137"/>
        <v>999999999</v>
      </c>
      <c r="DM223" s="641">
        <f t="shared" si="137"/>
        <v>999999999</v>
      </c>
      <c r="DN223" s="641">
        <f t="shared" si="137"/>
        <v>999999999</v>
      </c>
      <c r="DO223" s="641">
        <f t="shared" si="137"/>
        <v>999999999</v>
      </c>
      <c r="DP223" s="641">
        <f t="shared" si="137"/>
        <v>999999999</v>
      </c>
      <c r="DQ223" s="641">
        <f t="shared" si="137"/>
        <v>999999999</v>
      </c>
      <c r="DR223" s="641">
        <f t="shared" si="137"/>
        <v>999999999</v>
      </c>
      <c r="DS223" s="641">
        <f t="shared" ref="DS223:EC232" si="138">IF(VLOOKUP($AF223,$T$61:$X$161,2)+VLOOKUP(DS$142,$T$61:$X$161,$AF$141)+VLOOKUP(0,$T$61:$X$161,$AF$140)+VLOOKUP(0,$T$61:$X$161,5)+$Y$51+$Z$44-$U$17&lt;0,999999999,VLOOKUP($AF223,$T$61:$X$161,2)+VLOOKUP(DS$142,$T$61:$X$161,$AF$141)+VLOOKUP(0,$T$61:$X$161,$AF$140)+VLOOKUP(0,$T$61:$X$161,5)+$Y$51+$Z$44-$U$17)</f>
        <v>999999999</v>
      </c>
      <c r="DT223" s="641">
        <f t="shared" si="138"/>
        <v>999999999</v>
      </c>
      <c r="DU223" s="641">
        <f t="shared" si="138"/>
        <v>999999999</v>
      </c>
      <c r="DV223" s="641">
        <f t="shared" si="138"/>
        <v>999999999</v>
      </c>
      <c r="DW223" s="641">
        <f t="shared" si="138"/>
        <v>999999999</v>
      </c>
      <c r="DX223" s="641">
        <f t="shared" si="138"/>
        <v>999999999</v>
      </c>
      <c r="DY223" s="641">
        <f t="shared" si="138"/>
        <v>999999999</v>
      </c>
      <c r="DZ223" s="641">
        <f t="shared" si="138"/>
        <v>999999999</v>
      </c>
      <c r="EA223" s="641">
        <f t="shared" si="138"/>
        <v>999999999</v>
      </c>
      <c r="EB223" s="641">
        <f t="shared" si="138"/>
        <v>999999999</v>
      </c>
      <c r="EC223" s="641">
        <f t="shared" si="138"/>
        <v>999999999</v>
      </c>
    </row>
    <row r="224" spans="28:133" ht="15.5">
      <c r="AB224" s="5">
        <f t="shared" si="118"/>
        <v>2</v>
      </c>
      <c r="AC224" s="128">
        <v>81</v>
      </c>
      <c r="AD224" s="129">
        <f t="shared" si="107"/>
        <v>8066.506604000002</v>
      </c>
      <c r="AF224" s="128">
        <v>81</v>
      </c>
      <c r="AG224" s="641">
        <f t="shared" si="129"/>
        <v>489661.50660399999</v>
      </c>
      <c r="AH224" s="641">
        <f t="shared" si="129"/>
        <v>426709.50660399999</v>
      </c>
      <c r="AI224" s="641">
        <f t="shared" si="129"/>
        <v>363757.50660399999</v>
      </c>
      <c r="AJ224" s="641">
        <f t="shared" si="129"/>
        <v>300805.50660399999</v>
      </c>
      <c r="AK224" s="641">
        <f t="shared" si="129"/>
        <v>237853.50660399999</v>
      </c>
      <c r="AL224" s="641">
        <f t="shared" si="129"/>
        <v>174901.50660399999</v>
      </c>
      <c r="AM224" s="641">
        <f t="shared" si="129"/>
        <v>112986.50660399999</v>
      </c>
      <c r="AN224" s="641">
        <f t="shared" si="129"/>
        <v>60526.506604000002</v>
      </c>
      <c r="AO224" s="641">
        <f t="shared" si="129"/>
        <v>8066.506604000002</v>
      </c>
      <c r="AP224" s="641">
        <f t="shared" si="129"/>
        <v>999999999</v>
      </c>
      <c r="AQ224" s="641">
        <f t="shared" si="130"/>
        <v>999999999</v>
      </c>
      <c r="AR224" s="641">
        <f t="shared" si="130"/>
        <v>999999999</v>
      </c>
      <c r="AS224" s="641">
        <f t="shared" si="130"/>
        <v>999999999</v>
      </c>
      <c r="AT224" s="641">
        <f t="shared" si="130"/>
        <v>999999999</v>
      </c>
      <c r="AU224" s="641">
        <f t="shared" si="130"/>
        <v>999999999</v>
      </c>
      <c r="AV224" s="641">
        <f t="shared" si="130"/>
        <v>999999999</v>
      </c>
      <c r="AW224" s="641">
        <f t="shared" si="130"/>
        <v>999999999</v>
      </c>
      <c r="AX224" s="641">
        <f t="shared" si="130"/>
        <v>999999999</v>
      </c>
      <c r="AY224" s="641">
        <f t="shared" si="130"/>
        <v>999999999</v>
      </c>
      <c r="AZ224" s="641">
        <f t="shared" si="130"/>
        <v>999999999</v>
      </c>
      <c r="BA224" s="641">
        <f t="shared" si="131"/>
        <v>999999999</v>
      </c>
      <c r="BB224" s="641">
        <f t="shared" si="131"/>
        <v>999999999</v>
      </c>
      <c r="BC224" s="641">
        <f t="shared" si="131"/>
        <v>999999999</v>
      </c>
      <c r="BD224" s="641">
        <f t="shared" si="131"/>
        <v>999999999</v>
      </c>
      <c r="BE224" s="641">
        <f t="shared" si="131"/>
        <v>999999999</v>
      </c>
      <c r="BF224" s="641">
        <f t="shared" si="131"/>
        <v>999999999</v>
      </c>
      <c r="BG224" s="641">
        <f t="shared" si="131"/>
        <v>999999999</v>
      </c>
      <c r="BH224" s="641">
        <f t="shared" si="131"/>
        <v>999999999</v>
      </c>
      <c r="BI224" s="641">
        <f t="shared" si="131"/>
        <v>999999999</v>
      </c>
      <c r="BJ224" s="641">
        <f t="shared" si="131"/>
        <v>999999999</v>
      </c>
      <c r="BK224" s="641">
        <f t="shared" si="132"/>
        <v>999999999</v>
      </c>
      <c r="BL224" s="641">
        <f t="shared" si="132"/>
        <v>999999999</v>
      </c>
      <c r="BM224" s="641">
        <f t="shared" si="132"/>
        <v>999999999</v>
      </c>
      <c r="BN224" s="641">
        <f t="shared" si="132"/>
        <v>999999999</v>
      </c>
      <c r="BO224" s="641">
        <f t="shared" si="132"/>
        <v>999999999</v>
      </c>
      <c r="BP224" s="641">
        <f t="shared" si="132"/>
        <v>999999999</v>
      </c>
      <c r="BQ224" s="641">
        <f t="shared" si="132"/>
        <v>999999999</v>
      </c>
      <c r="BR224" s="641">
        <f t="shared" si="132"/>
        <v>999999999</v>
      </c>
      <c r="BS224" s="641">
        <f t="shared" si="132"/>
        <v>999999999</v>
      </c>
      <c r="BT224" s="641">
        <f t="shared" si="132"/>
        <v>999999999</v>
      </c>
      <c r="BU224" s="641">
        <f t="shared" si="133"/>
        <v>999999999</v>
      </c>
      <c r="BV224" s="641">
        <f t="shared" si="133"/>
        <v>999999999</v>
      </c>
      <c r="BW224" s="641">
        <f t="shared" si="133"/>
        <v>999999999</v>
      </c>
      <c r="BX224" s="641">
        <f t="shared" si="133"/>
        <v>999999999</v>
      </c>
      <c r="BY224" s="641">
        <f t="shared" si="133"/>
        <v>999999999</v>
      </c>
      <c r="BZ224" s="641">
        <f t="shared" si="133"/>
        <v>999999999</v>
      </c>
      <c r="CA224" s="641">
        <f t="shared" si="133"/>
        <v>999999999</v>
      </c>
      <c r="CB224" s="641">
        <f t="shared" si="133"/>
        <v>999999999</v>
      </c>
      <c r="CC224" s="641">
        <f t="shared" si="133"/>
        <v>999999999</v>
      </c>
      <c r="CD224" s="641">
        <f t="shared" si="133"/>
        <v>999999999</v>
      </c>
      <c r="CE224" s="641">
        <f t="shared" si="134"/>
        <v>999999999</v>
      </c>
      <c r="CF224" s="641">
        <f t="shared" si="134"/>
        <v>999999999</v>
      </c>
      <c r="CG224" s="641">
        <f t="shared" si="134"/>
        <v>999999999</v>
      </c>
      <c r="CH224" s="641">
        <f t="shared" si="134"/>
        <v>999999999</v>
      </c>
      <c r="CI224" s="641">
        <f t="shared" si="134"/>
        <v>999999999</v>
      </c>
      <c r="CJ224" s="641">
        <f t="shared" si="134"/>
        <v>999999999</v>
      </c>
      <c r="CK224" s="641">
        <f t="shared" si="134"/>
        <v>999999999</v>
      </c>
      <c r="CL224" s="641">
        <f t="shared" si="134"/>
        <v>999999999</v>
      </c>
      <c r="CM224" s="641">
        <f t="shared" si="134"/>
        <v>999999999</v>
      </c>
      <c r="CN224" s="641">
        <f t="shared" si="134"/>
        <v>999999999</v>
      </c>
      <c r="CO224" s="641">
        <f t="shared" si="135"/>
        <v>999999999</v>
      </c>
      <c r="CP224" s="641">
        <f t="shared" si="135"/>
        <v>999999999</v>
      </c>
      <c r="CQ224" s="641">
        <f t="shared" si="135"/>
        <v>999999999</v>
      </c>
      <c r="CR224" s="641">
        <f t="shared" si="135"/>
        <v>999999999</v>
      </c>
      <c r="CS224" s="641">
        <f t="shared" si="135"/>
        <v>999999999</v>
      </c>
      <c r="CT224" s="641">
        <f t="shared" si="135"/>
        <v>999999999</v>
      </c>
      <c r="CU224" s="641">
        <f t="shared" si="135"/>
        <v>999999999</v>
      </c>
      <c r="CV224" s="641">
        <f t="shared" si="135"/>
        <v>999999999</v>
      </c>
      <c r="CW224" s="641">
        <f t="shared" si="135"/>
        <v>999999999</v>
      </c>
      <c r="CX224" s="641">
        <f t="shared" si="135"/>
        <v>999999999</v>
      </c>
      <c r="CY224" s="641">
        <f t="shared" si="136"/>
        <v>999999999</v>
      </c>
      <c r="CZ224" s="641">
        <f t="shared" si="136"/>
        <v>999999999</v>
      </c>
      <c r="DA224" s="641">
        <f t="shared" si="136"/>
        <v>999999999</v>
      </c>
      <c r="DB224" s="641">
        <f t="shared" si="136"/>
        <v>999999999</v>
      </c>
      <c r="DC224" s="641">
        <f t="shared" si="136"/>
        <v>999999999</v>
      </c>
      <c r="DD224" s="641">
        <f t="shared" si="136"/>
        <v>999999999</v>
      </c>
      <c r="DE224" s="641">
        <f t="shared" si="136"/>
        <v>999999999</v>
      </c>
      <c r="DF224" s="641">
        <f t="shared" si="136"/>
        <v>999999999</v>
      </c>
      <c r="DG224" s="641">
        <f t="shared" si="136"/>
        <v>999999999</v>
      </c>
      <c r="DH224" s="641">
        <f t="shared" si="136"/>
        <v>999999999</v>
      </c>
      <c r="DI224" s="641">
        <f t="shared" si="137"/>
        <v>999999999</v>
      </c>
      <c r="DJ224" s="641">
        <f t="shared" si="137"/>
        <v>999999999</v>
      </c>
      <c r="DK224" s="641">
        <f t="shared" si="137"/>
        <v>999999999</v>
      </c>
      <c r="DL224" s="641">
        <f t="shared" si="137"/>
        <v>999999999</v>
      </c>
      <c r="DM224" s="641">
        <f t="shared" si="137"/>
        <v>999999999</v>
      </c>
      <c r="DN224" s="641">
        <f t="shared" si="137"/>
        <v>999999999</v>
      </c>
      <c r="DO224" s="641">
        <f t="shared" si="137"/>
        <v>999999999</v>
      </c>
      <c r="DP224" s="641">
        <f t="shared" si="137"/>
        <v>999999999</v>
      </c>
      <c r="DQ224" s="641">
        <f t="shared" si="137"/>
        <v>999999999</v>
      </c>
      <c r="DR224" s="641">
        <f t="shared" si="137"/>
        <v>999999999</v>
      </c>
      <c r="DS224" s="641">
        <f t="shared" si="138"/>
        <v>999999999</v>
      </c>
      <c r="DT224" s="641">
        <f t="shared" si="138"/>
        <v>999999999</v>
      </c>
      <c r="DU224" s="641">
        <f t="shared" si="138"/>
        <v>999999999</v>
      </c>
      <c r="DV224" s="641">
        <f t="shared" si="138"/>
        <v>999999999</v>
      </c>
      <c r="DW224" s="641">
        <f t="shared" si="138"/>
        <v>999999999</v>
      </c>
      <c r="DX224" s="641">
        <f t="shared" si="138"/>
        <v>999999999</v>
      </c>
      <c r="DY224" s="641">
        <f t="shared" si="138"/>
        <v>999999999</v>
      </c>
      <c r="DZ224" s="641">
        <f t="shared" si="138"/>
        <v>999999999</v>
      </c>
      <c r="EA224" s="641">
        <f t="shared" si="138"/>
        <v>999999999</v>
      </c>
      <c r="EB224" s="641">
        <f t="shared" si="138"/>
        <v>999999999</v>
      </c>
      <c r="EC224" s="641">
        <f t="shared" si="138"/>
        <v>999999999</v>
      </c>
    </row>
    <row r="225" spans="28:133" ht="15.5">
      <c r="AB225" s="5">
        <f t="shared" si="118"/>
        <v>2</v>
      </c>
      <c r="AC225" s="128">
        <v>82</v>
      </c>
      <c r="AD225" s="129">
        <f t="shared" si="107"/>
        <v>8066.506604000002</v>
      </c>
      <c r="AF225" s="128">
        <v>82</v>
      </c>
      <c r="AG225" s="641">
        <f t="shared" si="129"/>
        <v>489661.50660399999</v>
      </c>
      <c r="AH225" s="641">
        <f t="shared" si="129"/>
        <v>426709.50660399999</v>
      </c>
      <c r="AI225" s="641">
        <f t="shared" si="129"/>
        <v>363757.50660399999</v>
      </c>
      <c r="AJ225" s="641">
        <f t="shared" si="129"/>
        <v>300805.50660399999</v>
      </c>
      <c r="AK225" s="641">
        <f t="shared" si="129"/>
        <v>237853.50660399999</v>
      </c>
      <c r="AL225" s="641">
        <f t="shared" si="129"/>
        <v>174901.50660399999</v>
      </c>
      <c r="AM225" s="641">
        <f t="shared" si="129"/>
        <v>112986.50660399999</v>
      </c>
      <c r="AN225" s="641">
        <f t="shared" si="129"/>
        <v>60526.506604000002</v>
      </c>
      <c r="AO225" s="641">
        <f t="shared" si="129"/>
        <v>8066.506604000002</v>
      </c>
      <c r="AP225" s="641">
        <f t="shared" si="129"/>
        <v>999999999</v>
      </c>
      <c r="AQ225" s="641">
        <f t="shared" si="130"/>
        <v>999999999</v>
      </c>
      <c r="AR225" s="641">
        <f t="shared" si="130"/>
        <v>999999999</v>
      </c>
      <c r="AS225" s="641">
        <f t="shared" si="130"/>
        <v>999999999</v>
      </c>
      <c r="AT225" s="641">
        <f t="shared" si="130"/>
        <v>999999999</v>
      </c>
      <c r="AU225" s="641">
        <f t="shared" si="130"/>
        <v>999999999</v>
      </c>
      <c r="AV225" s="641">
        <f t="shared" si="130"/>
        <v>999999999</v>
      </c>
      <c r="AW225" s="641">
        <f t="shared" si="130"/>
        <v>999999999</v>
      </c>
      <c r="AX225" s="641">
        <f t="shared" si="130"/>
        <v>999999999</v>
      </c>
      <c r="AY225" s="641">
        <f t="shared" si="130"/>
        <v>999999999</v>
      </c>
      <c r="AZ225" s="641">
        <f t="shared" si="130"/>
        <v>999999999</v>
      </c>
      <c r="BA225" s="641">
        <f t="shared" si="131"/>
        <v>999999999</v>
      </c>
      <c r="BB225" s="641">
        <f t="shared" si="131"/>
        <v>999999999</v>
      </c>
      <c r="BC225" s="641">
        <f t="shared" si="131"/>
        <v>999999999</v>
      </c>
      <c r="BD225" s="641">
        <f t="shared" si="131"/>
        <v>999999999</v>
      </c>
      <c r="BE225" s="641">
        <f t="shared" si="131"/>
        <v>999999999</v>
      </c>
      <c r="BF225" s="641">
        <f t="shared" si="131"/>
        <v>999999999</v>
      </c>
      <c r="BG225" s="641">
        <f t="shared" si="131"/>
        <v>999999999</v>
      </c>
      <c r="BH225" s="641">
        <f t="shared" si="131"/>
        <v>999999999</v>
      </c>
      <c r="BI225" s="641">
        <f t="shared" si="131"/>
        <v>999999999</v>
      </c>
      <c r="BJ225" s="641">
        <f t="shared" si="131"/>
        <v>999999999</v>
      </c>
      <c r="BK225" s="641">
        <f t="shared" si="132"/>
        <v>999999999</v>
      </c>
      <c r="BL225" s="641">
        <f t="shared" si="132"/>
        <v>999999999</v>
      </c>
      <c r="BM225" s="641">
        <f t="shared" si="132"/>
        <v>999999999</v>
      </c>
      <c r="BN225" s="641">
        <f t="shared" si="132"/>
        <v>999999999</v>
      </c>
      <c r="BO225" s="641">
        <f t="shared" si="132"/>
        <v>999999999</v>
      </c>
      <c r="BP225" s="641">
        <f t="shared" si="132"/>
        <v>999999999</v>
      </c>
      <c r="BQ225" s="641">
        <f t="shared" si="132"/>
        <v>999999999</v>
      </c>
      <c r="BR225" s="641">
        <f t="shared" si="132"/>
        <v>999999999</v>
      </c>
      <c r="BS225" s="641">
        <f t="shared" si="132"/>
        <v>999999999</v>
      </c>
      <c r="BT225" s="641">
        <f t="shared" si="132"/>
        <v>999999999</v>
      </c>
      <c r="BU225" s="641">
        <f t="shared" si="133"/>
        <v>999999999</v>
      </c>
      <c r="BV225" s="641">
        <f t="shared" si="133"/>
        <v>999999999</v>
      </c>
      <c r="BW225" s="641">
        <f t="shared" si="133"/>
        <v>999999999</v>
      </c>
      <c r="BX225" s="641">
        <f t="shared" si="133"/>
        <v>999999999</v>
      </c>
      <c r="BY225" s="641">
        <f t="shared" si="133"/>
        <v>999999999</v>
      </c>
      <c r="BZ225" s="641">
        <f t="shared" si="133"/>
        <v>999999999</v>
      </c>
      <c r="CA225" s="641">
        <f t="shared" si="133"/>
        <v>999999999</v>
      </c>
      <c r="CB225" s="641">
        <f t="shared" si="133"/>
        <v>999999999</v>
      </c>
      <c r="CC225" s="641">
        <f t="shared" si="133"/>
        <v>999999999</v>
      </c>
      <c r="CD225" s="641">
        <f t="shared" si="133"/>
        <v>999999999</v>
      </c>
      <c r="CE225" s="641">
        <f t="shared" si="134"/>
        <v>999999999</v>
      </c>
      <c r="CF225" s="641">
        <f t="shared" si="134"/>
        <v>999999999</v>
      </c>
      <c r="CG225" s="641">
        <f t="shared" si="134"/>
        <v>999999999</v>
      </c>
      <c r="CH225" s="641">
        <f t="shared" si="134"/>
        <v>999999999</v>
      </c>
      <c r="CI225" s="641">
        <f t="shared" si="134"/>
        <v>999999999</v>
      </c>
      <c r="CJ225" s="641">
        <f t="shared" si="134"/>
        <v>999999999</v>
      </c>
      <c r="CK225" s="641">
        <f t="shared" si="134"/>
        <v>999999999</v>
      </c>
      <c r="CL225" s="641">
        <f t="shared" si="134"/>
        <v>999999999</v>
      </c>
      <c r="CM225" s="641">
        <f t="shared" si="134"/>
        <v>999999999</v>
      </c>
      <c r="CN225" s="641">
        <f t="shared" si="134"/>
        <v>999999999</v>
      </c>
      <c r="CO225" s="641">
        <f t="shared" si="135"/>
        <v>999999999</v>
      </c>
      <c r="CP225" s="641">
        <f t="shared" si="135"/>
        <v>999999999</v>
      </c>
      <c r="CQ225" s="641">
        <f t="shared" si="135"/>
        <v>999999999</v>
      </c>
      <c r="CR225" s="641">
        <f t="shared" si="135"/>
        <v>999999999</v>
      </c>
      <c r="CS225" s="641">
        <f t="shared" si="135"/>
        <v>999999999</v>
      </c>
      <c r="CT225" s="641">
        <f t="shared" si="135"/>
        <v>999999999</v>
      </c>
      <c r="CU225" s="641">
        <f t="shared" si="135"/>
        <v>999999999</v>
      </c>
      <c r="CV225" s="641">
        <f t="shared" si="135"/>
        <v>999999999</v>
      </c>
      <c r="CW225" s="641">
        <f t="shared" si="135"/>
        <v>999999999</v>
      </c>
      <c r="CX225" s="641">
        <f t="shared" si="135"/>
        <v>999999999</v>
      </c>
      <c r="CY225" s="641">
        <f t="shared" si="136"/>
        <v>999999999</v>
      </c>
      <c r="CZ225" s="641">
        <f t="shared" si="136"/>
        <v>999999999</v>
      </c>
      <c r="DA225" s="641">
        <f t="shared" si="136"/>
        <v>999999999</v>
      </c>
      <c r="DB225" s="641">
        <f t="shared" si="136"/>
        <v>999999999</v>
      </c>
      <c r="DC225" s="641">
        <f t="shared" si="136"/>
        <v>999999999</v>
      </c>
      <c r="DD225" s="641">
        <f t="shared" si="136"/>
        <v>999999999</v>
      </c>
      <c r="DE225" s="641">
        <f t="shared" si="136"/>
        <v>999999999</v>
      </c>
      <c r="DF225" s="641">
        <f t="shared" si="136"/>
        <v>999999999</v>
      </c>
      <c r="DG225" s="641">
        <f t="shared" si="136"/>
        <v>999999999</v>
      </c>
      <c r="DH225" s="641">
        <f t="shared" si="136"/>
        <v>999999999</v>
      </c>
      <c r="DI225" s="641">
        <f t="shared" si="137"/>
        <v>999999999</v>
      </c>
      <c r="DJ225" s="641">
        <f t="shared" si="137"/>
        <v>999999999</v>
      </c>
      <c r="DK225" s="641">
        <f t="shared" si="137"/>
        <v>999999999</v>
      </c>
      <c r="DL225" s="641">
        <f t="shared" si="137"/>
        <v>999999999</v>
      </c>
      <c r="DM225" s="641">
        <f t="shared" si="137"/>
        <v>999999999</v>
      </c>
      <c r="DN225" s="641">
        <f t="shared" si="137"/>
        <v>999999999</v>
      </c>
      <c r="DO225" s="641">
        <f t="shared" si="137"/>
        <v>999999999</v>
      </c>
      <c r="DP225" s="641">
        <f t="shared" si="137"/>
        <v>999999999</v>
      </c>
      <c r="DQ225" s="641">
        <f t="shared" si="137"/>
        <v>999999999</v>
      </c>
      <c r="DR225" s="641">
        <f t="shared" si="137"/>
        <v>999999999</v>
      </c>
      <c r="DS225" s="641">
        <f t="shared" si="138"/>
        <v>999999999</v>
      </c>
      <c r="DT225" s="641">
        <f t="shared" si="138"/>
        <v>999999999</v>
      </c>
      <c r="DU225" s="641">
        <f t="shared" si="138"/>
        <v>999999999</v>
      </c>
      <c r="DV225" s="641">
        <f t="shared" si="138"/>
        <v>999999999</v>
      </c>
      <c r="DW225" s="641">
        <f t="shared" si="138"/>
        <v>999999999</v>
      </c>
      <c r="DX225" s="641">
        <f t="shared" si="138"/>
        <v>999999999</v>
      </c>
      <c r="DY225" s="641">
        <f t="shared" si="138"/>
        <v>999999999</v>
      </c>
      <c r="DZ225" s="641">
        <f t="shared" si="138"/>
        <v>999999999</v>
      </c>
      <c r="EA225" s="641">
        <f t="shared" si="138"/>
        <v>999999999</v>
      </c>
      <c r="EB225" s="641">
        <f t="shared" si="138"/>
        <v>999999999</v>
      </c>
      <c r="EC225" s="641">
        <f t="shared" si="138"/>
        <v>999999999</v>
      </c>
    </row>
    <row r="226" spans="28:133" ht="15.5">
      <c r="AB226" s="5">
        <f t="shared" si="118"/>
        <v>2</v>
      </c>
      <c r="AC226" s="128">
        <v>83</v>
      </c>
      <c r="AD226" s="129">
        <f t="shared" si="107"/>
        <v>8066.506604000002</v>
      </c>
      <c r="AF226" s="128">
        <v>83</v>
      </c>
      <c r="AG226" s="641">
        <f t="shared" si="129"/>
        <v>489661.50660399999</v>
      </c>
      <c r="AH226" s="641">
        <f t="shared" si="129"/>
        <v>426709.50660399999</v>
      </c>
      <c r="AI226" s="641">
        <f t="shared" si="129"/>
        <v>363757.50660399999</v>
      </c>
      <c r="AJ226" s="641">
        <f t="shared" si="129"/>
        <v>300805.50660399999</v>
      </c>
      <c r="AK226" s="641">
        <f t="shared" si="129"/>
        <v>237853.50660399999</v>
      </c>
      <c r="AL226" s="641">
        <f t="shared" si="129"/>
        <v>174901.50660399999</v>
      </c>
      <c r="AM226" s="641">
        <f t="shared" si="129"/>
        <v>112986.50660399999</v>
      </c>
      <c r="AN226" s="641">
        <f t="shared" si="129"/>
        <v>60526.506604000002</v>
      </c>
      <c r="AO226" s="641">
        <f t="shared" si="129"/>
        <v>8066.506604000002</v>
      </c>
      <c r="AP226" s="641">
        <f t="shared" si="129"/>
        <v>999999999</v>
      </c>
      <c r="AQ226" s="641">
        <f t="shared" si="130"/>
        <v>999999999</v>
      </c>
      <c r="AR226" s="641">
        <f t="shared" si="130"/>
        <v>999999999</v>
      </c>
      <c r="AS226" s="641">
        <f t="shared" si="130"/>
        <v>999999999</v>
      </c>
      <c r="AT226" s="641">
        <f t="shared" si="130"/>
        <v>999999999</v>
      </c>
      <c r="AU226" s="641">
        <f t="shared" si="130"/>
        <v>999999999</v>
      </c>
      <c r="AV226" s="641">
        <f t="shared" si="130"/>
        <v>999999999</v>
      </c>
      <c r="AW226" s="641">
        <f t="shared" si="130"/>
        <v>999999999</v>
      </c>
      <c r="AX226" s="641">
        <f t="shared" si="130"/>
        <v>999999999</v>
      </c>
      <c r="AY226" s="641">
        <f t="shared" si="130"/>
        <v>999999999</v>
      </c>
      <c r="AZ226" s="641">
        <f t="shared" si="130"/>
        <v>999999999</v>
      </c>
      <c r="BA226" s="641">
        <f t="shared" si="131"/>
        <v>999999999</v>
      </c>
      <c r="BB226" s="641">
        <f t="shared" si="131"/>
        <v>999999999</v>
      </c>
      <c r="BC226" s="641">
        <f t="shared" si="131"/>
        <v>999999999</v>
      </c>
      <c r="BD226" s="641">
        <f t="shared" si="131"/>
        <v>999999999</v>
      </c>
      <c r="BE226" s="641">
        <f t="shared" si="131"/>
        <v>999999999</v>
      </c>
      <c r="BF226" s="641">
        <f t="shared" si="131"/>
        <v>999999999</v>
      </c>
      <c r="BG226" s="641">
        <f t="shared" si="131"/>
        <v>999999999</v>
      </c>
      <c r="BH226" s="641">
        <f t="shared" si="131"/>
        <v>999999999</v>
      </c>
      <c r="BI226" s="641">
        <f t="shared" si="131"/>
        <v>999999999</v>
      </c>
      <c r="BJ226" s="641">
        <f t="shared" si="131"/>
        <v>999999999</v>
      </c>
      <c r="BK226" s="641">
        <f t="shared" si="132"/>
        <v>999999999</v>
      </c>
      <c r="BL226" s="641">
        <f t="shared" si="132"/>
        <v>999999999</v>
      </c>
      <c r="BM226" s="641">
        <f t="shared" si="132"/>
        <v>999999999</v>
      </c>
      <c r="BN226" s="641">
        <f t="shared" si="132"/>
        <v>999999999</v>
      </c>
      <c r="BO226" s="641">
        <f t="shared" si="132"/>
        <v>999999999</v>
      </c>
      <c r="BP226" s="641">
        <f t="shared" si="132"/>
        <v>999999999</v>
      </c>
      <c r="BQ226" s="641">
        <f t="shared" si="132"/>
        <v>999999999</v>
      </c>
      <c r="BR226" s="641">
        <f t="shared" si="132"/>
        <v>999999999</v>
      </c>
      <c r="BS226" s="641">
        <f t="shared" si="132"/>
        <v>999999999</v>
      </c>
      <c r="BT226" s="641">
        <f t="shared" si="132"/>
        <v>999999999</v>
      </c>
      <c r="BU226" s="641">
        <f t="shared" si="133"/>
        <v>999999999</v>
      </c>
      <c r="BV226" s="641">
        <f t="shared" si="133"/>
        <v>999999999</v>
      </c>
      <c r="BW226" s="641">
        <f t="shared" si="133"/>
        <v>999999999</v>
      </c>
      <c r="BX226" s="641">
        <f t="shared" si="133"/>
        <v>999999999</v>
      </c>
      <c r="BY226" s="641">
        <f t="shared" si="133"/>
        <v>999999999</v>
      </c>
      <c r="BZ226" s="641">
        <f t="shared" si="133"/>
        <v>999999999</v>
      </c>
      <c r="CA226" s="641">
        <f t="shared" si="133"/>
        <v>999999999</v>
      </c>
      <c r="CB226" s="641">
        <f t="shared" si="133"/>
        <v>999999999</v>
      </c>
      <c r="CC226" s="641">
        <f t="shared" si="133"/>
        <v>999999999</v>
      </c>
      <c r="CD226" s="641">
        <f t="shared" si="133"/>
        <v>999999999</v>
      </c>
      <c r="CE226" s="641">
        <f t="shared" si="134"/>
        <v>999999999</v>
      </c>
      <c r="CF226" s="641">
        <f t="shared" si="134"/>
        <v>999999999</v>
      </c>
      <c r="CG226" s="641">
        <f t="shared" si="134"/>
        <v>999999999</v>
      </c>
      <c r="CH226" s="641">
        <f t="shared" si="134"/>
        <v>999999999</v>
      </c>
      <c r="CI226" s="641">
        <f t="shared" si="134"/>
        <v>999999999</v>
      </c>
      <c r="CJ226" s="641">
        <f t="shared" si="134"/>
        <v>999999999</v>
      </c>
      <c r="CK226" s="641">
        <f t="shared" si="134"/>
        <v>999999999</v>
      </c>
      <c r="CL226" s="641">
        <f t="shared" si="134"/>
        <v>999999999</v>
      </c>
      <c r="CM226" s="641">
        <f t="shared" si="134"/>
        <v>999999999</v>
      </c>
      <c r="CN226" s="641">
        <f t="shared" si="134"/>
        <v>999999999</v>
      </c>
      <c r="CO226" s="641">
        <f t="shared" si="135"/>
        <v>999999999</v>
      </c>
      <c r="CP226" s="641">
        <f t="shared" si="135"/>
        <v>999999999</v>
      </c>
      <c r="CQ226" s="641">
        <f t="shared" si="135"/>
        <v>999999999</v>
      </c>
      <c r="CR226" s="641">
        <f t="shared" si="135"/>
        <v>999999999</v>
      </c>
      <c r="CS226" s="641">
        <f t="shared" si="135"/>
        <v>999999999</v>
      </c>
      <c r="CT226" s="641">
        <f t="shared" si="135"/>
        <v>999999999</v>
      </c>
      <c r="CU226" s="641">
        <f t="shared" si="135"/>
        <v>999999999</v>
      </c>
      <c r="CV226" s="641">
        <f t="shared" si="135"/>
        <v>999999999</v>
      </c>
      <c r="CW226" s="641">
        <f t="shared" si="135"/>
        <v>999999999</v>
      </c>
      <c r="CX226" s="641">
        <f t="shared" si="135"/>
        <v>999999999</v>
      </c>
      <c r="CY226" s="641">
        <f t="shared" si="136"/>
        <v>999999999</v>
      </c>
      <c r="CZ226" s="641">
        <f t="shared" si="136"/>
        <v>999999999</v>
      </c>
      <c r="DA226" s="641">
        <f t="shared" si="136"/>
        <v>999999999</v>
      </c>
      <c r="DB226" s="641">
        <f t="shared" si="136"/>
        <v>999999999</v>
      </c>
      <c r="DC226" s="641">
        <f t="shared" si="136"/>
        <v>999999999</v>
      </c>
      <c r="DD226" s="641">
        <f t="shared" si="136"/>
        <v>999999999</v>
      </c>
      <c r="DE226" s="641">
        <f t="shared" si="136"/>
        <v>999999999</v>
      </c>
      <c r="DF226" s="641">
        <f t="shared" si="136"/>
        <v>999999999</v>
      </c>
      <c r="DG226" s="641">
        <f t="shared" si="136"/>
        <v>999999999</v>
      </c>
      <c r="DH226" s="641">
        <f t="shared" si="136"/>
        <v>999999999</v>
      </c>
      <c r="DI226" s="641">
        <f t="shared" si="137"/>
        <v>999999999</v>
      </c>
      <c r="DJ226" s="641">
        <f t="shared" si="137"/>
        <v>999999999</v>
      </c>
      <c r="DK226" s="641">
        <f t="shared" si="137"/>
        <v>999999999</v>
      </c>
      <c r="DL226" s="641">
        <f t="shared" si="137"/>
        <v>999999999</v>
      </c>
      <c r="DM226" s="641">
        <f t="shared" si="137"/>
        <v>999999999</v>
      </c>
      <c r="DN226" s="641">
        <f t="shared" si="137"/>
        <v>999999999</v>
      </c>
      <c r="DO226" s="641">
        <f t="shared" si="137"/>
        <v>999999999</v>
      </c>
      <c r="DP226" s="641">
        <f t="shared" si="137"/>
        <v>999999999</v>
      </c>
      <c r="DQ226" s="641">
        <f t="shared" si="137"/>
        <v>999999999</v>
      </c>
      <c r="DR226" s="641">
        <f t="shared" si="137"/>
        <v>999999999</v>
      </c>
      <c r="DS226" s="641">
        <f t="shared" si="138"/>
        <v>999999999</v>
      </c>
      <c r="DT226" s="641">
        <f t="shared" si="138"/>
        <v>999999999</v>
      </c>
      <c r="DU226" s="641">
        <f t="shared" si="138"/>
        <v>999999999</v>
      </c>
      <c r="DV226" s="641">
        <f t="shared" si="138"/>
        <v>999999999</v>
      </c>
      <c r="DW226" s="641">
        <f t="shared" si="138"/>
        <v>999999999</v>
      </c>
      <c r="DX226" s="641">
        <f t="shared" si="138"/>
        <v>999999999</v>
      </c>
      <c r="DY226" s="641">
        <f t="shared" si="138"/>
        <v>999999999</v>
      </c>
      <c r="DZ226" s="641">
        <f t="shared" si="138"/>
        <v>999999999</v>
      </c>
      <c r="EA226" s="641">
        <f t="shared" si="138"/>
        <v>999999999</v>
      </c>
      <c r="EB226" s="641">
        <f t="shared" si="138"/>
        <v>999999999</v>
      </c>
      <c r="EC226" s="641">
        <f t="shared" si="138"/>
        <v>999999999</v>
      </c>
    </row>
    <row r="227" spans="28:133" ht="15.5">
      <c r="AB227" s="5">
        <f t="shared" si="118"/>
        <v>2</v>
      </c>
      <c r="AC227" s="128">
        <v>84</v>
      </c>
      <c r="AD227" s="129">
        <f t="shared" si="107"/>
        <v>8066.506604000002</v>
      </c>
      <c r="AF227" s="128">
        <v>84</v>
      </c>
      <c r="AG227" s="641">
        <f t="shared" si="129"/>
        <v>489661.50660399999</v>
      </c>
      <c r="AH227" s="641">
        <f t="shared" si="129"/>
        <v>426709.50660399999</v>
      </c>
      <c r="AI227" s="641">
        <f t="shared" si="129"/>
        <v>363757.50660399999</v>
      </c>
      <c r="AJ227" s="641">
        <f t="shared" si="129"/>
        <v>300805.50660399999</v>
      </c>
      <c r="AK227" s="641">
        <f t="shared" si="129"/>
        <v>237853.50660399999</v>
      </c>
      <c r="AL227" s="641">
        <f t="shared" si="129"/>
        <v>174901.50660399999</v>
      </c>
      <c r="AM227" s="641">
        <f t="shared" si="129"/>
        <v>112986.50660399999</v>
      </c>
      <c r="AN227" s="641">
        <f t="shared" si="129"/>
        <v>60526.506604000002</v>
      </c>
      <c r="AO227" s="641">
        <f t="shared" si="129"/>
        <v>8066.506604000002</v>
      </c>
      <c r="AP227" s="641">
        <f t="shared" si="129"/>
        <v>999999999</v>
      </c>
      <c r="AQ227" s="641">
        <f t="shared" si="130"/>
        <v>999999999</v>
      </c>
      <c r="AR227" s="641">
        <f t="shared" si="130"/>
        <v>999999999</v>
      </c>
      <c r="AS227" s="641">
        <f t="shared" si="130"/>
        <v>999999999</v>
      </c>
      <c r="AT227" s="641">
        <f t="shared" si="130"/>
        <v>999999999</v>
      </c>
      <c r="AU227" s="641">
        <f t="shared" si="130"/>
        <v>999999999</v>
      </c>
      <c r="AV227" s="641">
        <f t="shared" si="130"/>
        <v>999999999</v>
      </c>
      <c r="AW227" s="641">
        <f t="shared" si="130"/>
        <v>999999999</v>
      </c>
      <c r="AX227" s="641">
        <f t="shared" si="130"/>
        <v>999999999</v>
      </c>
      <c r="AY227" s="641">
        <f t="shared" si="130"/>
        <v>999999999</v>
      </c>
      <c r="AZ227" s="641">
        <f t="shared" si="130"/>
        <v>999999999</v>
      </c>
      <c r="BA227" s="641">
        <f t="shared" si="131"/>
        <v>999999999</v>
      </c>
      <c r="BB227" s="641">
        <f t="shared" si="131"/>
        <v>999999999</v>
      </c>
      <c r="BC227" s="641">
        <f t="shared" si="131"/>
        <v>999999999</v>
      </c>
      <c r="BD227" s="641">
        <f t="shared" si="131"/>
        <v>999999999</v>
      </c>
      <c r="BE227" s="641">
        <f t="shared" si="131"/>
        <v>999999999</v>
      </c>
      <c r="BF227" s="641">
        <f t="shared" si="131"/>
        <v>999999999</v>
      </c>
      <c r="BG227" s="641">
        <f t="shared" si="131"/>
        <v>999999999</v>
      </c>
      <c r="BH227" s="641">
        <f t="shared" si="131"/>
        <v>999999999</v>
      </c>
      <c r="BI227" s="641">
        <f t="shared" si="131"/>
        <v>999999999</v>
      </c>
      <c r="BJ227" s="641">
        <f t="shared" si="131"/>
        <v>999999999</v>
      </c>
      <c r="BK227" s="641">
        <f t="shared" si="132"/>
        <v>999999999</v>
      </c>
      <c r="BL227" s="641">
        <f t="shared" si="132"/>
        <v>999999999</v>
      </c>
      <c r="BM227" s="641">
        <f t="shared" si="132"/>
        <v>999999999</v>
      </c>
      <c r="BN227" s="641">
        <f t="shared" si="132"/>
        <v>999999999</v>
      </c>
      <c r="BO227" s="641">
        <f t="shared" si="132"/>
        <v>999999999</v>
      </c>
      <c r="BP227" s="641">
        <f t="shared" si="132"/>
        <v>999999999</v>
      </c>
      <c r="BQ227" s="641">
        <f t="shared" si="132"/>
        <v>999999999</v>
      </c>
      <c r="BR227" s="641">
        <f t="shared" si="132"/>
        <v>999999999</v>
      </c>
      <c r="BS227" s="641">
        <f t="shared" si="132"/>
        <v>999999999</v>
      </c>
      <c r="BT227" s="641">
        <f t="shared" si="132"/>
        <v>999999999</v>
      </c>
      <c r="BU227" s="641">
        <f t="shared" si="133"/>
        <v>999999999</v>
      </c>
      <c r="BV227" s="641">
        <f t="shared" si="133"/>
        <v>999999999</v>
      </c>
      <c r="BW227" s="641">
        <f t="shared" si="133"/>
        <v>999999999</v>
      </c>
      <c r="BX227" s="641">
        <f t="shared" si="133"/>
        <v>999999999</v>
      </c>
      <c r="BY227" s="641">
        <f t="shared" si="133"/>
        <v>999999999</v>
      </c>
      <c r="BZ227" s="641">
        <f t="shared" si="133"/>
        <v>999999999</v>
      </c>
      <c r="CA227" s="641">
        <f t="shared" si="133"/>
        <v>999999999</v>
      </c>
      <c r="CB227" s="641">
        <f t="shared" si="133"/>
        <v>999999999</v>
      </c>
      <c r="CC227" s="641">
        <f t="shared" si="133"/>
        <v>999999999</v>
      </c>
      <c r="CD227" s="641">
        <f t="shared" si="133"/>
        <v>999999999</v>
      </c>
      <c r="CE227" s="641">
        <f t="shared" si="134"/>
        <v>999999999</v>
      </c>
      <c r="CF227" s="641">
        <f t="shared" si="134"/>
        <v>999999999</v>
      </c>
      <c r="CG227" s="641">
        <f t="shared" si="134"/>
        <v>999999999</v>
      </c>
      <c r="CH227" s="641">
        <f t="shared" si="134"/>
        <v>999999999</v>
      </c>
      <c r="CI227" s="641">
        <f t="shared" si="134"/>
        <v>999999999</v>
      </c>
      <c r="CJ227" s="641">
        <f t="shared" si="134"/>
        <v>999999999</v>
      </c>
      <c r="CK227" s="641">
        <f t="shared" si="134"/>
        <v>999999999</v>
      </c>
      <c r="CL227" s="641">
        <f t="shared" si="134"/>
        <v>999999999</v>
      </c>
      <c r="CM227" s="641">
        <f t="shared" si="134"/>
        <v>999999999</v>
      </c>
      <c r="CN227" s="641">
        <f t="shared" si="134"/>
        <v>999999999</v>
      </c>
      <c r="CO227" s="641">
        <f t="shared" si="135"/>
        <v>999999999</v>
      </c>
      <c r="CP227" s="641">
        <f t="shared" si="135"/>
        <v>999999999</v>
      </c>
      <c r="CQ227" s="641">
        <f t="shared" si="135"/>
        <v>999999999</v>
      </c>
      <c r="CR227" s="641">
        <f t="shared" si="135"/>
        <v>999999999</v>
      </c>
      <c r="CS227" s="641">
        <f t="shared" si="135"/>
        <v>999999999</v>
      </c>
      <c r="CT227" s="641">
        <f t="shared" si="135"/>
        <v>999999999</v>
      </c>
      <c r="CU227" s="641">
        <f t="shared" si="135"/>
        <v>999999999</v>
      </c>
      <c r="CV227" s="641">
        <f t="shared" si="135"/>
        <v>999999999</v>
      </c>
      <c r="CW227" s="641">
        <f t="shared" si="135"/>
        <v>999999999</v>
      </c>
      <c r="CX227" s="641">
        <f t="shared" si="135"/>
        <v>999999999</v>
      </c>
      <c r="CY227" s="641">
        <f t="shared" si="136"/>
        <v>999999999</v>
      </c>
      <c r="CZ227" s="641">
        <f t="shared" si="136"/>
        <v>999999999</v>
      </c>
      <c r="DA227" s="641">
        <f t="shared" si="136"/>
        <v>999999999</v>
      </c>
      <c r="DB227" s="641">
        <f t="shared" si="136"/>
        <v>999999999</v>
      </c>
      <c r="DC227" s="641">
        <f t="shared" si="136"/>
        <v>999999999</v>
      </c>
      <c r="DD227" s="641">
        <f t="shared" si="136"/>
        <v>999999999</v>
      </c>
      <c r="DE227" s="641">
        <f t="shared" si="136"/>
        <v>999999999</v>
      </c>
      <c r="DF227" s="641">
        <f t="shared" si="136"/>
        <v>999999999</v>
      </c>
      <c r="DG227" s="641">
        <f t="shared" si="136"/>
        <v>999999999</v>
      </c>
      <c r="DH227" s="641">
        <f t="shared" si="136"/>
        <v>999999999</v>
      </c>
      <c r="DI227" s="641">
        <f t="shared" si="137"/>
        <v>999999999</v>
      </c>
      <c r="DJ227" s="641">
        <f t="shared" si="137"/>
        <v>999999999</v>
      </c>
      <c r="DK227" s="641">
        <f t="shared" si="137"/>
        <v>999999999</v>
      </c>
      <c r="DL227" s="641">
        <f t="shared" si="137"/>
        <v>999999999</v>
      </c>
      <c r="DM227" s="641">
        <f t="shared" si="137"/>
        <v>999999999</v>
      </c>
      <c r="DN227" s="641">
        <f t="shared" si="137"/>
        <v>999999999</v>
      </c>
      <c r="DO227" s="641">
        <f t="shared" si="137"/>
        <v>999999999</v>
      </c>
      <c r="DP227" s="641">
        <f t="shared" si="137"/>
        <v>999999999</v>
      </c>
      <c r="DQ227" s="641">
        <f t="shared" si="137"/>
        <v>999999999</v>
      </c>
      <c r="DR227" s="641">
        <f t="shared" si="137"/>
        <v>999999999</v>
      </c>
      <c r="DS227" s="641">
        <f t="shared" si="138"/>
        <v>999999999</v>
      </c>
      <c r="DT227" s="641">
        <f t="shared" si="138"/>
        <v>999999999</v>
      </c>
      <c r="DU227" s="641">
        <f t="shared" si="138"/>
        <v>999999999</v>
      </c>
      <c r="DV227" s="641">
        <f t="shared" si="138"/>
        <v>999999999</v>
      </c>
      <c r="DW227" s="641">
        <f t="shared" si="138"/>
        <v>999999999</v>
      </c>
      <c r="DX227" s="641">
        <f t="shared" si="138"/>
        <v>999999999</v>
      </c>
      <c r="DY227" s="641">
        <f t="shared" si="138"/>
        <v>999999999</v>
      </c>
      <c r="DZ227" s="641">
        <f t="shared" si="138"/>
        <v>999999999</v>
      </c>
      <c r="EA227" s="641">
        <f t="shared" si="138"/>
        <v>999999999</v>
      </c>
      <c r="EB227" s="641">
        <f t="shared" si="138"/>
        <v>999999999</v>
      </c>
      <c r="EC227" s="641">
        <f t="shared" si="138"/>
        <v>999999999</v>
      </c>
    </row>
    <row r="228" spans="28:133" ht="15.5">
      <c r="AB228" s="5">
        <f t="shared" si="118"/>
        <v>2</v>
      </c>
      <c r="AC228" s="128">
        <v>85</v>
      </c>
      <c r="AD228" s="129">
        <f t="shared" si="107"/>
        <v>8066.506604000002</v>
      </c>
      <c r="AF228" s="128">
        <v>85</v>
      </c>
      <c r="AG228" s="641">
        <f t="shared" si="129"/>
        <v>489661.50660399999</v>
      </c>
      <c r="AH228" s="641">
        <f t="shared" si="129"/>
        <v>426709.50660399999</v>
      </c>
      <c r="AI228" s="641">
        <f t="shared" si="129"/>
        <v>363757.50660399999</v>
      </c>
      <c r="AJ228" s="641">
        <f t="shared" si="129"/>
        <v>300805.50660399999</v>
      </c>
      <c r="AK228" s="641">
        <f t="shared" si="129"/>
        <v>237853.50660399999</v>
      </c>
      <c r="AL228" s="641">
        <f t="shared" si="129"/>
        <v>174901.50660399999</v>
      </c>
      <c r="AM228" s="641">
        <f t="shared" si="129"/>
        <v>112986.50660399999</v>
      </c>
      <c r="AN228" s="641">
        <f t="shared" si="129"/>
        <v>60526.506604000002</v>
      </c>
      <c r="AO228" s="641">
        <f t="shared" si="129"/>
        <v>8066.506604000002</v>
      </c>
      <c r="AP228" s="641">
        <f t="shared" si="129"/>
        <v>999999999</v>
      </c>
      <c r="AQ228" s="641">
        <f t="shared" si="130"/>
        <v>999999999</v>
      </c>
      <c r="AR228" s="641">
        <f t="shared" si="130"/>
        <v>999999999</v>
      </c>
      <c r="AS228" s="641">
        <f t="shared" si="130"/>
        <v>999999999</v>
      </c>
      <c r="AT228" s="641">
        <f t="shared" si="130"/>
        <v>999999999</v>
      </c>
      <c r="AU228" s="641">
        <f t="shared" si="130"/>
        <v>999999999</v>
      </c>
      <c r="AV228" s="641">
        <f t="shared" si="130"/>
        <v>999999999</v>
      </c>
      <c r="AW228" s="641">
        <f t="shared" si="130"/>
        <v>999999999</v>
      </c>
      <c r="AX228" s="641">
        <f t="shared" si="130"/>
        <v>999999999</v>
      </c>
      <c r="AY228" s="641">
        <f t="shared" si="130"/>
        <v>999999999</v>
      </c>
      <c r="AZ228" s="641">
        <f t="shared" si="130"/>
        <v>999999999</v>
      </c>
      <c r="BA228" s="641">
        <f t="shared" si="131"/>
        <v>999999999</v>
      </c>
      <c r="BB228" s="641">
        <f t="shared" si="131"/>
        <v>999999999</v>
      </c>
      <c r="BC228" s="641">
        <f t="shared" si="131"/>
        <v>999999999</v>
      </c>
      <c r="BD228" s="641">
        <f t="shared" si="131"/>
        <v>999999999</v>
      </c>
      <c r="BE228" s="641">
        <f t="shared" si="131"/>
        <v>999999999</v>
      </c>
      <c r="BF228" s="641">
        <f t="shared" si="131"/>
        <v>999999999</v>
      </c>
      <c r="BG228" s="641">
        <f t="shared" si="131"/>
        <v>999999999</v>
      </c>
      <c r="BH228" s="641">
        <f t="shared" si="131"/>
        <v>999999999</v>
      </c>
      <c r="BI228" s="641">
        <f t="shared" si="131"/>
        <v>999999999</v>
      </c>
      <c r="BJ228" s="641">
        <f t="shared" si="131"/>
        <v>999999999</v>
      </c>
      <c r="BK228" s="641">
        <f t="shared" si="132"/>
        <v>999999999</v>
      </c>
      <c r="BL228" s="641">
        <f t="shared" si="132"/>
        <v>999999999</v>
      </c>
      <c r="BM228" s="641">
        <f t="shared" si="132"/>
        <v>999999999</v>
      </c>
      <c r="BN228" s="641">
        <f t="shared" si="132"/>
        <v>999999999</v>
      </c>
      <c r="BO228" s="641">
        <f t="shared" si="132"/>
        <v>999999999</v>
      </c>
      <c r="BP228" s="641">
        <f t="shared" si="132"/>
        <v>999999999</v>
      </c>
      <c r="BQ228" s="641">
        <f t="shared" si="132"/>
        <v>999999999</v>
      </c>
      <c r="BR228" s="641">
        <f t="shared" si="132"/>
        <v>999999999</v>
      </c>
      <c r="BS228" s="641">
        <f t="shared" si="132"/>
        <v>999999999</v>
      </c>
      <c r="BT228" s="641">
        <f t="shared" si="132"/>
        <v>999999999</v>
      </c>
      <c r="BU228" s="641">
        <f t="shared" si="133"/>
        <v>999999999</v>
      </c>
      <c r="BV228" s="641">
        <f t="shared" si="133"/>
        <v>999999999</v>
      </c>
      <c r="BW228" s="641">
        <f t="shared" si="133"/>
        <v>999999999</v>
      </c>
      <c r="BX228" s="641">
        <f t="shared" si="133"/>
        <v>999999999</v>
      </c>
      <c r="BY228" s="641">
        <f t="shared" si="133"/>
        <v>999999999</v>
      </c>
      <c r="BZ228" s="641">
        <f t="shared" si="133"/>
        <v>999999999</v>
      </c>
      <c r="CA228" s="641">
        <f t="shared" si="133"/>
        <v>999999999</v>
      </c>
      <c r="CB228" s="641">
        <f t="shared" si="133"/>
        <v>999999999</v>
      </c>
      <c r="CC228" s="641">
        <f t="shared" si="133"/>
        <v>999999999</v>
      </c>
      <c r="CD228" s="641">
        <f t="shared" si="133"/>
        <v>999999999</v>
      </c>
      <c r="CE228" s="641">
        <f t="shared" si="134"/>
        <v>999999999</v>
      </c>
      <c r="CF228" s="641">
        <f t="shared" si="134"/>
        <v>999999999</v>
      </c>
      <c r="CG228" s="641">
        <f t="shared" si="134"/>
        <v>999999999</v>
      </c>
      <c r="CH228" s="641">
        <f t="shared" si="134"/>
        <v>999999999</v>
      </c>
      <c r="CI228" s="641">
        <f t="shared" si="134"/>
        <v>999999999</v>
      </c>
      <c r="CJ228" s="641">
        <f t="shared" si="134"/>
        <v>999999999</v>
      </c>
      <c r="CK228" s="641">
        <f t="shared" si="134"/>
        <v>999999999</v>
      </c>
      <c r="CL228" s="641">
        <f t="shared" si="134"/>
        <v>999999999</v>
      </c>
      <c r="CM228" s="641">
        <f t="shared" si="134"/>
        <v>999999999</v>
      </c>
      <c r="CN228" s="641">
        <f t="shared" si="134"/>
        <v>999999999</v>
      </c>
      <c r="CO228" s="641">
        <f t="shared" si="135"/>
        <v>999999999</v>
      </c>
      <c r="CP228" s="641">
        <f t="shared" si="135"/>
        <v>999999999</v>
      </c>
      <c r="CQ228" s="641">
        <f t="shared" si="135"/>
        <v>999999999</v>
      </c>
      <c r="CR228" s="641">
        <f t="shared" si="135"/>
        <v>999999999</v>
      </c>
      <c r="CS228" s="641">
        <f t="shared" si="135"/>
        <v>999999999</v>
      </c>
      <c r="CT228" s="641">
        <f t="shared" si="135"/>
        <v>999999999</v>
      </c>
      <c r="CU228" s="641">
        <f t="shared" si="135"/>
        <v>999999999</v>
      </c>
      <c r="CV228" s="641">
        <f t="shared" si="135"/>
        <v>999999999</v>
      </c>
      <c r="CW228" s="641">
        <f t="shared" si="135"/>
        <v>999999999</v>
      </c>
      <c r="CX228" s="641">
        <f t="shared" si="135"/>
        <v>999999999</v>
      </c>
      <c r="CY228" s="641">
        <f t="shared" si="136"/>
        <v>999999999</v>
      </c>
      <c r="CZ228" s="641">
        <f t="shared" si="136"/>
        <v>999999999</v>
      </c>
      <c r="DA228" s="641">
        <f t="shared" si="136"/>
        <v>999999999</v>
      </c>
      <c r="DB228" s="641">
        <f t="shared" si="136"/>
        <v>999999999</v>
      </c>
      <c r="DC228" s="641">
        <f t="shared" si="136"/>
        <v>999999999</v>
      </c>
      <c r="DD228" s="641">
        <f t="shared" si="136"/>
        <v>999999999</v>
      </c>
      <c r="DE228" s="641">
        <f t="shared" si="136"/>
        <v>999999999</v>
      </c>
      <c r="DF228" s="641">
        <f t="shared" si="136"/>
        <v>999999999</v>
      </c>
      <c r="DG228" s="641">
        <f t="shared" si="136"/>
        <v>999999999</v>
      </c>
      <c r="DH228" s="641">
        <f t="shared" si="136"/>
        <v>999999999</v>
      </c>
      <c r="DI228" s="641">
        <f t="shared" si="137"/>
        <v>999999999</v>
      </c>
      <c r="DJ228" s="641">
        <f t="shared" si="137"/>
        <v>999999999</v>
      </c>
      <c r="DK228" s="641">
        <f t="shared" si="137"/>
        <v>999999999</v>
      </c>
      <c r="DL228" s="641">
        <f t="shared" si="137"/>
        <v>999999999</v>
      </c>
      <c r="DM228" s="641">
        <f t="shared" si="137"/>
        <v>999999999</v>
      </c>
      <c r="DN228" s="641">
        <f t="shared" si="137"/>
        <v>999999999</v>
      </c>
      <c r="DO228" s="641">
        <f t="shared" si="137"/>
        <v>999999999</v>
      </c>
      <c r="DP228" s="641">
        <f t="shared" si="137"/>
        <v>999999999</v>
      </c>
      <c r="DQ228" s="641">
        <f t="shared" si="137"/>
        <v>999999999</v>
      </c>
      <c r="DR228" s="641">
        <f t="shared" si="137"/>
        <v>999999999</v>
      </c>
      <c r="DS228" s="641">
        <f t="shared" si="138"/>
        <v>999999999</v>
      </c>
      <c r="DT228" s="641">
        <f t="shared" si="138"/>
        <v>999999999</v>
      </c>
      <c r="DU228" s="641">
        <f t="shared" si="138"/>
        <v>999999999</v>
      </c>
      <c r="DV228" s="641">
        <f t="shared" si="138"/>
        <v>999999999</v>
      </c>
      <c r="DW228" s="641">
        <f t="shared" si="138"/>
        <v>999999999</v>
      </c>
      <c r="DX228" s="641">
        <f t="shared" si="138"/>
        <v>999999999</v>
      </c>
      <c r="DY228" s="641">
        <f t="shared" si="138"/>
        <v>999999999</v>
      </c>
      <c r="DZ228" s="641">
        <f t="shared" si="138"/>
        <v>999999999</v>
      </c>
      <c r="EA228" s="641">
        <f t="shared" si="138"/>
        <v>999999999</v>
      </c>
      <c r="EB228" s="641">
        <f t="shared" si="138"/>
        <v>999999999</v>
      </c>
      <c r="EC228" s="641">
        <f t="shared" si="138"/>
        <v>999999999</v>
      </c>
    </row>
    <row r="229" spans="28:133" ht="15.5">
      <c r="AB229" s="5">
        <f t="shared" si="118"/>
        <v>2</v>
      </c>
      <c r="AC229" s="128">
        <v>86</v>
      </c>
      <c r="AD229" s="129">
        <f t="shared" si="107"/>
        <v>8066.506604000002</v>
      </c>
      <c r="AF229" s="128">
        <v>86</v>
      </c>
      <c r="AG229" s="641">
        <f t="shared" si="129"/>
        <v>489661.50660399999</v>
      </c>
      <c r="AH229" s="641">
        <f t="shared" si="129"/>
        <v>426709.50660399999</v>
      </c>
      <c r="AI229" s="641">
        <f t="shared" si="129"/>
        <v>363757.50660399999</v>
      </c>
      <c r="AJ229" s="641">
        <f t="shared" si="129"/>
        <v>300805.50660399999</v>
      </c>
      <c r="AK229" s="641">
        <f t="shared" si="129"/>
        <v>237853.50660399999</v>
      </c>
      <c r="AL229" s="641">
        <f t="shared" si="129"/>
        <v>174901.50660399999</v>
      </c>
      <c r="AM229" s="641">
        <f t="shared" si="129"/>
        <v>112986.50660399999</v>
      </c>
      <c r="AN229" s="641">
        <f t="shared" si="129"/>
        <v>60526.506604000002</v>
      </c>
      <c r="AO229" s="641">
        <f t="shared" si="129"/>
        <v>8066.506604000002</v>
      </c>
      <c r="AP229" s="641">
        <f t="shared" si="129"/>
        <v>999999999</v>
      </c>
      <c r="AQ229" s="641">
        <f t="shared" si="130"/>
        <v>999999999</v>
      </c>
      <c r="AR229" s="641">
        <f t="shared" si="130"/>
        <v>999999999</v>
      </c>
      <c r="AS229" s="641">
        <f t="shared" si="130"/>
        <v>999999999</v>
      </c>
      <c r="AT229" s="641">
        <f t="shared" si="130"/>
        <v>999999999</v>
      </c>
      <c r="AU229" s="641">
        <f t="shared" si="130"/>
        <v>999999999</v>
      </c>
      <c r="AV229" s="641">
        <f t="shared" si="130"/>
        <v>999999999</v>
      </c>
      <c r="AW229" s="641">
        <f t="shared" si="130"/>
        <v>999999999</v>
      </c>
      <c r="AX229" s="641">
        <f t="shared" si="130"/>
        <v>999999999</v>
      </c>
      <c r="AY229" s="641">
        <f t="shared" si="130"/>
        <v>999999999</v>
      </c>
      <c r="AZ229" s="641">
        <f t="shared" si="130"/>
        <v>999999999</v>
      </c>
      <c r="BA229" s="641">
        <f t="shared" si="131"/>
        <v>999999999</v>
      </c>
      <c r="BB229" s="641">
        <f t="shared" si="131"/>
        <v>999999999</v>
      </c>
      <c r="BC229" s="641">
        <f t="shared" si="131"/>
        <v>999999999</v>
      </c>
      <c r="BD229" s="641">
        <f t="shared" si="131"/>
        <v>999999999</v>
      </c>
      <c r="BE229" s="641">
        <f t="shared" si="131"/>
        <v>999999999</v>
      </c>
      <c r="BF229" s="641">
        <f t="shared" si="131"/>
        <v>999999999</v>
      </c>
      <c r="BG229" s="641">
        <f t="shared" si="131"/>
        <v>999999999</v>
      </c>
      <c r="BH229" s="641">
        <f t="shared" si="131"/>
        <v>999999999</v>
      </c>
      <c r="BI229" s="641">
        <f t="shared" si="131"/>
        <v>999999999</v>
      </c>
      <c r="BJ229" s="641">
        <f t="shared" si="131"/>
        <v>999999999</v>
      </c>
      <c r="BK229" s="641">
        <f t="shared" si="132"/>
        <v>999999999</v>
      </c>
      <c r="BL229" s="641">
        <f t="shared" si="132"/>
        <v>999999999</v>
      </c>
      <c r="BM229" s="641">
        <f t="shared" si="132"/>
        <v>999999999</v>
      </c>
      <c r="BN229" s="641">
        <f t="shared" si="132"/>
        <v>999999999</v>
      </c>
      <c r="BO229" s="641">
        <f t="shared" si="132"/>
        <v>999999999</v>
      </c>
      <c r="BP229" s="641">
        <f t="shared" si="132"/>
        <v>999999999</v>
      </c>
      <c r="BQ229" s="641">
        <f t="shared" si="132"/>
        <v>999999999</v>
      </c>
      <c r="BR229" s="641">
        <f t="shared" si="132"/>
        <v>999999999</v>
      </c>
      <c r="BS229" s="641">
        <f t="shared" si="132"/>
        <v>999999999</v>
      </c>
      <c r="BT229" s="641">
        <f t="shared" si="132"/>
        <v>999999999</v>
      </c>
      <c r="BU229" s="641">
        <f t="shared" si="133"/>
        <v>999999999</v>
      </c>
      <c r="BV229" s="641">
        <f t="shared" si="133"/>
        <v>999999999</v>
      </c>
      <c r="BW229" s="641">
        <f t="shared" si="133"/>
        <v>999999999</v>
      </c>
      <c r="BX229" s="641">
        <f t="shared" si="133"/>
        <v>999999999</v>
      </c>
      <c r="BY229" s="641">
        <f t="shared" si="133"/>
        <v>999999999</v>
      </c>
      <c r="BZ229" s="641">
        <f t="shared" si="133"/>
        <v>999999999</v>
      </c>
      <c r="CA229" s="641">
        <f t="shared" si="133"/>
        <v>999999999</v>
      </c>
      <c r="CB229" s="641">
        <f t="shared" si="133"/>
        <v>999999999</v>
      </c>
      <c r="CC229" s="641">
        <f t="shared" si="133"/>
        <v>999999999</v>
      </c>
      <c r="CD229" s="641">
        <f t="shared" si="133"/>
        <v>999999999</v>
      </c>
      <c r="CE229" s="641">
        <f t="shared" si="134"/>
        <v>999999999</v>
      </c>
      <c r="CF229" s="641">
        <f t="shared" si="134"/>
        <v>999999999</v>
      </c>
      <c r="CG229" s="641">
        <f t="shared" si="134"/>
        <v>999999999</v>
      </c>
      <c r="CH229" s="641">
        <f t="shared" si="134"/>
        <v>999999999</v>
      </c>
      <c r="CI229" s="641">
        <f t="shared" si="134"/>
        <v>999999999</v>
      </c>
      <c r="CJ229" s="641">
        <f t="shared" si="134"/>
        <v>999999999</v>
      </c>
      <c r="CK229" s="641">
        <f t="shared" si="134"/>
        <v>999999999</v>
      </c>
      <c r="CL229" s="641">
        <f t="shared" si="134"/>
        <v>999999999</v>
      </c>
      <c r="CM229" s="641">
        <f t="shared" si="134"/>
        <v>999999999</v>
      </c>
      <c r="CN229" s="641">
        <f t="shared" si="134"/>
        <v>999999999</v>
      </c>
      <c r="CO229" s="641">
        <f t="shared" si="135"/>
        <v>999999999</v>
      </c>
      <c r="CP229" s="641">
        <f t="shared" si="135"/>
        <v>999999999</v>
      </c>
      <c r="CQ229" s="641">
        <f t="shared" si="135"/>
        <v>999999999</v>
      </c>
      <c r="CR229" s="641">
        <f t="shared" si="135"/>
        <v>999999999</v>
      </c>
      <c r="CS229" s="641">
        <f t="shared" si="135"/>
        <v>999999999</v>
      </c>
      <c r="CT229" s="641">
        <f t="shared" si="135"/>
        <v>999999999</v>
      </c>
      <c r="CU229" s="641">
        <f t="shared" si="135"/>
        <v>999999999</v>
      </c>
      <c r="CV229" s="641">
        <f t="shared" si="135"/>
        <v>999999999</v>
      </c>
      <c r="CW229" s="641">
        <f t="shared" si="135"/>
        <v>999999999</v>
      </c>
      <c r="CX229" s="641">
        <f t="shared" si="135"/>
        <v>999999999</v>
      </c>
      <c r="CY229" s="641">
        <f t="shared" si="136"/>
        <v>999999999</v>
      </c>
      <c r="CZ229" s="641">
        <f t="shared" si="136"/>
        <v>999999999</v>
      </c>
      <c r="DA229" s="641">
        <f t="shared" si="136"/>
        <v>999999999</v>
      </c>
      <c r="DB229" s="641">
        <f t="shared" si="136"/>
        <v>999999999</v>
      </c>
      <c r="DC229" s="641">
        <f t="shared" si="136"/>
        <v>999999999</v>
      </c>
      <c r="DD229" s="641">
        <f t="shared" si="136"/>
        <v>999999999</v>
      </c>
      <c r="DE229" s="641">
        <f t="shared" si="136"/>
        <v>999999999</v>
      </c>
      <c r="DF229" s="641">
        <f t="shared" si="136"/>
        <v>999999999</v>
      </c>
      <c r="DG229" s="641">
        <f t="shared" si="136"/>
        <v>999999999</v>
      </c>
      <c r="DH229" s="641">
        <f t="shared" si="136"/>
        <v>999999999</v>
      </c>
      <c r="DI229" s="641">
        <f t="shared" si="137"/>
        <v>999999999</v>
      </c>
      <c r="DJ229" s="641">
        <f t="shared" si="137"/>
        <v>999999999</v>
      </c>
      <c r="DK229" s="641">
        <f t="shared" si="137"/>
        <v>999999999</v>
      </c>
      <c r="DL229" s="641">
        <f t="shared" si="137"/>
        <v>999999999</v>
      </c>
      <c r="DM229" s="641">
        <f t="shared" si="137"/>
        <v>999999999</v>
      </c>
      <c r="DN229" s="641">
        <f t="shared" si="137"/>
        <v>999999999</v>
      </c>
      <c r="DO229" s="641">
        <f t="shared" si="137"/>
        <v>999999999</v>
      </c>
      <c r="DP229" s="641">
        <f t="shared" si="137"/>
        <v>999999999</v>
      </c>
      <c r="DQ229" s="641">
        <f t="shared" si="137"/>
        <v>999999999</v>
      </c>
      <c r="DR229" s="641">
        <f t="shared" si="137"/>
        <v>999999999</v>
      </c>
      <c r="DS229" s="641">
        <f t="shared" si="138"/>
        <v>999999999</v>
      </c>
      <c r="DT229" s="641">
        <f t="shared" si="138"/>
        <v>999999999</v>
      </c>
      <c r="DU229" s="641">
        <f t="shared" si="138"/>
        <v>999999999</v>
      </c>
      <c r="DV229" s="641">
        <f t="shared" si="138"/>
        <v>999999999</v>
      </c>
      <c r="DW229" s="641">
        <f t="shared" si="138"/>
        <v>999999999</v>
      </c>
      <c r="DX229" s="641">
        <f t="shared" si="138"/>
        <v>999999999</v>
      </c>
      <c r="DY229" s="641">
        <f t="shared" si="138"/>
        <v>999999999</v>
      </c>
      <c r="DZ229" s="641">
        <f t="shared" si="138"/>
        <v>999999999</v>
      </c>
      <c r="EA229" s="641">
        <f t="shared" si="138"/>
        <v>999999999</v>
      </c>
      <c r="EB229" s="641">
        <f t="shared" si="138"/>
        <v>999999999</v>
      </c>
      <c r="EC229" s="641">
        <f t="shared" si="138"/>
        <v>999999999</v>
      </c>
    </row>
    <row r="230" spans="28:133" ht="15.5">
      <c r="AB230" s="5">
        <f t="shared" si="118"/>
        <v>2</v>
      </c>
      <c r="AC230" s="128">
        <v>87</v>
      </c>
      <c r="AD230" s="129">
        <f t="shared" si="107"/>
        <v>8066.506604000002</v>
      </c>
      <c r="AF230" s="128">
        <v>87</v>
      </c>
      <c r="AG230" s="641">
        <f t="shared" si="129"/>
        <v>489661.50660399999</v>
      </c>
      <c r="AH230" s="641">
        <f t="shared" si="129"/>
        <v>426709.50660399999</v>
      </c>
      <c r="AI230" s="641">
        <f t="shared" si="129"/>
        <v>363757.50660399999</v>
      </c>
      <c r="AJ230" s="641">
        <f t="shared" si="129"/>
        <v>300805.50660399999</v>
      </c>
      <c r="AK230" s="641">
        <f t="shared" si="129"/>
        <v>237853.50660399999</v>
      </c>
      <c r="AL230" s="641">
        <f t="shared" si="129"/>
        <v>174901.50660399999</v>
      </c>
      <c r="AM230" s="641">
        <f t="shared" si="129"/>
        <v>112986.50660399999</v>
      </c>
      <c r="AN230" s="641">
        <f t="shared" si="129"/>
        <v>60526.506604000002</v>
      </c>
      <c r="AO230" s="641">
        <f t="shared" si="129"/>
        <v>8066.506604000002</v>
      </c>
      <c r="AP230" s="641">
        <f t="shared" si="129"/>
        <v>999999999</v>
      </c>
      <c r="AQ230" s="641">
        <f t="shared" si="130"/>
        <v>999999999</v>
      </c>
      <c r="AR230" s="641">
        <f t="shared" si="130"/>
        <v>999999999</v>
      </c>
      <c r="AS230" s="641">
        <f t="shared" si="130"/>
        <v>999999999</v>
      </c>
      <c r="AT230" s="641">
        <f t="shared" si="130"/>
        <v>999999999</v>
      </c>
      <c r="AU230" s="641">
        <f t="shared" si="130"/>
        <v>999999999</v>
      </c>
      <c r="AV230" s="641">
        <f t="shared" si="130"/>
        <v>999999999</v>
      </c>
      <c r="AW230" s="641">
        <f t="shared" si="130"/>
        <v>999999999</v>
      </c>
      <c r="AX230" s="641">
        <f t="shared" si="130"/>
        <v>999999999</v>
      </c>
      <c r="AY230" s="641">
        <f t="shared" si="130"/>
        <v>999999999</v>
      </c>
      <c r="AZ230" s="641">
        <f t="shared" si="130"/>
        <v>999999999</v>
      </c>
      <c r="BA230" s="641">
        <f t="shared" si="131"/>
        <v>999999999</v>
      </c>
      <c r="BB230" s="641">
        <f t="shared" si="131"/>
        <v>999999999</v>
      </c>
      <c r="BC230" s="641">
        <f t="shared" si="131"/>
        <v>999999999</v>
      </c>
      <c r="BD230" s="641">
        <f t="shared" si="131"/>
        <v>999999999</v>
      </c>
      <c r="BE230" s="641">
        <f t="shared" si="131"/>
        <v>999999999</v>
      </c>
      <c r="BF230" s="641">
        <f t="shared" si="131"/>
        <v>999999999</v>
      </c>
      <c r="BG230" s="641">
        <f t="shared" si="131"/>
        <v>999999999</v>
      </c>
      <c r="BH230" s="641">
        <f t="shared" si="131"/>
        <v>999999999</v>
      </c>
      <c r="BI230" s="641">
        <f t="shared" si="131"/>
        <v>999999999</v>
      </c>
      <c r="BJ230" s="641">
        <f t="shared" si="131"/>
        <v>999999999</v>
      </c>
      <c r="BK230" s="641">
        <f t="shared" si="132"/>
        <v>999999999</v>
      </c>
      <c r="BL230" s="641">
        <f t="shared" si="132"/>
        <v>999999999</v>
      </c>
      <c r="BM230" s="641">
        <f t="shared" si="132"/>
        <v>999999999</v>
      </c>
      <c r="BN230" s="641">
        <f t="shared" si="132"/>
        <v>999999999</v>
      </c>
      <c r="BO230" s="641">
        <f t="shared" si="132"/>
        <v>999999999</v>
      </c>
      <c r="BP230" s="641">
        <f t="shared" si="132"/>
        <v>999999999</v>
      </c>
      <c r="BQ230" s="641">
        <f t="shared" si="132"/>
        <v>999999999</v>
      </c>
      <c r="BR230" s="641">
        <f t="shared" si="132"/>
        <v>999999999</v>
      </c>
      <c r="BS230" s="641">
        <f t="shared" si="132"/>
        <v>999999999</v>
      </c>
      <c r="BT230" s="641">
        <f t="shared" si="132"/>
        <v>999999999</v>
      </c>
      <c r="BU230" s="641">
        <f t="shared" si="133"/>
        <v>999999999</v>
      </c>
      <c r="BV230" s="641">
        <f t="shared" si="133"/>
        <v>999999999</v>
      </c>
      <c r="BW230" s="641">
        <f t="shared" si="133"/>
        <v>999999999</v>
      </c>
      <c r="BX230" s="641">
        <f t="shared" si="133"/>
        <v>999999999</v>
      </c>
      <c r="BY230" s="641">
        <f t="shared" si="133"/>
        <v>999999999</v>
      </c>
      <c r="BZ230" s="641">
        <f t="shared" si="133"/>
        <v>999999999</v>
      </c>
      <c r="CA230" s="641">
        <f t="shared" si="133"/>
        <v>999999999</v>
      </c>
      <c r="CB230" s="641">
        <f t="shared" si="133"/>
        <v>999999999</v>
      </c>
      <c r="CC230" s="641">
        <f t="shared" si="133"/>
        <v>999999999</v>
      </c>
      <c r="CD230" s="641">
        <f t="shared" si="133"/>
        <v>999999999</v>
      </c>
      <c r="CE230" s="641">
        <f t="shared" si="134"/>
        <v>999999999</v>
      </c>
      <c r="CF230" s="641">
        <f t="shared" si="134"/>
        <v>999999999</v>
      </c>
      <c r="CG230" s="641">
        <f t="shared" si="134"/>
        <v>999999999</v>
      </c>
      <c r="CH230" s="641">
        <f t="shared" si="134"/>
        <v>999999999</v>
      </c>
      <c r="CI230" s="641">
        <f t="shared" si="134"/>
        <v>999999999</v>
      </c>
      <c r="CJ230" s="641">
        <f t="shared" si="134"/>
        <v>999999999</v>
      </c>
      <c r="CK230" s="641">
        <f t="shared" si="134"/>
        <v>999999999</v>
      </c>
      <c r="CL230" s="641">
        <f t="shared" si="134"/>
        <v>999999999</v>
      </c>
      <c r="CM230" s="641">
        <f t="shared" si="134"/>
        <v>999999999</v>
      </c>
      <c r="CN230" s="641">
        <f t="shared" si="134"/>
        <v>999999999</v>
      </c>
      <c r="CO230" s="641">
        <f t="shared" si="135"/>
        <v>999999999</v>
      </c>
      <c r="CP230" s="641">
        <f t="shared" si="135"/>
        <v>999999999</v>
      </c>
      <c r="CQ230" s="641">
        <f t="shared" si="135"/>
        <v>999999999</v>
      </c>
      <c r="CR230" s="641">
        <f t="shared" si="135"/>
        <v>999999999</v>
      </c>
      <c r="CS230" s="641">
        <f t="shared" si="135"/>
        <v>999999999</v>
      </c>
      <c r="CT230" s="641">
        <f t="shared" si="135"/>
        <v>999999999</v>
      </c>
      <c r="CU230" s="641">
        <f t="shared" si="135"/>
        <v>999999999</v>
      </c>
      <c r="CV230" s="641">
        <f t="shared" si="135"/>
        <v>999999999</v>
      </c>
      <c r="CW230" s="641">
        <f t="shared" si="135"/>
        <v>999999999</v>
      </c>
      <c r="CX230" s="641">
        <f t="shared" si="135"/>
        <v>999999999</v>
      </c>
      <c r="CY230" s="641">
        <f t="shared" si="136"/>
        <v>999999999</v>
      </c>
      <c r="CZ230" s="641">
        <f t="shared" si="136"/>
        <v>999999999</v>
      </c>
      <c r="DA230" s="641">
        <f t="shared" si="136"/>
        <v>999999999</v>
      </c>
      <c r="DB230" s="641">
        <f t="shared" si="136"/>
        <v>999999999</v>
      </c>
      <c r="DC230" s="641">
        <f t="shared" si="136"/>
        <v>999999999</v>
      </c>
      <c r="DD230" s="641">
        <f t="shared" si="136"/>
        <v>999999999</v>
      </c>
      <c r="DE230" s="641">
        <f t="shared" si="136"/>
        <v>999999999</v>
      </c>
      <c r="DF230" s="641">
        <f t="shared" si="136"/>
        <v>999999999</v>
      </c>
      <c r="DG230" s="641">
        <f t="shared" si="136"/>
        <v>999999999</v>
      </c>
      <c r="DH230" s="641">
        <f t="shared" si="136"/>
        <v>999999999</v>
      </c>
      <c r="DI230" s="641">
        <f t="shared" si="137"/>
        <v>999999999</v>
      </c>
      <c r="DJ230" s="641">
        <f t="shared" si="137"/>
        <v>999999999</v>
      </c>
      <c r="DK230" s="641">
        <f t="shared" si="137"/>
        <v>999999999</v>
      </c>
      <c r="DL230" s="641">
        <f t="shared" si="137"/>
        <v>999999999</v>
      </c>
      <c r="DM230" s="641">
        <f t="shared" si="137"/>
        <v>999999999</v>
      </c>
      <c r="DN230" s="641">
        <f t="shared" si="137"/>
        <v>999999999</v>
      </c>
      <c r="DO230" s="641">
        <f t="shared" si="137"/>
        <v>999999999</v>
      </c>
      <c r="DP230" s="641">
        <f t="shared" si="137"/>
        <v>999999999</v>
      </c>
      <c r="DQ230" s="641">
        <f t="shared" si="137"/>
        <v>999999999</v>
      </c>
      <c r="DR230" s="641">
        <f t="shared" si="137"/>
        <v>999999999</v>
      </c>
      <c r="DS230" s="641">
        <f t="shared" si="138"/>
        <v>999999999</v>
      </c>
      <c r="DT230" s="641">
        <f t="shared" si="138"/>
        <v>999999999</v>
      </c>
      <c r="DU230" s="641">
        <f t="shared" si="138"/>
        <v>999999999</v>
      </c>
      <c r="DV230" s="641">
        <f t="shared" si="138"/>
        <v>999999999</v>
      </c>
      <c r="DW230" s="641">
        <f t="shared" si="138"/>
        <v>999999999</v>
      </c>
      <c r="DX230" s="641">
        <f t="shared" si="138"/>
        <v>999999999</v>
      </c>
      <c r="DY230" s="641">
        <f t="shared" si="138"/>
        <v>999999999</v>
      </c>
      <c r="DZ230" s="641">
        <f t="shared" si="138"/>
        <v>999999999</v>
      </c>
      <c r="EA230" s="641">
        <f t="shared" si="138"/>
        <v>999999999</v>
      </c>
      <c r="EB230" s="641">
        <f t="shared" si="138"/>
        <v>999999999</v>
      </c>
      <c r="EC230" s="641">
        <f t="shared" si="138"/>
        <v>999999999</v>
      </c>
    </row>
    <row r="231" spans="28:133" ht="15.5">
      <c r="AB231" s="5">
        <f t="shared" si="118"/>
        <v>2</v>
      </c>
      <c r="AC231" s="128">
        <v>88</v>
      </c>
      <c r="AD231" s="129">
        <f t="shared" si="107"/>
        <v>8066.506604000002</v>
      </c>
      <c r="AF231" s="128">
        <v>88</v>
      </c>
      <c r="AG231" s="641">
        <f t="shared" si="129"/>
        <v>489661.50660399999</v>
      </c>
      <c r="AH231" s="641">
        <f t="shared" si="129"/>
        <v>426709.50660399999</v>
      </c>
      <c r="AI231" s="641">
        <f t="shared" si="129"/>
        <v>363757.50660399999</v>
      </c>
      <c r="AJ231" s="641">
        <f t="shared" si="129"/>
        <v>300805.50660399999</v>
      </c>
      <c r="AK231" s="641">
        <f t="shared" si="129"/>
        <v>237853.50660399999</v>
      </c>
      <c r="AL231" s="641">
        <f t="shared" si="129"/>
        <v>174901.50660399999</v>
      </c>
      <c r="AM231" s="641">
        <f t="shared" si="129"/>
        <v>112986.50660399999</v>
      </c>
      <c r="AN231" s="641">
        <f t="shared" si="129"/>
        <v>60526.506604000002</v>
      </c>
      <c r="AO231" s="641">
        <f t="shared" si="129"/>
        <v>8066.506604000002</v>
      </c>
      <c r="AP231" s="641">
        <f t="shared" si="129"/>
        <v>999999999</v>
      </c>
      <c r="AQ231" s="641">
        <f t="shared" si="130"/>
        <v>999999999</v>
      </c>
      <c r="AR231" s="641">
        <f t="shared" si="130"/>
        <v>999999999</v>
      </c>
      <c r="AS231" s="641">
        <f t="shared" si="130"/>
        <v>999999999</v>
      </c>
      <c r="AT231" s="641">
        <f t="shared" si="130"/>
        <v>999999999</v>
      </c>
      <c r="AU231" s="641">
        <f t="shared" si="130"/>
        <v>999999999</v>
      </c>
      <c r="AV231" s="641">
        <f t="shared" si="130"/>
        <v>999999999</v>
      </c>
      <c r="AW231" s="641">
        <f t="shared" si="130"/>
        <v>999999999</v>
      </c>
      <c r="AX231" s="641">
        <f t="shared" si="130"/>
        <v>999999999</v>
      </c>
      <c r="AY231" s="641">
        <f t="shared" si="130"/>
        <v>999999999</v>
      </c>
      <c r="AZ231" s="641">
        <f t="shared" si="130"/>
        <v>999999999</v>
      </c>
      <c r="BA231" s="641">
        <f t="shared" si="131"/>
        <v>999999999</v>
      </c>
      <c r="BB231" s="641">
        <f t="shared" si="131"/>
        <v>999999999</v>
      </c>
      <c r="BC231" s="641">
        <f t="shared" si="131"/>
        <v>999999999</v>
      </c>
      <c r="BD231" s="641">
        <f t="shared" si="131"/>
        <v>999999999</v>
      </c>
      <c r="BE231" s="641">
        <f t="shared" si="131"/>
        <v>999999999</v>
      </c>
      <c r="BF231" s="641">
        <f t="shared" si="131"/>
        <v>999999999</v>
      </c>
      <c r="BG231" s="641">
        <f t="shared" si="131"/>
        <v>999999999</v>
      </c>
      <c r="BH231" s="641">
        <f t="shared" si="131"/>
        <v>999999999</v>
      </c>
      <c r="BI231" s="641">
        <f t="shared" si="131"/>
        <v>999999999</v>
      </c>
      <c r="BJ231" s="641">
        <f t="shared" si="131"/>
        <v>999999999</v>
      </c>
      <c r="BK231" s="641">
        <f t="shared" si="132"/>
        <v>999999999</v>
      </c>
      <c r="BL231" s="641">
        <f t="shared" si="132"/>
        <v>999999999</v>
      </c>
      <c r="BM231" s="641">
        <f t="shared" si="132"/>
        <v>999999999</v>
      </c>
      <c r="BN231" s="641">
        <f t="shared" si="132"/>
        <v>999999999</v>
      </c>
      <c r="BO231" s="641">
        <f t="shared" si="132"/>
        <v>999999999</v>
      </c>
      <c r="BP231" s="641">
        <f t="shared" si="132"/>
        <v>999999999</v>
      </c>
      <c r="BQ231" s="641">
        <f t="shared" si="132"/>
        <v>999999999</v>
      </c>
      <c r="BR231" s="641">
        <f t="shared" si="132"/>
        <v>999999999</v>
      </c>
      <c r="BS231" s="641">
        <f t="shared" si="132"/>
        <v>999999999</v>
      </c>
      <c r="BT231" s="641">
        <f t="shared" si="132"/>
        <v>999999999</v>
      </c>
      <c r="BU231" s="641">
        <f t="shared" si="133"/>
        <v>999999999</v>
      </c>
      <c r="BV231" s="641">
        <f t="shared" si="133"/>
        <v>999999999</v>
      </c>
      <c r="BW231" s="641">
        <f t="shared" si="133"/>
        <v>999999999</v>
      </c>
      <c r="BX231" s="641">
        <f t="shared" si="133"/>
        <v>999999999</v>
      </c>
      <c r="BY231" s="641">
        <f t="shared" si="133"/>
        <v>999999999</v>
      </c>
      <c r="BZ231" s="641">
        <f t="shared" si="133"/>
        <v>999999999</v>
      </c>
      <c r="CA231" s="641">
        <f t="shared" si="133"/>
        <v>999999999</v>
      </c>
      <c r="CB231" s="641">
        <f t="shared" si="133"/>
        <v>999999999</v>
      </c>
      <c r="CC231" s="641">
        <f t="shared" si="133"/>
        <v>999999999</v>
      </c>
      <c r="CD231" s="641">
        <f t="shared" si="133"/>
        <v>999999999</v>
      </c>
      <c r="CE231" s="641">
        <f t="shared" si="134"/>
        <v>999999999</v>
      </c>
      <c r="CF231" s="641">
        <f t="shared" si="134"/>
        <v>999999999</v>
      </c>
      <c r="CG231" s="641">
        <f t="shared" si="134"/>
        <v>999999999</v>
      </c>
      <c r="CH231" s="641">
        <f t="shared" si="134"/>
        <v>999999999</v>
      </c>
      <c r="CI231" s="641">
        <f t="shared" si="134"/>
        <v>999999999</v>
      </c>
      <c r="CJ231" s="641">
        <f t="shared" si="134"/>
        <v>999999999</v>
      </c>
      <c r="CK231" s="641">
        <f t="shared" si="134"/>
        <v>999999999</v>
      </c>
      <c r="CL231" s="641">
        <f t="shared" si="134"/>
        <v>999999999</v>
      </c>
      <c r="CM231" s="641">
        <f t="shared" si="134"/>
        <v>999999999</v>
      </c>
      <c r="CN231" s="641">
        <f t="shared" si="134"/>
        <v>999999999</v>
      </c>
      <c r="CO231" s="641">
        <f t="shared" si="135"/>
        <v>999999999</v>
      </c>
      <c r="CP231" s="641">
        <f t="shared" si="135"/>
        <v>999999999</v>
      </c>
      <c r="CQ231" s="641">
        <f t="shared" si="135"/>
        <v>999999999</v>
      </c>
      <c r="CR231" s="641">
        <f t="shared" si="135"/>
        <v>999999999</v>
      </c>
      <c r="CS231" s="641">
        <f t="shared" si="135"/>
        <v>999999999</v>
      </c>
      <c r="CT231" s="641">
        <f t="shared" si="135"/>
        <v>999999999</v>
      </c>
      <c r="CU231" s="641">
        <f t="shared" si="135"/>
        <v>999999999</v>
      </c>
      <c r="CV231" s="641">
        <f t="shared" si="135"/>
        <v>999999999</v>
      </c>
      <c r="CW231" s="641">
        <f t="shared" si="135"/>
        <v>999999999</v>
      </c>
      <c r="CX231" s="641">
        <f t="shared" si="135"/>
        <v>999999999</v>
      </c>
      <c r="CY231" s="641">
        <f t="shared" si="136"/>
        <v>999999999</v>
      </c>
      <c r="CZ231" s="641">
        <f t="shared" si="136"/>
        <v>999999999</v>
      </c>
      <c r="DA231" s="641">
        <f t="shared" si="136"/>
        <v>999999999</v>
      </c>
      <c r="DB231" s="641">
        <f t="shared" si="136"/>
        <v>999999999</v>
      </c>
      <c r="DC231" s="641">
        <f t="shared" si="136"/>
        <v>999999999</v>
      </c>
      <c r="DD231" s="641">
        <f t="shared" si="136"/>
        <v>999999999</v>
      </c>
      <c r="DE231" s="641">
        <f t="shared" si="136"/>
        <v>999999999</v>
      </c>
      <c r="DF231" s="641">
        <f t="shared" si="136"/>
        <v>999999999</v>
      </c>
      <c r="DG231" s="641">
        <f t="shared" si="136"/>
        <v>999999999</v>
      </c>
      <c r="DH231" s="641">
        <f t="shared" si="136"/>
        <v>999999999</v>
      </c>
      <c r="DI231" s="641">
        <f t="shared" si="137"/>
        <v>999999999</v>
      </c>
      <c r="DJ231" s="641">
        <f t="shared" si="137"/>
        <v>999999999</v>
      </c>
      <c r="DK231" s="641">
        <f t="shared" si="137"/>
        <v>999999999</v>
      </c>
      <c r="DL231" s="641">
        <f t="shared" si="137"/>
        <v>999999999</v>
      </c>
      <c r="DM231" s="641">
        <f t="shared" si="137"/>
        <v>999999999</v>
      </c>
      <c r="DN231" s="641">
        <f t="shared" si="137"/>
        <v>999999999</v>
      </c>
      <c r="DO231" s="641">
        <f t="shared" si="137"/>
        <v>999999999</v>
      </c>
      <c r="DP231" s="641">
        <f t="shared" si="137"/>
        <v>999999999</v>
      </c>
      <c r="DQ231" s="641">
        <f t="shared" si="137"/>
        <v>999999999</v>
      </c>
      <c r="DR231" s="641">
        <f t="shared" si="137"/>
        <v>999999999</v>
      </c>
      <c r="DS231" s="641">
        <f t="shared" si="138"/>
        <v>999999999</v>
      </c>
      <c r="DT231" s="641">
        <f t="shared" si="138"/>
        <v>999999999</v>
      </c>
      <c r="DU231" s="641">
        <f t="shared" si="138"/>
        <v>999999999</v>
      </c>
      <c r="DV231" s="641">
        <f t="shared" si="138"/>
        <v>999999999</v>
      </c>
      <c r="DW231" s="641">
        <f t="shared" si="138"/>
        <v>999999999</v>
      </c>
      <c r="DX231" s="641">
        <f t="shared" si="138"/>
        <v>999999999</v>
      </c>
      <c r="DY231" s="641">
        <f t="shared" si="138"/>
        <v>999999999</v>
      </c>
      <c r="DZ231" s="641">
        <f t="shared" si="138"/>
        <v>999999999</v>
      </c>
      <c r="EA231" s="641">
        <f t="shared" si="138"/>
        <v>999999999</v>
      </c>
      <c r="EB231" s="641">
        <f t="shared" si="138"/>
        <v>999999999</v>
      </c>
      <c r="EC231" s="641">
        <f t="shared" si="138"/>
        <v>999999999</v>
      </c>
    </row>
    <row r="232" spans="28:133" ht="15.5">
      <c r="AB232" s="5">
        <f t="shared" si="118"/>
        <v>2</v>
      </c>
      <c r="AC232" s="128">
        <v>89</v>
      </c>
      <c r="AD232" s="129">
        <f t="shared" si="107"/>
        <v>8066.506604000002</v>
      </c>
      <c r="AF232" s="128">
        <v>89</v>
      </c>
      <c r="AG232" s="641">
        <f t="shared" si="129"/>
        <v>489661.50660399999</v>
      </c>
      <c r="AH232" s="641">
        <f t="shared" si="129"/>
        <v>426709.50660399999</v>
      </c>
      <c r="AI232" s="641">
        <f t="shared" si="129"/>
        <v>363757.50660399999</v>
      </c>
      <c r="AJ232" s="641">
        <f t="shared" si="129"/>
        <v>300805.50660399999</v>
      </c>
      <c r="AK232" s="641">
        <f t="shared" si="129"/>
        <v>237853.50660399999</v>
      </c>
      <c r="AL232" s="641">
        <f t="shared" si="129"/>
        <v>174901.50660399999</v>
      </c>
      <c r="AM232" s="641">
        <f t="shared" si="129"/>
        <v>112986.50660399999</v>
      </c>
      <c r="AN232" s="641">
        <f t="shared" si="129"/>
        <v>60526.506604000002</v>
      </c>
      <c r="AO232" s="641">
        <f t="shared" si="129"/>
        <v>8066.506604000002</v>
      </c>
      <c r="AP232" s="641">
        <f t="shared" si="129"/>
        <v>999999999</v>
      </c>
      <c r="AQ232" s="641">
        <f t="shared" si="130"/>
        <v>999999999</v>
      </c>
      <c r="AR232" s="641">
        <f t="shared" si="130"/>
        <v>999999999</v>
      </c>
      <c r="AS232" s="641">
        <f t="shared" si="130"/>
        <v>999999999</v>
      </c>
      <c r="AT232" s="641">
        <f t="shared" si="130"/>
        <v>999999999</v>
      </c>
      <c r="AU232" s="641">
        <f t="shared" si="130"/>
        <v>999999999</v>
      </c>
      <c r="AV232" s="641">
        <f t="shared" si="130"/>
        <v>999999999</v>
      </c>
      <c r="AW232" s="641">
        <f t="shared" si="130"/>
        <v>999999999</v>
      </c>
      <c r="AX232" s="641">
        <f t="shared" si="130"/>
        <v>999999999</v>
      </c>
      <c r="AY232" s="641">
        <f t="shared" si="130"/>
        <v>999999999</v>
      </c>
      <c r="AZ232" s="641">
        <f t="shared" si="130"/>
        <v>999999999</v>
      </c>
      <c r="BA232" s="641">
        <f t="shared" si="131"/>
        <v>999999999</v>
      </c>
      <c r="BB232" s="641">
        <f t="shared" si="131"/>
        <v>999999999</v>
      </c>
      <c r="BC232" s="641">
        <f t="shared" si="131"/>
        <v>999999999</v>
      </c>
      <c r="BD232" s="641">
        <f t="shared" si="131"/>
        <v>999999999</v>
      </c>
      <c r="BE232" s="641">
        <f t="shared" si="131"/>
        <v>999999999</v>
      </c>
      <c r="BF232" s="641">
        <f t="shared" si="131"/>
        <v>999999999</v>
      </c>
      <c r="BG232" s="641">
        <f t="shared" si="131"/>
        <v>999999999</v>
      </c>
      <c r="BH232" s="641">
        <f t="shared" si="131"/>
        <v>999999999</v>
      </c>
      <c r="BI232" s="641">
        <f t="shared" si="131"/>
        <v>999999999</v>
      </c>
      <c r="BJ232" s="641">
        <f t="shared" si="131"/>
        <v>999999999</v>
      </c>
      <c r="BK232" s="641">
        <f t="shared" si="132"/>
        <v>999999999</v>
      </c>
      <c r="BL232" s="641">
        <f t="shared" si="132"/>
        <v>999999999</v>
      </c>
      <c r="BM232" s="641">
        <f t="shared" si="132"/>
        <v>999999999</v>
      </c>
      <c r="BN232" s="641">
        <f t="shared" si="132"/>
        <v>999999999</v>
      </c>
      <c r="BO232" s="641">
        <f t="shared" si="132"/>
        <v>999999999</v>
      </c>
      <c r="BP232" s="641">
        <f t="shared" si="132"/>
        <v>999999999</v>
      </c>
      <c r="BQ232" s="641">
        <f t="shared" si="132"/>
        <v>999999999</v>
      </c>
      <c r="BR232" s="641">
        <f t="shared" si="132"/>
        <v>999999999</v>
      </c>
      <c r="BS232" s="641">
        <f t="shared" si="132"/>
        <v>999999999</v>
      </c>
      <c r="BT232" s="641">
        <f t="shared" si="132"/>
        <v>999999999</v>
      </c>
      <c r="BU232" s="641">
        <f t="shared" si="133"/>
        <v>999999999</v>
      </c>
      <c r="BV232" s="641">
        <f t="shared" si="133"/>
        <v>999999999</v>
      </c>
      <c r="BW232" s="641">
        <f t="shared" si="133"/>
        <v>999999999</v>
      </c>
      <c r="BX232" s="641">
        <f t="shared" si="133"/>
        <v>999999999</v>
      </c>
      <c r="BY232" s="641">
        <f t="shared" si="133"/>
        <v>999999999</v>
      </c>
      <c r="BZ232" s="641">
        <f t="shared" si="133"/>
        <v>999999999</v>
      </c>
      <c r="CA232" s="641">
        <f t="shared" si="133"/>
        <v>999999999</v>
      </c>
      <c r="CB232" s="641">
        <f t="shared" si="133"/>
        <v>999999999</v>
      </c>
      <c r="CC232" s="641">
        <f t="shared" si="133"/>
        <v>999999999</v>
      </c>
      <c r="CD232" s="641">
        <f t="shared" si="133"/>
        <v>999999999</v>
      </c>
      <c r="CE232" s="641">
        <f t="shared" si="134"/>
        <v>999999999</v>
      </c>
      <c r="CF232" s="641">
        <f t="shared" si="134"/>
        <v>999999999</v>
      </c>
      <c r="CG232" s="641">
        <f t="shared" si="134"/>
        <v>999999999</v>
      </c>
      <c r="CH232" s="641">
        <f t="shared" si="134"/>
        <v>999999999</v>
      </c>
      <c r="CI232" s="641">
        <f t="shared" si="134"/>
        <v>999999999</v>
      </c>
      <c r="CJ232" s="641">
        <f t="shared" si="134"/>
        <v>999999999</v>
      </c>
      <c r="CK232" s="641">
        <f t="shared" si="134"/>
        <v>999999999</v>
      </c>
      <c r="CL232" s="641">
        <f t="shared" si="134"/>
        <v>999999999</v>
      </c>
      <c r="CM232" s="641">
        <f t="shared" si="134"/>
        <v>999999999</v>
      </c>
      <c r="CN232" s="641">
        <f t="shared" si="134"/>
        <v>999999999</v>
      </c>
      <c r="CO232" s="641">
        <f t="shared" si="135"/>
        <v>999999999</v>
      </c>
      <c r="CP232" s="641">
        <f t="shared" si="135"/>
        <v>999999999</v>
      </c>
      <c r="CQ232" s="641">
        <f t="shared" si="135"/>
        <v>999999999</v>
      </c>
      <c r="CR232" s="641">
        <f t="shared" si="135"/>
        <v>999999999</v>
      </c>
      <c r="CS232" s="641">
        <f t="shared" si="135"/>
        <v>999999999</v>
      </c>
      <c r="CT232" s="641">
        <f t="shared" si="135"/>
        <v>999999999</v>
      </c>
      <c r="CU232" s="641">
        <f t="shared" si="135"/>
        <v>999999999</v>
      </c>
      <c r="CV232" s="641">
        <f t="shared" si="135"/>
        <v>999999999</v>
      </c>
      <c r="CW232" s="641">
        <f t="shared" si="135"/>
        <v>999999999</v>
      </c>
      <c r="CX232" s="641">
        <f t="shared" si="135"/>
        <v>999999999</v>
      </c>
      <c r="CY232" s="641">
        <f t="shared" si="136"/>
        <v>999999999</v>
      </c>
      <c r="CZ232" s="641">
        <f t="shared" si="136"/>
        <v>999999999</v>
      </c>
      <c r="DA232" s="641">
        <f t="shared" si="136"/>
        <v>999999999</v>
      </c>
      <c r="DB232" s="641">
        <f t="shared" si="136"/>
        <v>999999999</v>
      </c>
      <c r="DC232" s="641">
        <f t="shared" si="136"/>
        <v>999999999</v>
      </c>
      <c r="DD232" s="641">
        <f t="shared" si="136"/>
        <v>999999999</v>
      </c>
      <c r="DE232" s="641">
        <f t="shared" si="136"/>
        <v>999999999</v>
      </c>
      <c r="DF232" s="641">
        <f t="shared" si="136"/>
        <v>999999999</v>
      </c>
      <c r="DG232" s="641">
        <f t="shared" si="136"/>
        <v>999999999</v>
      </c>
      <c r="DH232" s="641">
        <f t="shared" si="136"/>
        <v>999999999</v>
      </c>
      <c r="DI232" s="641">
        <f t="shared" si="137"/>
        <v>999999999</v>
      </c>
      <c r="DJ232" s="641">
        <f t="shared" si="137"/>
        <v>999999999</v>
      </c>
      <c r="DK232" s="641">
        <f t="shared" si="137"/>
        <v>999999999</v>
      </c>
      <c r="DL232" s="641">
        <f t="shared" si="137"/>
        <v>999999999</v>
      </c>
      <c r="DM232" s="641">
        <f t="shared" si="137"/>
        <v>999999999</v>
      </c>
      <c r="DN232" s="641">
        <f t="shared" si="137"/>
        <v>999999999</v>
      </c>
      <c r="DO232" s="641">
        <f t="shared" si="137"/>
        <v>999999999</v>
      </c>
      <c r="DP232" s="641">
        <f t="shared" si="137"/>
        <v>999999999</v>
      </c>
      <c r="DQ232" s="641">
        <f t="shared" si="137"/>
        <v>999999999</v>
      </c>
      <c r="DR232" s="641">
        <f t="shared" si="137"/>
        <v>999999999</v>
      </c>
      <c r="DS232" s="641">
        <f t="shared" si="138"/>
        <v>999999999</v>
      </c>
      <c r="DT232" s="641">
        <f t="shared" si="138"/>
        <v>999999999</v>
      </c>
      <c r="DU232" s="641">
        <f t="shared" si="138"/>
        <v>999999999</v>
      </c>
      <c r="DV232" s="641">
        <f t="shared" si="138"/>
        <v>999999999</v>
      </c>
      <c r="DW232" s="641">
        <f t="shared" si="138"/>
        <v>999999999</v>
      </c>
      <c r="DX232" s="641">
        <f t="shared" si="138"/>
        <v>999999999</v>
      </c>
      <c r="DY232" s="641">
        <f t="shared" si="138"/>
        <v>999999999</v>
      </c>
      <c r="DZ232" s="641">
        <f t="shared" si="138"/>
        <v>999999999</v>
      </c>
      <c r="EA232" s="641">
        <f t="shared" si="138"/>
        <v>999999999</v>
      </c>
      <c r="EB232" s="641">
        <f t="shared" si="138"/>
        <v>999999999</v>
      </c>
      <c r="EC232" s="641">
        <f t="shared" si="138"/>
        <v>999999999</v>
      </c>
    </row>
    <row r="233" spans="28:133" ht="15.5">
      <c r="AB233" s="5">
        <f t="shared" si="118"/>
        <v>2</v>
      </c>
      <c r="AC233" s="128">
        <v>90</v>
      </c>
      <c r="AD233" s="129">
        <f t="shared" si="107"/>
        <v>8066.506604000002</v>
      </c>
      <c r="AF233" s="128">
        <v>90</v>
      </c>
      <c r="AG233" s="641">
        <f t="shared" ref="AG233:AP243" si="139">IF(VLOOKUP($AF233,$T$61:$X$161,2)+VLOOKUP(AG$142,$T$61:$X$161,$AF$141)+VLOOKUP(0,$T$61:$X$161,$AF$140)+VLOOKUP(0,$T$61:$X$161,5)+$Y$51+$Z$44-$U$17&lt;0,999999999,VLOOKUP($AF233,$T$61:$X$161,2)+VLOOKUP(AG$142,$T$61:$X$161,$AF$141)+VLOOKUP(0,$T$61:$X$161,$AF$140)+VLOOKUP(0,$T$61:$X$161,5)+$Y$51+$Z$44-$U$17)</f>
        <v>489661.50660399999</v>
      </c>
      <c r="AH233" s="641">
        <f t="shared" si="139"/>
        <v>426709.50660399999</v>
      </c>
      <c r="AI233" s="641">
        <f t="shared" si="139"/>
        <v>363757.50660399999</v>
      </c>
      <c r="AJ233" s="641">
        <f t="shared" si="139"/>
        <v>300805.50660399999</v>
      </c>
      <c r="AK233" s="641">
        <f t="shared" si="139"/>
        <v>237853.50660399999</v>
      </c>
      <c r="AL233" s="641">
        <f t="shared" si="139"/>
        <v>174901.50660399999</v>
      </c>
      <c r="AM233" s="641">
        <f t="shared" si="139"/>
        <v>112986.50660399999</v>
      </c>
      <c r="AN233" s="641">
        <f t="shared" si="139"/>
        <v>60526.506604000002</v>
      </c>
      <c r="AO233" s="641">
        <f t="shared" si="139"/>
        <v>8066.506604000002</v>
      </c>
      <c r="AP233" s="641">
        <f t="shared" si="139"/>
        <v>999999999</v>
      </c>
      <c r="AQ233" s="641">
        <f t="shared" ref="AQ233:AZ243" si="140">IF(VLOOKUP($AF233,$T$61:$X$161,2)+VLOOKUP(AQ$142,$T$61:$X$161,$AF$141)+VLOOKUP(0,$T$61:$X$161,$AF$140)+VLOOKUP(0,$T$61:$X$161,5)+$Y$51+$Z$44-$U$17&lt;0,999999999,VLOOKUP($AF233,$T$61:$X$161,2)+VLOOKUP(AQ$142,$T$61:$X$161,$AF$141)+VLOOKUP(0,$T$61:$X$161,$AF$140)+VLOOKUP(0,$T$61:$X$161,5)+$Y$51+$Z$44-$U$17)</f>
        <v>999999999</v>
      </c>
      <c r="AR233" s="641">
        <f t="shared" si="140"/>
        <v>999999999</v>
      </c>
      <c r="AS233" s="641">
        <f t="shared" si="140"/>
        <v>999999999</v>
      </c>
      <c r="AT233" s="641">
        <f t="shared" si="140"/>
        <v>999999999</v>
      </c>
      <c r="AU233" s="641">
        <f t="shared" si="140"/>
        <v>999999999</v>
      </c>
      <c r="AV233" s="641">
        <f t="shared" si="140"/>
        <v>999999999</v>
      </c>
      <c r="AW233" s="641">
        <f t="shared" si="140"/>
        <v>999999999</v>
      </c>
      <c r="AX233" s="641">
        <f t="shared" si="140"/>
        <v>999999999</v>
      </c>
      <c r="AY233" s="641">
        <f t="shared" si="140"/>
        <v>999999999</v>
      </c>
      <c r="AZ233" s="641">
        <f t="shared" si="140"/>
        <v>999999999</v>
      </c>
      <c r="BA233" s="641">
        <f t="shared" ref="BA233:BJ243" si="141">IF(VLOOKUP($AF233,$T$61:$X$161,2)+VLOOKUP(BA$142,$T$61:$X$161,$AF$141)+VLOOKUP(0,$T$61:$X$161,$AF$140)+VLOOKUP(0,$T$61:$X$161,5)+$Y$51+$Z$44-$U$17&lt;0,999999999,VLOOKUP($AF233,$T$61:$X$161,2)+VLOOKUP(BA$142,$T$61:$X$161,$AF$141)+VLOOKUP(0,$T$61:$X$161,$AF$140)+VLOOKUP(0,$T$61:$X$161,5)+$Y$51+$Z$44-$U$17)</f>
        <v>999999999</v>
      </c>
      <c r="BB233" s="641">
        <f t="shared" si="141"/>
        <v>999999999</v>
      </c>
      <c r="BC233" s="641">
        <f t="shared" si="141"/>
        <v>999999999</v>
      </c>
      <c r="BD233" s="641">
        <f t="shared" si="141"/>
        <v>999999999</v>
      </c>
      <c r="BE233" s="641">
        <f t="shared" si="141"/>
        <v>999999999</v>
      </c>
      <c r="BF233" s="641">
        <f t="shared" si="141"/>
        <v>999999999</v>
      </c>
      <c r="BG233" s="641">
        <f t="shared" si="141"/>
        <v>999999999</v>
      </c>
      <c r="BH233" s="641">
        <f t="shared" si="141"/>
        <v>999999999</v>
      </c>
      <c r="BI233" s="641">
        <f t="shared" si="141"/>
        <v>999999999</v>
      </c>
      <c r="BJ233" s="641">
        <f t="shared" si="141"/>
        <v>999999999</v>
      </c>
      <c r="BK233" s="641">
        <f t="shared" ref="BK233:BT243" si="142">IF(VLOOKUP($AF233,$T$61:$X$161,2)+VLOOKUP(BK$142,$T$61:$X$161,$AF$141)+VLOOKUP(0,$T$61:$X$161,$AF$140)+VLOOKUP(0,$T$61:$X$161,5)+$Y$51+$Z$44-$U$17&lt;0,999999999,VLOOKUP($AF233,$T$61:$X$161,2)+VLOOKUP(BK$142,$T$61:$X$161,$AF$141)+VLOOKUP(0,$T$61:$X$161,$AF$140)+VLOOKUP(0,$T$61:$X$161,5)+$Y$51+$Z$44-$U$17)</f>
        <v>999999999</v>
      </c>
      <c r="BL233" s="641">
        <f t="shared" si="142"/>
        <v>999999999</v>
      </c>
      <c r="BM233" s="641">
        <f t="shared" si="142"/>
        <v>999999999</v>
      </c>
      <c r="BN233" s="641">
        <f t="shared" si="142"/>
        <v>999999999</v>
      </c>
      <c r="BO233" s="641">
        <f t="shared" si="142"/>
        <v>999999999</v>
      </c>
      <c r="BP233" s="641">
        <f t="shared" si="142"/>
        <v>999999999</v>
      </c>
      <c r="BQ233" s="641">
        <f t="shared" si="142"/>
        <v>999999999</v>
      </c>
      <c r="BR233" s="641">
        <f t="shared" si="142"/>
        <v>999999999</v>
      </c>
      <c r="BS233" s="641">
        <f t="shared" si="142"/>
        <v>999999999</v>
      </c>
      <c r="BT233" s="641">
        <f t="shared" si="142"/>
        <v>999999999</v>
      </c>
      <c r="BU233" s="641">
        <f t="shared" ref="BU233:CD243" si="143">IF(VLOOKUP($AF233,$T$61:$X$161,2)+VLOOKUP(BU$142,$T$61:$X$161,$AF$141)+VLOOKUP(0,$T$61:$X$161,$AF$140)+VLOOKUP(0,$T$61:$X$161,5)+$Y$51+$Z$44-$U$17&lt;0,999999999,VLOOKUP($AF233,$T$61:$X$161,2)+VLOOKUP(BU$142,$T$61:$X$161,$AF$141)+VLOOKUP(0,$T$61:$X$161,$AF$140)+VLOOKUP(0,$T$61:$X$161,5)+$Y$51+$Z$44-$U$17)</f>
        <v>999999999</v>
      </c>
      <c r="BV233" s="641">
        <f t="shared" si="143"/>
        <v>999999999</v>
      </c>
      <c r="BW233" s="641">
        <f t="shared" si="143"/>
        <v>999999999</v>
      </c>
      <c r="BX233" s="641">
        <f t="shared" si="143"/>
        <v>999999999</v>
      </c>
      <c r="BY233" s="641">
        <f t="shared" si="143"/>
        <v>999999999</v>
      </c>
      <c r="BZ233" s="641">
        <f t="shared" si="143"/>
        <v>999999999</v>
      </c>
      <c r="CA233" s="641">
        <f t="shared" si="143"/>
        <v>999999999</v>
      </c>
      <c r="CB233" s="641">
        <f t="shared" si="143"/>
        <v>999999999</v>
      </c>
      <c r="CC233" s="641">
        <f t="shared" si="143"/>
        <v>999999999</v>
      </c>
      <c r="CD233" s="641">
        <f t="shared" si="143"/>
        <v>999999999</v>
      </c>
      <c r="CE233" s="641">
        <f t="shared" ref="CE233:CN243" si="144">IF(VLOOKUP($AF233,$T$61:$X$161,2)+VLOOKUP(CE$142,$T$61:$X$161,$AF$141)+VLOOKUP(0,$T$61:$X$161,$AF$140)+VLOOKUP(0,$T$61:$X$161,5)+$Y$51+$Z$44-$U$17&lt;0,999999999,VLOOKUP($AF233,$T$61:$X$161,2)+VLOOKUP(CE$142,$T$61:$X$161,$AF$141)+VLOOKUP(0,$T$61:$X$161,$AF$140)+VLOOKUP(0,$T$61:$X$161,5)+$Y$51+$Z$44-$U$17)</f>
        <v>999999999</v>
      </c>
      <c r="CF233" s="641">
        <f t="shared" si="144"/>
        <v>999999999</v>
      </c>
      <c r="CG233" s="641">
        <f t="shared" si="144"/>
        <v>999999999</v>
      </c>
      <c r="CH233" s="641">
        <f t="shared" si="144"/>
        <v>999999999</v>
      </c>
      <c r="CI233" s="641">
        <f t="shared" si="144"/>
        <v>999999999</v>
      </c>
      <c r="CJ233" s="641">
        <f t="shared" si="144"/>
        <v>999999999</v>
      </c>
      <c r="CK233" s="641">
        <f t="shared" si="144"/>
        <v>999999999</v>
      </c>
      <c r="CL233" s="641">
        <f t="shared" si="144"/>
        <v>999999999</v>
      </c>
      <c r="CM233" s="641">
        <f t="shared" si="144"/>
        <v>999999999</v>
      </c>
      <c r="CN233" s="641">
        <f t="shared" si="144"/>
        <v>999999999</v>
      </c>
      <c r="CO233" s="641">
        <f t="shared" ref="CO233:CX243" si="145">IF(VLOOKUP($AF233,$T$61:$X$161,2)+VLOOKUP(CO$142,$T$61:$X$161,$AF$141)+VLOOKUP(0,$T$61:$X$161,$AF$140)+VLOOKUP(0,$T$61:$X$161,5)+$Y$51+$Z$44-$U$17&lt;0,999999999,VLOOKUP($AF233,$T$61:$X$161,2)+VLOOKUP(CO$142,$T$61:$X$161,$AF$141)+VLOOKUP(0,$T$61:$X$161,$AF$140)+VLOOKUP(0,$T$61:$X$161,5)+$Y$51+$Z$44-$U$17)</f>
        <v>999999999</v>
      </c>
      <c r="CP233" s="641">
        <f t="shared" si="145"/>
        <v>999999999</v>
      </c>
      <c r="CQ233" s="641">
        <f t="shared" si="145"/>
        <v>999999999</v>
      </c>
      <c r="CR233" s="641">
        <f t="shared" si="145"/>
        <v>999999999</v>
      </c>
      <c r="CS233" s="641">
        <f t="shared" si="145"/>
        <v>999999999</v>
      </c>
      <c r="CT233" s="641">
        <f t="shared" si="145"/>
        <v>999999999</v>
      </c>
      <c r="CU233" s="641">
        <f t="shared" si="145"/>
        <v>999999999</v>
      </c>
      <c r="CV233" s="641">
        <f t="shared" si="145"/>
        <v>999999999</v>
      </c>
      <c r="CW233" s="641">
        <f t="shared" si="145"/>
        <v>999999999</v>
      </c>
      <c r="CX233" s="641">
        <f t="shared" si="145"/>
        <v>999999999</v>
      </c>
      <c r="CY233" s="641">
        <f t="shared" ref="CY233:DH243" si="146">IF(VLOOKUP($AF233,$T$61:$X$161,2)+VLOOKUP(CY$142,$T$61:$X$161,$AF$141)+VLOOKUP(0,$T$61:$X$161,$AF$140)+VLOOKUP(0,$T$61:$X$161,5)+$Y$51+$Z$44-$U$17&lt;0,999999999,VLOOKUP($AF233,$T$61:$X$161,2)+VLOOKUP(CY$142,$T$61:$X$161,$AF$141)+VLOOKUP(0,$T$61:$X$161,$AF$140)+VLOOKUP(0,$T$61:$X$161,5)+$Y$51+$Z$44-$U$17)</f>
        <v>999999999</v>
      </c>
      <c r="CZ233" s="641">
        <f t="shared" si="146"/>
        <v>999999999</v>
      </c>
      <c r="DA233" s="641">
        <f t="shared" si="146"/>
        <v>999999999</v>
      </c>
      <c r="DB233" s="641">
        <f t="shared" si="146"/>
        <v>999999999</v>
      </c>
      <c r="DC233" s="641">
        <f t="shared" si="146"/>
        <v>999999999</v>
      </c>
      <c r="DD233" s="641">
        <f t="shared" si="146"/>
        <v>999999999</v>
      </c>
      <c r="DE233" s="641">
        <f t="shared" si="146"/>
        <v>999999999</v>
      </c>
      <c r="DF233" s="641">
        <f t="shared" si="146"/>
        <v>999999999</v>
      </c>
      <c r="DG233" s="641">
        <f t="shared" si="146"/>
        <v>999999999</v>
      </c>
      <c r="DH233" s="641">
        <f t="shared" si="146"/>
        <v>999999999</v>
      </c>
      <c r="DI233" s="641">
        <f t="shared" ref="DI233:DR243" si="147">IF(VLOOKUP($AF233,$T$61:$X$161,2)+VLOOKUP(DI$142,$T$61:$X$161,$AF$141)+VLOOKUP(0,$T$61:$X$161,$AF$140)+VLOOKUP(0,$T$61:$X$161,5)+$Y$51+$Z$44-$U$17&lt;0,999999999,VLOOKUP($AF233,$T$61:$X$161,2)+VLOOKUP(DI$142,$T$61:$X$161,$AF$141)+VLOOKUP(0,$T$61:$X$161,$AF$140)+VLOOKUP(0,$T$61:$X$161,5)+$Y$51+$Z$44-$U$17)</f>
        <v>999999999</v>
      </c>
      <c r="DJ233" s="641">
        <f t="shared" si="147"/>
        <v>999999999</v>
      </c>
      <c r="DK233" s="641">
        <f t="shared" si="147"/>
        <v>999999999</v>
      </c>
      <c r="DL233" s="641">
        <f t="shared" si="147"/>
        <v>999999999</v>
      </c>
      <c r="DM233" s="641">
        <f t="shared" si="147"/>
        <v>999999999</v>
      </c>
      <c r="DN233" s="641">
        <f t="shared" si="147"/>
        <v>999999999</v>
      </c>
      <c r="DO233" s="641">
        <f t="shared" si="147"/>
        <v>999999999</v>
      </c>
      <c r="DP233" s="641">
        <f t="shared" si="147"/>
        <v>999999999</v>
      </c>
      <c r="DQ233" s="641">
        <f t="shared" si="147"/>
        <v>999999999</v>
      </c>
      <c r="DR233" s="641">
        <f t="shared" si="147"/>
        <v>999999999</v>
      </c>
      <c r="DS233" s="641">
        <f t="shared" ref="DS233:EC243" si="148">IF(VLOOKUP($AF233,$T$61:$X$161,2)+VLOOKUP(DS$142,$T$61:$X$161,$AF$141)+VLOOKUP(0,$T$61:$X$161,$AF$140)+VLOOKUP(0,$T$61:$X$161,5)+$Y$51+$Z$44-$U$17&lt;0,999999999,VLOOKUP($AF233,$T$61:$X$161,2)+VLOOKUP(DS$142,$T$61:$X$161,$AF$141)+VLOOKUP(0,$T$61:$X$161,$AF$140)+VLOOKUP(0,$T$61:$X$161,5)+$Y$51+$Z$44-$U$17)</f>
        <v>999999999</v>
      </c>
      <c r="DT233" s="641">
        <f t="shared" si="148"/>
        <v>999999999</v>
      </c>
      <c r="DU233" s="641">
        <f t="shared" si="148"/>
        <v>999999999</v>
      </c>
      <c r="DV233" s="641">
        <f t="shared" si="148"/>
        <v>999999999</v>
      </c>
      <c r="DW233" s="641">
        <f t="shared" si="148"/>
        <v>999999999</v>
      </c>
      <c r="DX233" s="641">
        <f t="shared" si="148"/>
        <v>999999999</v>
      </c>
      <c r="DY233" s="641">
        <f t="shared" si="148"/>
        <v>999999999</v>
      </c>
      <c r="DZ233" s="641">
        <f t="shared" si="148"/>
        <v>999999999</v>
      </c>
      <c r="EA233" s="641">
        <f t="shared" si="148"/>
        <v>999999999</v>
      </c>
      <c r="EB233" s="641">
        <f t="shared" si="148"/>
        <v>999999999</v>
      </c>
      <c r="EC233" s="641">
        <f t="shared" si="148"/>
        <v>999999999</v>
      </c>
    </row>
    <row r="234" spans="28:133" ht="15.5">
      <c r="AB234" s="5">
        <f t="shared" si="118"/>
        <v>2</v>
      </c>
      <c r="AC234" s="128">
        <v>91</v>
      </c>
      <c r="AD234" s="129">
        <f t="shared" si="107"/>
        <v>8066.506604000002</v>
      </c>
      <c r="AF234" s="128">
        <v>91</v>
      </c>
      <c r="AG234" s="641">
        <f t="shared" si="139"/>
        <v>489661.50660399999</v>
      </c>
      <c r="AH234" s="641">
        <f t="shared" si="139"/>
        <v>426709.50660399999</v>
      </c>
      <c r="AI234" s="641">
        <f t="shared" si="139"/>
        <v>363757.50660399999</v>
      </c>
      <c r="AJ234" s="641">
        <f t="shared" si="139"/>
        <v>300805.50660399999</v>
      </c>
      <c r="AK234" s="641">
        <f t="shared" si="139"/>
        <v>237853.50660399999</v>
      </c>
      <c r="AL234" s="641">
        <f t="shared" si="139"/>
        <v>174901.50660399999</v>
      </c>
      <c r="AM234" s="641">
        <f t="shared" si="139"/>
        <v>112986.50660399999</v>
      </c>
      <c r="AN234" s="641">
        <f t="shared" si="139"/>
        <v>60526.506604000002</v>
      </c>
      <c r="AO234" s="641">
        <f t="shared" si="139"/>
        <v>8066.506604000002</v>
      </c>
      <c r="AP234" s="641">
        <f t="shared" si="139"/>
        <v>999999999</v>
      </c>
      <c r="AQ234" s="641">
        <f t="shared" si="140"/>
        <v>999999999</v>
      </c>
      <c r="AR234" s="641">
        <f t="shared" si="140"/>
        <v>999999999</v>
      </c>
      <c r="AS234" s="641">
        <f t="shared" si="140"/>
        <v>999999999</v>
      </c>
      <c r="AT234" s="641">
        <f t="shared" si="140"/>
        <v>999999999</v>
      </c>
      <c r="AU234" s="641">
        <f t="shared" si="140"/>
        <v>999999999</v>
      </c>
      <c r="AV234" s="641">
        <f t="shared" si="140"/>
        <v>999999999</v>
      </c>
      <c r="AW234" s="641">
        <f t="shared" si="140"/>
        <v>999999999</v>
      </c>
      <c r="AX234" s="641">
        <f t="shared" si="140"/>
        <v>999999999</v>
      </c>
      <c r="AY234" s="641">
        <f t="shared" si="140"/>
        <v>999999999</v>
      </c>
      <c r="AZ234" s="641">
        <f t="shared" si="140"/>
        <v>999999999</v>
      </c>
      <c r="BA234" s="641">
        <f t="shared" si="141"/>
        <v>999999999</v>
      </c>
      <c r="BB234" s="641">
        <f t="shared" si="141"/>
        <v>999999999</v>
      </c>
      <c r="BC234" s="641">
        <f t="shared" si="141"/>
        <v>999999999</v>
      </c>
      <c r="BD234" s="641">
        <f t="shared" si="141"/>
        <v>999999999</v>
      </c>
      <c r="BE234" s="641">
        <f t="shared" si="141"/>
        <v>999999999</v>
      </c>
      <c r="BF234" s="641">
        <f t="shared" si="141"/>
        <v>999999999</v>
      </c>
      <c r="BG234" s="641">
        <f t="shared" si="141"/>
        <v>999999999</v>
      </c>
      <c r="BH234" s="641">
        <f t="shared" si="141"/>
        <v>999999999</v>
      </c>
      <c r="BI234" s="641">
        <f t="shared" si="141"/>
        <v>999999999</v>
      </c>
      <c r="BJ234" s="641">
        <f t="shared" si="141"/>
        <v>999999999</v>
      </c>
      <c r="BK234" s="641">
        <f t="shared" si="142"/>
        <v>999999999</v>
      </c>
      <c r="BL234" s="641">
        <f t="shared" si="142"/>
        <v>999999999</v>
      </c>
      <c r="BM234" s="641">
        <f t="shared" si="142"/>
        <v>999999999</v>
      </c>
      <c r="BN234" s="641">
        <f t="shared" si="142"/>
        <v>999999999</v>
      </c>
      <c r="BO234" s="641">
        <f t="shared" si="142"/>
        <v>999999999</v>
      </c>
      <c r="BP234" s="641">
        <f t="shared" si="142"/>
        <v>999999999</v>
      </c>
      <c r="BQ234" s="641">
        <f t="shared" si="142"/>
        <v>999999999</v>
      </c>
      <c r="BR234" s="641">
        <f t="shared" si="142"/>
        <v>999999999</v>
      </c>
      <c r="BS234" s="641">
        <f t="shared" si="142"/>
        <v>999999999</v>
      </c>
      <c r="BT234" s="641">
        <f t="shared" si="142"/>
        <v>999999999</v>
      </c>
      <c r="BU234" s="641">
        <f t="shared" si="143"/>
        <v>999999999</v>
      </c>
      <c r="BV234" s="641">
        <f t="shared" si="143"/>
        <v>999999999</v>
      </c>
      <c r="BW234" s="641">
        <f t="shared" si="143"/>
        <v>999999999</v>
      </c>
      <c r="BX234" s="641">
        <f t="shared" si="143"/>
        <v>999999999</v>
      </c>
      <c r="BY234" s="641">
        <f t="shared" si="143"/>
        <v>999999999</v>
      </c>
      <c r="BZ234" s="641">
        <f t="shared" si="143"/>
        <v>999999999</v>
      </c>
      <c r="CA234" s="641">
        <f t="shared" si="143"/>
        <v>999999999</v>
      </c>
      <c r="CB234" s="641">
        <f t="shared" si="143"/>
        <v>999999999</v>
      </c>
      <c r="CC234" s="641">
        <f t="shared" si="143"/>
        <v>999999999</v>
      </c>
      <c r="CD234" s="641">
        <f t="shared" si="143"/>
        <v>999999999</v>
      </c>
      <c r="CE234" s="641">
        <f t="shared" si="144"/>
        <v>999999999</v>
      </c>
      <c r="CF234" s="641">
        <f t="shared" si="144"/>
        <v>999999999</v>
      </c>
      <c r="CG234" s="641">
        <f t="shared" si="144"/>
        <v>999999999</v>
      </c>
      <c r="CH234" s="641">
        <f t="shared" si="144"/>
        <v>999999999</v>
      </c>
      <c r="CI234" s="641">
        <f t="shared" si="144"/>
        <v>999999999</v>
      </c>
      <c r="CJ234" s="641">
        <f t="shared" si="144"/>
        <v>999999999</v>
      </c>
      <c r="CK234" s="641">
        <f t="shared" si="144"/>
        <v>999999999</v>
      </c>
      <c r="CL234" s="641">
        <f t="shared" si="144"/>
        <v>999999999</v>
      </c>
      <c r="CM234" s="641">
        <f t="shared" si="144"/>
        <v>999999999</v>
      </c>
      <c r="CN234" s="641">
        <f t="shared" si="144"/>
        <v>999999999</v>
      </c>
      <c r="CO234" s="641">
        <f t="shared" si="145"/>
        <v>999999999</v>
      </c>
      <c r="CP234" s="641">
        <f t="shared" si="145"/>
        <v>999999999</v>
      </c>
      <c r="CQ234" s="641">
        <f t="shared" si="145"/>
        <v>999999999</v>
      </c>
      <c r="CR234" s="641">
        <f t="shared" si="145"/>
        <v>999999999</v>
      </c>
      <c r="CS234" s="641">
        <f t="shared" si="145"/>
        <v>999999999</v>
      </c>
      <c r="CT234" s="641">
        <f t="shared" si="145"/>
        <v>999999999</v>
      </c>
      <c r="CU234" s="641">
        <f t="shared" si="145"/>
        <v>999999999</v>
      </c>
      <c r="CV234" s="641">
        <f t="shared" si="145"/>
        <v>999999999</v>
      </c>
      <c r="CW234" s="641">
        <f t="shared" si="145"/>
        <v>999999999</v>
      </c>
      <c r="CX234" s="641">
        <f t="shared" si="145"/>
        <v>999999999</v>
      </c>
      <c r="CY234" s="641">
        <f t="shared" si="146"/>
        <v>999999999</v>
      </c>
      <c r="CZ234" s="641">
        <f t="shared" si="146"/>
        <v>999999999</v>
      </c>
      <c r="DA234" s="641">
        <f t="shared" si="146"/>
        <v>999999999</v>
      </c>
      <c r="DB234" s="641">
        <f t="shared" si="146"/>
        <v>999999999</v>
      </c>
      <c r="DC234" s="641">
        <f t="shared" si="146"/>
        <v>999999999</v>
      </c>
      <c r="DD234" s="641">
        <f t="shared" si="146"/>
        <v>999999999</v>
      </c>
      <c r="DE234" s="641">
        <f t="shared" si="146"/>
        <v>999999999</v>
      </c>
      <c r="DF234" s="641">
        <f t="shared" si="146"/>
        <v>999999999</v>
      </c>
      <c r="DG234" s="641">
        <f t="shared" si="146"/>
        <v>999999999</v>
      </c>
      <c r="DH234" s="641">
        <f t="shared" si="146"/>
        <v>999999999</v>
      </c>
      <c r="DI234" s="641">
        <f t="shared" si="147"/>
        <v>999999999</v>
      </c>
      <c r="DJ234" s="641">
        <f t="shared" si="147"/>
        <v>999999999</v>
      </c>
      <c r="DK234" s="641">
        <f t="shared" si="147"/>
        <v>999999999</v>
      </c>
      <c r="DL234" s="641">
        <f t="shared" si="147"/>
        <v>999999999</v>
      </c>
      <c r="DM234" s="641">
        <f t="shared" si="147"/>
        <v>999999999</v>
      </c>
      <c r="DN234" s="641">
        <f t="shared" si="147"/>
        <v>999999999</v>
      </c>
      <c r="DO234" s="641">
        <f t="shared" si="147"/>
        <v>999999999</v>
      </c>
      <c r="DP234" s="641">
        <f t="shared" si="147"/>
        <v>999999999</v>
      </c>
      <c r="DQ234" s="641">
        <f t="shared" si="147"/>
        <v>999999999</v>
      </c>
      <c r="DR234" s="641">
        <f t="shared" si="147"/>
        <v>999999999</v>
      </c>
      <c r="DS234" s="641">
        <f t="shared" si="148"/>
        <v>999999999</v>
      </c>
      <c r="DT234" s="641">
        <f t="shared" si="148"/>
        <v>999999999</v>
      </c>
      <c r="DU234" s="641">
        <f t="shared" si="148"/>
        <v>999999999</v>
      </c>
      <c r="DV234" s="641">
        <f t="shared" si="148"/>
        <v>999999999</v>
      </c>
      <c r="DW234" s="641">
        <f t="shared" si="148"/>
        <v>999999999</v>
      </c>
      <c r="DX234" s="641">
        <f t="shared" si="148"/>
        <v>999999999</v>
      </c>
      <c r="DY234" s="641">
        <f t="shared" si="148"/>
        <v>999999999</v>
      </c>
      <c r="DZ234" s="641">
        <f t="shared" si="148"/>
        <v>999999999</v>
      </c>
      <c r="EA234" s="641">
        <f t="shared" si="148"/>
        <v>999999999</v>
      </c>
      <c r="EB234" s="641">
        <f t="shared" si="148"/>
        <v>999999999</v>
      </c>
      <c r="EC234" s="641">
        <f t="shared" si="148"/>
        <v>999999999</v>
      </c>
    </row>
    <row r="235" spans="28:133" ht="15.5">
      <c r="AB235" s="5">
        <f t="shared" si="118"/>
        <v>2</v>
      </c>
      <c r="AC235" s="128">
        <v>92</v>
      </c>
      <c r="AD235" s="129">
        <f t="shared" si="107"/>
        <v>8066.506604000002</v>
      </c>
      <c r="AF235" s="128">
        <v>92</v>
      </c>
      <c r="AG235" s="641">
        <f t="shared" si="139"/>
        <v>489661.50660399999</v>
      </c>
      <c r="AH235" s="641">
        <f t="shared" si="139"/>
        <v>426709.50660399999</v>
      </c>
      <c r="AI235" s="641">
        <f t="shared" si="139"/>
        <v>363757.50660399999</v>
      </c>
      <c r="AJ235" s="641">
        <f t="shared" si="139"/>
        <v>300805.50660399999</v>
      </c>
      <c r="AK235" s="641">
        <f t="shared" si="139"/>
        <v>237853.50660399999</v>
      </c>
      <c r="AL235" s="641">
        <f t="shared" si="139"/>
        <v>174901.50660399999</v>
      </c>
      <c r="AM235" s="641">
        <f t="shared" si="139"/>
        <v>112986.50660399999</v>
      </c>
      <c r="AN235" s="641">
        <f t="shared" si="139"/>
        <v>60526.506604000002</v>
      </c>
      <c r="AO235" s="641">
        <f t="shared" si="139"/>
        <v>8066.506604000002</v>
      </c>
      <c r="AP235" s="641">
        <f t="shared" si="139"/>
        <v>999999999</v>
      </c>
      <c r="AQ235" s="641">
        <f t="shared" si="140"/>
        <v>999999999</v>
      </c>
      <c r="AR235" s="641">
        <f t="shared" si="140"/>
        <v>999999999</v>
      </c>
      <c r="AS235" s="641">
        <f t="shared" si="140"/>
        <v>999999999</v>
      </c>
      <c r="AT235" s="641">
        <f t="shared" si="140"/>
        <v>999999999</v>
      </c>
      <c r="AU235" s="641">
        <f t="shared" si="140"/>
        <v>999999999</v>
      </c>
      <c r="AV235" s="641">
        <f t="shared" si="140"/>
        <v>999999999</v>
      </c>
      <c r="AW235" s="641">
        <f t="shared" si="140"/>
        <v>999999999</v>
      </c>
      <c r="AX235" s="641">
        <f t="shared" si="140"/>
        <v>999999999</v>
      </c>
      <c r="AY235" s="641">
        <f t="shared" si="140"/>
        <v>999999999</v>
      </c>
      <c r="AZ235" s="641">
        <f t="shared" si="140"/>
        <v>999999999</v>
      </c>
      <c r="BA235" s="641">
        <f t="shared" si="141"/>
        <v>999999999</v>
      </c>
      <c r="BB235" s="641">
        <f t="shared" si="141"/>
        <v>999999999</v>
      </c>
      <c r="BC235" s="641">
        <f t="shared" si="141"/>
        <v>999999999</v>
      </c>
      <c r="BD235" s="641">
        <f t="shared" si="141"/>
        <v>999999999</v>
      </c>
      <c r="BE235" s="641">
        <f t="shared" si="141"/>
        <v>999999999</v>
      </c>
      <c r="BF235" s="641">
        <f t="shared" si="141"/>
        <v>999999999</v>
      </c>
      <c r="BG235" s="641">
        <f t="shared" si="141"/>
        <v>999999999</v>
      </c>
      <c r="BH235" s="641">
        <f t="shared" si="141"/>
        <v>999999999</v>
      </c>
      <c r="BI235" s="641">
        <f t="shared" si="141"/>
        <v>999999999</v>
      </c>
      <c r="BJ235" s="641">
        <f t="shared" si="141"/>
        <v>999999999</v>
      </c>
      <c r="BK235" s="641">
        <f t="shared" si="142"/>
        <v>999999999</v>
      </c>
      <c r="BL235" s="641">
        <f t="shared" si="142"/>
        <v>999999999</v>
      </c>
      <c r="BM235" s="641">
        <f t="shared" si="142"/>
        <v>999999999</v>
      </c>
      <c r="BN235" s="641">
        <f t="shared" si="142"/>
        <v>999999999</v>
      </c>
      <c r="BO235" s="641">
        <f t="shared" si="142"/>
        <v>999999999</v>
      </c>
      <c r="BP235" s="641">
        <f t="shared" si="142"/>
        <v>999999999</v>
      </c>
      <c r="BQ235" s="641">
        <f t="shared" si="142"/>
        <v>999999999</v>
      </c>
      <c r="BR235" s="641">
        <f t="shared" si="142"/>
        <v>999999999</v>
      </c>
      <c r="BS235" s="641">
        <f t="shared" si="142"/>
        <v>999999999</v>
      </c>
      <c r="BT235" s="641">
        <f t="shared" si="142"/>
        <v>999999999</v>
      </c>
      <c r="BU235" s="641">
        <f t="shared" si="143"/>
        <v>999999999</v>
      </c>
      <c r="BV235" s="641">
        <f t="shared" si="143"/>
        <v>999999999</v>
      </c>
      <c r="BW235" s="641">
        <f t="shared" si="143"/>
        <v>999999999</v>
      </c>
      <c r="BX235" s="641">
        <f t="shared" si="143"/>
        <v>999999999</v>
      </c>
      <c r="BY235" s="641">
        <f t="shared" si="143"/>
        <v>999999999</v>
      </c>
      <c r="BZ235" s="641">
        <f t="shared" si="143"/>
        <v>999999999</v>
      </c>
      <c r="CA235" s="641">
        <f t="shared" si="143"/>
        <v>999999999</v>
      </c>
      <c r="CB235" s="641">
        <f t="shared" si="143"/>
        <v>999999999</v>
      </c>
      <c r="CC235" s="641">
        <f t="shared" si="143"/>
        <v>999999999</v>
      </c>
      <c r="CD235" s="641">
        <f t="shared" si="143"/>
        <v>999999999</v>
      </c>
      <c r="CE235" s="641">
        <f t="shared" si="144"/>
        <v>999999999</v>
      </c>
      <c r="CF235" s="641">
        <f t="shared" si="144"/>
        <v>999999999</v>
      </c>
      <c r="CG235" s="641">
        <f t="shared" si="144"/>
        <v>999999999</v>
      </c>
      <c r="CH235" s="641">
        <f t="shared" si="144"/>
        <v>999999999</v>
      </c>
      <c r="CI235" s="641">
        <f t="shared" si="144"/>
        <v>999999999</v>
      </c>
      <c r="CJ235" s="641">
        <f t="shared" si="144"/>
        <v>999999999</v>
      </c>
      <c r="CK235" s="641">
        <f t="shared" si="144"/>
        <v>999999999</v>
      </c>
      <c r="CL235" s="641">
        <f t="shared" si="144"/>
        <v>999999999</v>
      </c>
      <c r="CM235" s="641">
        <f t="shared" si="144"/>
        <v>999999999</v>
      </c>
      <c r="CN235" s="641">
        <f t="shared" si="144"/>
        <v>999999999</v>
      </c>
      <c r="CO235" s="641">
        <f t="shared" si="145"/>
        <v>999999999</v>
      </c>
      <c r="CP235" s="641">
        <f t="shared" si="145"/>
        <v>999999999</v>
      </c>
      <c r="CQ235" s="641">
        <f t="shared" si="145"/>
        <v>999999999</v>
      </c>
      <c r="CR235" s="641">
        <f t="shared" si="145"/>
        <v>999999999</v>
      </c>
      <c r="CS235" s="641">
        <f t="shared" si="145"/>
        <v>999999999</v>
      </c>
      <c r="CT235" s="641">
        <f t="shared" si="145"/>
        <v>999999999</v>
      </c>
      <c r="CU235" s="641">
        <f t="shared" si="145"/>
        <v>999999999</v>
      </c>
      <c r="CV235" s="641">
        <f t="shared" si="145"/>
        <v>999999999</v>
      </c>
      <c r="CW235" s="641">
        <f t="shared" si="145"/>
        <v>999999999</v>
      </c>
      <c r="CX235" s="641">
        <f t="shared" si="145"/>
        <v>999999999</v>
      </c>
      <c r="CY235" s="641">
        <f t="shared" si="146"/>
        <v>999999999</v>
      </c>
      <c r="CZ235" s="641">
        <f t="shared" si="146"/>
        <v>999999999</v>
      </c>
      <c r="DA235" s="641">
        <f t="shared" si="146"/>
        <v>999999999</v>
      </c>
      <c r="DB235" s="641">
        <f t="shared" si="146"/>
        <v>999999999</v>
      </c>
      <c r="DC235" s="641">
        <f t="shared" si="146"/>
        <v>999999999</v>
      </c>
      <c r="DD235" s="641">
        <f t="shared" si="146"/>
        <v>999999999</v>
      </c>
      <c r="DE235" s="641">
        <f t="shared" si="146"/>
        <v>999999999</v>
      </c>
      <c r="DF235" s="641">
        <f t="shared" si="146"/>
        <v>999999999</v>
      </c>
      <c r="DG235" s="641">
        <f t="shared" si="146"/>
        <v>999999999</v>
      </c>
      <c r="DH235" s="641">
        <f t="shared" si="146"/>
        <v>999999999</v>
      </c>
      <c r="DI235" s="641">
        <f t="shared" si="147"/>
        <v>999999999</v>
      </c>
      <c r="DJ235" s="641">
        <f t="shared" si="147"/>
        <v>999999999</v>
      </c>
      <c r="DK235" s="641">
        <f t="shared" si="147"/>
        <v>999999999</v>
      </c>
      <c r="DL235" s="641">
        <f t="shared" si="147"/>
        <v>999999999</v>
      </c>
      <c r="DM235" s="641">
        <f t="shared" si="147"/>
        <v>999999999</v>
      </c>
      <c r="DN235" s="641">
        <f t="shared" si="147"/>
        <v>999999999</v>
      </c>
      <c r="DO235" s="641">
        <f t="shared" si="147"/>
        <v>999999999</v>
      </c>
      <c r="DP235" s="641">
        <f t="shared" si="147"/>
        <v>999999999</v>
      </c>
      <c r="DQ235" s="641">
        <f t="shared" si="147"/>
        <v>999999999</v>
      </c>
      <c r="DR235" s="641">
        <f t="shared" si="147"/>
        <v>999999999</v>
      </c>
      <c r="DS235" s="641">
        <f t="shared" si="148"/>
        <v>999999999</v>
      </c>
      <c r="DT235" s="641">
        <f t="shared" si="148"/>
        <v>999999999</v>
      </c>
      <c r="DU235" s="641">
        <f t="shared" si="148"/>
        <v>999999999</v>
      </c>
      <c r="DV235" s="641">
        <f t="shared" si="148"/>
        <v>999999999</v>
      </c>
      <c r="DW235" s="641">
        <f t="shared" si="148"/>
        <v>999999999</v>
      </c>
      <c r="DX235" s="641">
        <f t="shared" si="148"/>
        <v>999999999</v>
      </c>
      <c r="DY235" s="641">
        <f t="shared" si="148"/>
        <v>999999999</v>
      </c>
      <c r="DZ235" s="641">
        <f t="shared" si="148"/>
        <v>999999999</v>
      </c>
      <c r="EA235" s="641">
        <f t="shared" si="148"/>
        <v>999999999</v>
      </c>
      <c r="EB235" s="641">
        <f t="shared" si="148"/>
        <v>999999999</v>
      </c>
      <c r="EC235" s="641">
        <f t="shared" si="148"/>
        <v>999999999</v>
      </c>
    </row>
    <row r="236" spans="28:133" ht="15.5">
      <c r="AB236" s="5">
        <f t="shared" si="118"/>
        <v>2</v>
      </c>
      <c r="AC236" s="128">
        <v>93</v>
      </c>
      <c r="AD236" s="129">
        <f t="shared" si="107"/>
        <v>8066.506604000002</v>
      </c>
      <c r="AF236" s="128">
        <v>93</v>
      </c>
      <c r="AG236" s="641">
        <f t="shared" si="139"/>
        <v>489661.50660399999</v>
      </c>
      <c r="AH236" s="641">
        <f t="shared" si="139"/>
        <v>426709.50660399999</v>
      </c>
      <c r="AI236" s="641">
        <f t="shared" si="139"/>
        <v>363757.50660399999</v>
      </c>
      <c r="AJ236" s="641">
        <f t="shared" si="139"/>
        <v>300805.50660399999</v>
      </c>
      <c r="AK236" s="641">
        <f t="shared" si="139"/>
        <v>237853.50660399999</v>
      </c>
      <c r="AL236" s="641">
        <f t="shared" si="139"/>
        <v>174901.50660399999</v>
      </c>
      <c r="AM236" s="641">
        <f t="shared" si="139"/>
        <v>112986.50660399999</v>
      </c>
      <c r="AN236" s="641">
        <f t="shared" si="139"/>
        <v>60526.506604000002</v>
      </c>
      <c r="AO236" s="641">
        <f t="shared" si="139"/>
        <v>8066.506604000002</v>
      </c>
      <c r="AP236" s="641">
        <f t="shared" si="139"/>
        <v>999999999</v>
      </c>
      <c r="AQ236" s="641">
        <f t="shared" si="140"/>
        <v>999999999</v>
      </c>
      <c r="AR236" s="641">
        <f t="shared" si="140"/>
        <v>999999999</v>
      </c>
      <c r="AS236" s="641">
        <f t="shared" si="140"/>
        <v>999999999</v>
      </c>
      <c r="AT236" s="641">
        <f t="shared" si="140"/>
        <v>999999999</v>
      </c>
      <c r="AU236" s="641">
        <f t="shared" si="140"/>
        <v>999999999</v>
      </c>
      <c r="AV236" s="641">
        <f t="shared" si="140"/>
        <v>999999999</v>
      </c>
      <c r="AW236" s="641">
        <f t="shared" si="140"/>
        <v>999999999</v>
      </c>
      <c r="AX236" s="641">
        <f t="shared" si="140"/>
        <v>999999999</v>
      </c>
      <c r="AY236" s="641">
        <f t="shared" si="140"/>
        <v>999999999</v>
      </c>
      <c r="AZ236" s="641">
        <f t="shared" si="140"/>
        <v>999999999</v>
      </c>
      <c r="BA236" s="641">
        <f t="shared" si="141"/>
        <v>999999999</v>
      </c>
      <c r="BB236" s="641">
        <f t="shared" si="141"/>
        <v>999999999</v>
      </c>
      <c r="BC236" s="641">
        <f t="shared" si="141"/>
        <v>999999999</v>
      </c>
      <c r="BD236" s="641">
        <f t="shared" si="141"/>
        <v>999999999</v>
      </c>
      <c r="BE236" s="641">
        <f t="shared" si="141"/>
        <v>999999999</v>
      </c>
      <c r="BF236" s="641">
        <f t="shared" si="141"/>
        <v>999999999</v>
      </c>
      <c r="BG236" s="641">
        <f t="shared" si="141"/>
        <v>999999999</v>
      </c>
      <c r="BH236" s="641">
        <f t="shared" si="141"/>
        <v>999999999</v>
      </c>
      <c r="BI236" s="641">
        <f t="shared" si="141"/>
        <v>999999999</v>
      </c>
      <c r="BJ236" s="641">
        <f t="shared" si="141"/>
        <v>999999999</v>
      </c>
      <c r="BK236" s="641">
        <f t="shared" si="142"/>
        <v>999999999</v>
      </c>
      <c r="BL236" s="641">
        <f t="shared" si="142"/>
        <v>999999999</v>
      </c>
      <c r="BM236" s="641">
        <f t="shared" si="142"/>
        <v>999999999</v>
      </c>
      <c r="BN236" s="641">
        <f t="shared" si="142"/>
        <v>999999999</v>
      </c>
      <c r="BO236" s="641">
        <f t="shared" si="142"/>
        <v>999999999</v>
      </c>
      <c r="BP236" s="641">
        <f t="shared" si="142"/>
        <v>999999999</v>
      </c>
      <c r="BQ236" s="641">
        <f t="shared" si="142"/>
        <v>999999999</v>
      </c>
      <c r="BR236" s="641">
        <f t="shared" si="142"/>
        <v>999999999</v>
      </c>
      <c r="BS236" s="641">
        <f t="shared" si="142"/>
        <v>999999999</v>
      </c>
      <c r="BT236" s="641">
        <f t="shared" si="142"/>
        <v>999999999</v>
      </c>
      <c r="BU236" s="641">
        <f t="shared" si="143"/>
        <v>999999999</v>
      </c>
      <c r="BV236" s="641">
        <f t="shared" si="143"/>
        <v>999999999</v>
      </c>
      <c r="BW236" s="641">
        <f t="shared" si="143"/>
        <v>999999999</v>
      </c>
      <c r="BX236" s="641">
        <f t="shared" si="143"/>
        <v>999999999</v>
      </c>
      <c r="BY236" s="641">
        <f t="shared" si="143"/>
        <v>999999999</v>
      </c>
      <c r="BZ236" s="641">
        <f t="shared" si="143"/>
        <v>999999999</v>
      </c>
      <c r="CA236" s="641">
        <f t="shared" si="143"/>
        <v>999999999</v>
      </c>
      <c r="CB236" s="641">
        <f t="shared" si="143"/>
        <v>999999999</v>
      </c>
      <c r="CC236" s="641">
        <f t="shared" si="143"/>
        <v>999999999</v>
      </c>
      <c r="CD236" s="641">
        <f t="shared" si="143"/>
        <v>999999999</v>
      </c>
      <c r="CE236" s="641">
        <f t="shared" si="144"/>
        <v>999999999</v>
      </c>
      <c r="CF236" s="641">
        <f t="shared" si="144"/>
        <v>999999999</v>
      </c>
      <c r="CG236" s="641">
        <f t="shared" si="144"/>
        <v>999999999</v>
      </c>
      <c r="CH236" s="641">
        <f t="shared" si="144"/>
        <v>999999999</v>
      </c>
      <c r="CI236" s="641">
        <f t="shared" si="144"/>
        <v>999999999</v>
      </c>
      <c r="CJ236" s="641">
        <f t="shared" si="144"/>
        <v>999999999</v>
      </c>
      <c r="CK236" s="641">
        <f t="shared" si="144"/>
        <v>999999999</v>
      </c>
      <c r="CL236" s="641">
        <f t="shared" si="144"/>
        <v>999999999</v>
      </c>
      <c r="CM236" s="641">
        <f t="shared" si="144"/>
        <v>999999999</v>
      </c>
      <c r="CN236" s="641">
        <f t="shared" si="144"/>
        <v>999999999</v>
      </c>
      <c r="CO236" s="641">
        <f t="shared" si="145"/>
        <v>999999999</v>
      </c>
      <c r="CP236" s="641">
        <f t="shared" si="145"/>
        <v>999999999</v>
      </c>
      <c r="CQ236" s="641">
        <f t="shared" si="145"/>
        <v>999999999</v>
      </c>
      <c r="CR236" s="641">
        <f t="shared" si="145"/>
        <v>999999999</v>
      </c>
      <c r="CS236" s="641">
        <f t="shared" si="145"/>
        <v>999999999</v>
      </c>
      <c r="CT236" s="641">
        <f t="shared" si="145"/>
        <v>999999999</v>
      </c>
      <c r="CU236" s="641">
        <f t="shared" si="145"/>
        <v>999999999</v>
      </c>
      <c r="CV236" s="641">
        <f t="shared" si="145"/>
        <v>999999999</v>
      </c>
      <c r="CW236" s="641">
        <f t="shared" si="145"/>
        <v>999999999</v>
      </c>
      <c r="CX236" s="641">
        <f t="shared" si="145"/>
        <v>999999999</v>
      </c>
      <c r="CY236" s="641">
        <f t="shared" si="146"/>
        <v>999999999</v>
      </c>
      <c r="CZ236" s="641">
        <f t="shared" si="146"/>
        <v>999999999</v>
      </c>
      <c r="DA236" s="641">
        <f t="shared" si="146"/>
        <v>999999999</v>
      </c>
      <c r="DB236" s="641">
        <f t="shared" si="146"/>
        <v>999999999</v>
      </c>
      <c r="DC236" s="641">
        <f t="shared" si="146"/>
        <v>999999999</v>
      </c>
      <c r="DD236" s="641">
        <f t="shared" si="146"/>
        <v>999999999</v>
      </c>
      <c r="DE236" s="641">
        <f t="shared" si="146"/>
        <v>999999999</v>
      </c>
      <c r="DF236" s="641">
        <f t="shared" si="146"/>
        <v>999999999</v>
      </c>
      <c r="DG236" s="641">
        <f t="shared" si="146"/>
        <v>999999999</v>
      </c>
      <c r="DH236" s="641">
        <f t="shared" si="146"/>
        <v>999999999</v>
      </c>
      <c r="DI236" s="641">
        <f t="shared" si="147"/>
        <v>999999999</v>
      </c>
      <c r="DJ236" s="641">
        <f t="shared" si="147"/>
        <v>999999999</v>
      </c>
      <c r="DK236" s="641">
        <f t="shared" si="147"/>
        <v>999999999</v>
      </c>
      <c r="DL236" s="641">
        <f t="shared" si="147"/>
        <v>999999999</v>
      </c>
      <c r="DM236" s="641">
        <f t="shared" si="147"/>
        <v>999999999</v>
      </c>
      <c r="DN236" s="641">
        <f t="shared" si="147"/>
        <v>999999999</v>
      </c>
      <c r="DO236" s="641">
        <f t="shared" si="147"/>
        <v>999999999</v>
      </c>
      <c r="DP236" s="641">
        <f t="shared" si="147"/>
        <v>999999999</v>
      </c>
      <c r="DQ236" s="641">
        <f t="shared" si="147"/>
        <v>999999999</v>
      </c>
      <c r="DR236" s="641">
        <f t="shared" si="147"/>
        <v>999999999</v>
      </c>
      <c r="DS236" s="641">
        <f t="shared" si="148"/>
        <v>999999999</v>
      </c>
      <c r="DT236" s="641">
        <f t="shared" si="148"/>
        <v>999999999</v>
      </c>
      <c r="DU236" s="641">
        <f t="shared" si="148"/>
        <v>999999999</v>
      </c>
      <c r="DV236" s="641">
        <f t="shared" si="148"/>
        <v>999999999</v>
      </c>
      <c r="DW236" s="641">
        <f t="shared" si="148"/>
        <v>999999999</v>
      </c>
      <c r="DX236" s="641">
        <f t="shared" si="148"/>
        <v>999999999</v>
      </c>
      <c r="DY236" s="641">
        <f t="shared" si="148"/>
        <v>999999999</v>
      </c>
      <c r="DZ236" s="641">
        <f t="shared" si="148"/>
        <v>999999999</v>
      </c>
      <c r="EA236" s="641">
        <f t="shared" si="148"/>
        <v>999999999</v>
      </c>
      <c r="EB236" s="641">
        <f t="shared" si="148"/>
        <v>999999999</v>
      </c>
      <c r="EC236" s="641">
        <f t="shared" si="148"/>
        <v>999999999</v>
      </c>
    </row>
    <row r="237" spans="28:133" ht="15.5">
      <c r="AB237" s="5">
        <f t="shared" si="118"/>
        <v>2</v>
      </c>
      <c r="AC237" s="128">
        <v>94</v>
      </c>
      <c r="AD237" s="129">
        <f t="shared" si="107"/>
        <v>8066.506604000002</v>
      </c>
      <c r="AF237" s="128">
        <v>94</v>
      </c>
      <c r="AG237" s="641">
        <f t="shared" si="139"/>
        <v>489661.50660399999</v>
      </c>
      <c r="AH237" s="641">
        <f t="shared" si="139"/>
        <v>426709.50660399999</v>
      </c>
      <c r="AI237" s="641">
        <f t="shared" si="139"/>
        <v>363757.50660399999</v>
      </c>
      <c r="AJ237" s="641">
        <f t="shared" si="139"/>
        <v>300805.50660399999</v>
      </c>
      <c r="AK237" s="641">
        <f t="shared" si="139"/>
        <v>237853.50660399999</v>
      </c>
      <c r="AL237" s="641">
        <f t="shared" si="139"/>
        <v>174901.50660399999</v>
      </c>
      <c r="AM237" s="641">
        <f t="shared" si="139"/>
        <v>112986.50660399999</v>
      </c>
      <c r="AN237" s="641">
        <f t="shared" si="139"/>
        <v>60526.506604000002</v>
      </c>
      <c r="AO237" s="641">
        <f t="shared" si="139"/>
        <v>8066.506604000002</v>
      </c>
      <c r="AP237" s="641">
        <f t="shared" si="139"/>
        <v>999999999</v>
      </c>
      <c r="AQ237" s="641">
        <f t="shared" si="140"/>
        <v>999999999</v>
      </c>
      <c r="AR237" s="641">
        <f t="shared" si="140"/>
        <v>999999999</v>
      </c>
      <c r="AS237" s="641">
        <f t="shared" si="140"/>
        <v>999999999</v>
      </c>
      <c r="AT237" s="641">
        <f t="shared" si="140"/>
        <v>999999999</v>
      </c>
      <c r="AU237" s="641">
        <f t="shared" si="140"/>
        <v>999999999</v>
      </c>
      <c r="AV237" s="641">
        <f t="shared" si="140"/>
        <v>999999999</v>
      </c>
      <c r="AW237" s="641">
        <f t="shared" si="140"/>
        <v>999999999</v>
      </c>
      <c r="AX237" s="641">
        <f t="shared" si="140"/>
        <v>999999999</v>
      </c>
      <c r="AY237" s="641">
        <f t="shared" si="140"/>
        <v>999999999</v>
      </c>
      <c r="AZ237" s="641">
        <f t="shared" si="140"/>
        <v>999999999</v>
      </c>
      <c r="BA237" s="641">
        <f t="shared" si="141"/>
        <v>999999999</v>
      </c>
      <c r="BB237" s="641">
        <f t="shared" si="141"/>
        <v>999999999</v>
      </c>
      <c r="BC237" s="641">
        <f t="shared" si="141"/>
        <v>999999999</v>
      </c>
      <c r="BD237" s="641">
        <f t="shared" si="141"/>
        <v>999999999</v>
      </c>
      <c r="BE237" s="641">
        <f t="shared" si="141"/>
        <v>999999999</v>
      </c>
      <c r="BF237" s="641">
        <f t="shared" si="141"/>
        <v>999999999</v>
      </c>
      <c r="BG237" s="641">
        <f t="shared" si="141"/>
        <v>999999999</v>
      </c>
      <c r="BH237" s="641">
        <f t="shared" si="141"/>
        <v>999999999</v>
      </c>
      <c r="BI237" s="641">
        <f t="shared" si="141"/>
        <v>999999999</v>
      </c>
      <c r="BJ237" s="641">
        <f t="shared" si="141"/>
        <v>999999999</v>
      </c>
      <c r="BK237" s="641">
        <f t="shared" si="142"/>
        <v>999999999</v>
      </c>
      <c r="BL237" s="641">
        <f t="shared" si="142"/>
        <v>999999999</v>
      </c>
      <c r="BM237" s="641">
        <f t="shared" si="142"/>
        <v>999999999</v>
      </c>
      <c r="BN237" s="641">
        <f t="shared" si="142"/>
        <v>999999999</v>
      </c>
      <c r="BO237" s="641">
        <f t="shared" si="142"/>
        <v>999999999</v>
      </c>
      <c r="BP237" s="641">
        <f t="shared" si="142"/>
        <v>999999999</v>
      </c>
      <c r="BQ237" s="641">
        <f t="shared" si="142"/>
        <v>999999999</v>
      </c>
      <c r="BR237" s="641">
        <f t="shared" si="142"/>
        <v>999999999</v>
      </c>
      <c r="BS237" s="641">
        <f t="shared" si="142"/>
        <v>999999999</v>
      </c>
      <c r="BT237" s="641">
        <f t="shared" si="142"/>
        <v>999999999</v>
      </c>
      <c r="BU237" s="641">
        <f t="shared" si="143"/>
        <v>999999999</v>
      </c>
      <c r="BV237" s="641">
        <f t="shared" si="143"/>
        <v>999999999</v>
      </c>
      <c r="BW237" s="641">
        <f t="shared" si="143"/>
        <v>999999999</v>
      </c>
      <c r="BX237" s="641">
        <f t="shared" si="143"/>
        <v>999999999</v>
      </c>
      <c r="BY237" s="641">
        <f t="shared" si="143"/>
        <v>999999999</v>
      </c>
      <c r="BZ237" s="641">
        <f t="shared" si="143"/>
        <v>999999999</v>
      </c>
      <c r="CA237" s="641">
        <f t="shared" si="143"/>
        <v>999999999</v>
      </c>
      <c r="CB237" s="641">
        <f t="shared" si="143"/>
        <v>999999999</v>
      </c>
      <c r="CC237" s="641">
        <f t="shared" si="143"/>
        <v>999999999</v>
      </c>
      <c r="CD237" s="641">
        <f t="shared" si="143"/>
        <v>999999999</v>
      </c>
      <c r="CE237" s="641">
        <f t="shared" si="144"/>
        <v>999999999</v>
      </c>
      <c r="CF237" s="641">
        <f t="shared" si="144"/>
        <v>999999999</v>
      </c>
      <c r="CG237" s="641">
        <f t="shared" si="144"/>
        <v>999999999</v>
      </c>
      <c r="CH237" s="641">
        <f t="shared" si="144"/>
        <v>999999999</v>
      </c>
      <c r="CI237" s="641">
        <f t="shared" si="144"/>
        <v>999999999</v>
      </c>
      <c r="CJ237" s="641">
        <f t="shared" si="144"/>
        <v>999999999</v>
      </c>
      <c r="CK237" s="641">
        <f t="shared" si="144"/>
        <v>999999999</v>
      </c>
      <c r="CL237" s="641">
        <f t="shared" si="144"/>
        <v>999999999</v>
      </c>
      <c r="CM237" s="641">
        <f t="shared" si="144"/>
        <v>999999999</v>
      </c>
      <c r="CN237" s="641">
        <f t="shared" si="144"/>
        <v>999999999</v>
      </c>
      <c r="CO237" s="641">
        <f t="shared" si="145"/>
        <v>999999999</v>
      </c>
      <c r="CP237" s="641">
        <f t="shared" si="145"/>
        <v>999999999</v>
      </c>
      <c r="CQ237" s="641">
        <f t="shared" si="145"/>
        <v>999999999</v>
      </c>
      <c r="CR237" s="641">
        <f t="shared" si="145"/>
        <v>999999999</v>
      </c>
      <c r="CS237" s="641">
        <f t="shared" si="145"/>
        <v>999999999</v>
      </c>
      <c r="CT237" s="641">
        <f t="shared" si="145"/>
        <v>999999999</v>
      </c>
      <c r="CU237" s="641">
        <f t="shared" si="145"/>
        <v>999999999</v>
      </c>
      <c r="CV237" s="641">
        <f t="shared" si="145"/>
        <v>999999999</v>
      </c>
      <c r="CW237" s="641">
        <f t="shared" si="145"/>
        <v>999999999</v>
      </c>
      <c r="CX237" s="641">
        <f t="shared" si="145"/>
        <v>999999999</v>
      </c>
      <c r="CY237" s="641">
        <f t="shared" si="146"/>
        <v>999999999</v>
      </c>
      <c r="CZ237" s="641">
        <f t="shared" si="146"/>
        <v>999999999</v>
      </c>
      <c r="DA237" s="641">
        <f t="shared" si="146"/>
        <v>999999999</v>
      </c>
      <c r="DB237" s="641">
        <f t="shared" si="146"/>
        <v>999999999</v>
      </c>
      <c r="DC237" s="641">
        <f t="shared" si="146"/>
        <v>999999999</v>
      </c>
      <c r="DD237" s="641">
        <f t="shared" si="146"/>
        <v>999999999</v>
      </c>
      <c r="DE237" s="641">
        <f t="shared" si="146"/>
        <v>999999999</v>
      </c>
      <c r="DF237" s="641">
        <f t="shared" si="146"/>
        <v>999999999</v>
      </c>
      <c r="DG237" s="641">
        <f t="shared" si="146"/>
        <v>999999999</v>
      </c>
      <c r="DH237" s="641">
        <f t="shared" si="146"/>
        <v>999999999</v>
      </c>
      <c r="DI237" s="641">
        <f t="shared" si="147"/>
        <v>999999999</v>
      </c>
      <c r="DJ237" s="641">
        <f t="shared" si="147"/>
        <v>999999999</v>
      </c>
      <c r="DK237" s="641">
        <f t="shared" si="147"/>
        <v>999999999</v>
      </c>
      <c r="DL237" s="641">
        <f t="shared" si="147"/>
        <v>999999999</v>
      </c>
      <c r="DM237" s="641">
        <f t="shared" si="147"/>
        <v>999999999</v>
      </c>
      <c r="DN237" s="641">
        <f t="shared" si="147"/>
        <v>999999999</v>
      </c>
      <c r="DO237" s="641">
        <f t="shared" si="147"/>
        <v>999999999</v>
      </c>
      <c r="DP237" s="641">
        <f t="shared" si="147"/>
        <v>999999999</v>
      </c>
      <c r="DQ237" s="641">
        <f t="shared" si="147"/>
        <v>999999999</v>
      </c>
      <c r="DR237" s="641">
        <f t="shared" si="147"/>
        <v>999999999</v>
      </c>
      <c r="DS237" s="641">
        <f t="shared" si="148"/>
        <v>999999999</v>
      </c>
      <c r="DT237" s="641">
        <f t="shared" si="148"/>
        <v>999999999</v>
      </c>
      <c r="DU237" s="641">
        <f t="shared" si="148"/>
        <v>999999999</v>
      </c>
      <c r="DV237" s="641">
        <f t="shared" si="148"/>
        <v>999999999</v>
      </c>
      <c r="DW237" s="641">
        <f t="shared" si="148"/>
        <v>999999999</v>
      </c>
      <c r="DX237" s="641">
        <f t="shared" si="148"/>
        <v>999999999</v>
      </c>
      <c r="DY237" s="641">
        <f t="shared" si="148"/>
        <v>999999999</v>
      </c>
      <c r="DZ237" s="641">
        <f t="shared" si="148"/>
        <v>999999999</v>
      </c>
      <c r="EA237" s="641">
        <f t="shared" si="148"/>
        <v>999999999</v>
      </c>
      <c r="EB237" s="641">
        <f t="shared" si="148"/>
        <v>999999999</v>
      </c>
      <c r="EC237" s="641">
        <f t="shared" si="148"/>
        <v>999999999</v>
      </c>
    </row>
    <row r="238" spans="28:133" ht="15.5">
      <c r="AB238" s="5">
        <f t="shared" si="118"/>
        <v>2</v>
      </c>
      <c r="AC238" s="128">
        <v>95</v>
      </c>
      <c r="AD238" s="129">
        <f t="shared" si="107"/>
        <v>8066.506604000002</v>
      </c>
      <c r="AF238" s="128">
        <v>95</v>
      </c>
      <c r="AG238" s="641">
        <f t="shared" si="139"/>
        <v>489661.50660399999</v>
      </c>
      <c r="AH238" s="641">
        <f t="shared" si="139"/>
        <v>426709.50660399999</v>
      </c>
      <c r="AI238" s="641">
        <f t="shared" si="139"/>
        <v>363757.50660399999</v>
      </c>
      <c r="AJ238" s="641">
        <f t="shared" si="139"/>
        <v>300805.50660399999</v>
      </c>
      <c r="AK238" s="641">
        <f t="shared" si="139"/>
        <v>237853.50660399999</v>
      </c>
      <c r="AL238" s="641">
        <f t="shared" si="139"/>
        <v>174901.50660399999</v>
      </c>
      <c r="AM238" s="641">
        <f t="shared" si="139"/>
        <v>112986.50660399999</v>
      </c>
      <c r="AN238" s="641">
        <f t="shared" si="139"/>
        <v>60526.506604000002</v>
      </c>
      <c r="AO238" s="641">
        <f t="shared" si="139"/>
        <v>8066.506604000002</v>
      </c>
      <c r="AP238" s="641">
        <f t="shared" si="139"/>
        <v>999999999</v>
      </c>
      <c r="AQ238" s="641">
        <f t="shared" si="140"/>
        <v>999999999</v>
      </c>
      <c r="AR238" s="641">
        <f t="shared" si="140"/>
        <v>999999999</v>
      </c>
      <c r="AS238" s="641">
        <f t="shared" si="140"/>
        <v>999999999</v>
      </c>
      <c r="AT238" s="641">
        <f t="shared" si="140"/>
        <v>999999999</v>
      </c>
      <c r="AU238" s="641">
        <f t="shared" si="140"/>
        <v>999999999</v>
      </c>
      <c r="AV238" s="641">
        <f t="shared" si="140"/>
        <v>999999999</v>
      </c>
      <c r="AW238" s="641">
        <f t="shared" si="140"/>
        <v>999999999</v>
      </c>
      <c r="AX238" s="641">
        <f t="shared" si="140"/>
        <v>999999999</v>
      </c>
      <c r="AY238" s="641">
        <f t="shared" si="140"/>
        <v>999999999</v>
      </c>
      <c r="AZ238" s="641">
        <f t="shared" si="140"/>
        <v>999999999</v>
      </c>
      <c r="BA238" s="641">
        <f t="shared" si="141"/>
        <v>999999999</v>
      </c>
      <c r="BB238" s="641">
        <f t="shared" si="141"/>
        <v>999999999</v>
      </c>
      <c r="BC238" s="641">
        <f t="shared" si="141"/>
        <v>999999999</v>
      </c>
      <c r="BD238" s="641">
        <f t="shared" si="141"/>
        <v>999999999</v>
      </c>
      <c r="BE238" s="641">
        <f t="shared" si="141"/>
        <v>999999999</v>
      </c>
      <c r="BF238" s="641">
        <f t="shared" si="141"/>
        <v>999999999</v>
      </c>
      <c r="BG238" s="641">
        <f t="shared" si="141"/>
        <v>999999999</v>
      </c>
      <c r="BH238" s="641">
        <f t="shared" si="141"/>
        <v>999999999</v>
      </c>
      <c r="BI238" s="641">
        <f t="shared" si="141"/>
        <v>999999999</v>
      </c>
      <c r="BJ238" s="641">
        <f t="shared" si="141"/>
        <v>999999999</v>
      </c>
      <c r="BK238" s="641">
        <f t="shared" si="142"/>
        <v>999999999</v>
      </c>
      <c r="BL238" s="641">
        <f t="shared" si="142"/>
        <v>999999999</v>
      </c>
      <c r="BM238" s="641">
        <f t="shared" si="142"/>
        <v>999999999</v>
      </c>
      <c r="BN238" s="641">
        <f t="shared" si="142"/>
        <v>999999999</v>
      </c>
      <c r="BO238" s="641">
        <f t="shared" si="142"/>
        <v>999999999</v>
      </c>
      <c r="BP238" s="641">
        <f t="shared" si="142"/>
        <v>999999999</v>
      </c>
      <c r="BQ238" s="641">
        <f t="shared" si="142"/>
        <v>999999999</v>
      </c>
      <c r="BR238" s="641">
        <f t="shared" si="142"/>
        <v>999999999</v>
      </c>
      <c r="BS238" s="641">
        <f t="shared" si="142"/>
        <v>999999999</v>
      </c>
      <c r="BT238" s="641">
        <f t="shared" si="142"/>
        <v>999999999</v>
      </c>
      <c r="BU238" s="641">
        <f t="shared" si="143"/>
        <v>999999999</v>
      </c>
      <c r="BV238" s="641">
        <f t="shared" si="143"/>
        <v>999999999</v>
      </c>
      <c r="BW238" s="641">
        <f t="shared" si="143"/>
        <v>999999999</v>
      </c>
      <c r="BX238" s="641">
        <f t="shared" si="143"/>
        <v>999999999</v>
      </c>
      <c r="BY238" s="641">
        <f t="shared" si="143"/>
        <v>999999999</v>
      </c>
      <c r="BZ238" s="641">
        <f t="shared" si="143"/>
        <v>999999999</v>
      </c>
      <c r="CA238" s="641">
        <f t="shared" si="143"/>
        <v>999999999</v>
      </c>
      <c r="CB238" s="641">
        <f t="shared" si="143"/>
        <v>999999999</v>
      </c>
      <c r="CC238" s="641">
        <f t="shared" si="143"/>
        <v>999999999</v>
      </c>
      <c r="CD238" s="641">
        <f t="shared" si="143"/>
        <v>999999999</v>
      </c>
      <c r="CE238" s="641">
        <f t="shared" si="144"/>
        <v>999999999</v>
      </c>
      <c r="CF238" s="641">
        <f t="shared" si="144"/>
        <v>999999999</v>
      </c>
      <c r="CG238" s="641">
        <f t="shared" si="144"/>
        <v>999999999</v>
      </c>
      <c r="CH238" s="641">
        <f t="shared" si="144"/>
        <v>999999999</v>
      </c>
      <c r="CI238" s="641">
        <f t="shared" si="144"/>
        <v>999999999</v>
      </c>
      <c r="CJ238" s="641">
        <f t="shared" si="144"/>
        <v>999999999</v>
      </c>
      <c r="CK238" s="641">
        <f t="shared" si="144"/>
        <v>999999999</v>
      </c>
      <c r="CL238" s="641">
        <f t="shared" si="144"/>
        <v>999999999</v>
      </c>
      <c r="CM238" s="641">
        <f t="shared" si="144"/>
        <v>999999999</v>
      </c>
      <c r="CN238" s="641">
        <f t="shared" si="144"/>
        <v>999999999</v>
      </c>
      <c r="CO238" s="641">
        <f t="shared" si="145"/>
        <v>999999999</v>
      </c>
      <c r="CP238" s="641">
        <f t="shared" si="145"/>
        <v>999999999</v>
      </c>
      <c r="CQ238" s="641">
        <f t="shared" si="145"/>
        <v>999999999</v>
      </c>
      <c r="CR238" s="641">
        <f t="shared" si="145"/>
        <v>999999999</v>
      </c>
      <c r="CS238" s="641">
        <f t="shared" si="145"/>
        <v>999999999</v>
      </c>
      <c r="CT238" s="641">
        <f t="shared" si="145"/>
        <v>999999999</v>
      </c>
      <c r="CU238" s="641">
        <f t="shared" si="145"/>
        <v>999999999</v>
      </c>
      <c r="CV238" s="641">
        <f t="shared" si="145"/>
        <v>999999999</v>
      </c>
      <c r="CW238" s="641">
        <f t="shared" si="145"/>
        <v>999999999</v>
      </c>
      <c r="CX238" s="641">
        <f t="shared" si="145"/>
        <v>999999999</v>
      </c>
      <c r="CY238" s="641">
        <f t="shared" si="146"/>
        <v>999999999</v>
      </c>
      <c r="CZ238" s="641">
        <f t="shared" si="146"/>
        <v>999999999</v>
      </c>
      <c r="DA238" s="641">
        <f t="shared" si="146"/>
        <v>999999999</v>
      </c>
      <c r="DB238" s="641">
        <f t="shared" si="146"/>
        <v>999999999</v>
      </c>
      <c r="DC238" s="641">
        <f t="shared" si="146"/>
        <v>999999999</v>
      </c>
      <c r="DD238" s="641">
        <f t="shared" si="146"/>
        <v>999999999</v>
      </c>
      <c r="DE238" s="641">
        <f t="shared" si="146"/>
        <v>999999999</v>
      </c>
      <c r="DF238" s="641">
        <f t="shared" si="146"/>
        <v>999999999</v>
      </c>
      <c r="DG238" s="641">
        <f t="shared" si="146"/>
        <v>999999999</v>
      </c>
      <c r="DH238" s="641">
        <f t="shared" si="146"/>
        <v>999999999</v>
      </c>
      <c r="DI238" s="641">
        <f t="shared" si="147"/>
        <v>999999999</v>
      </c>
      <c r="DJ238" s="641">
        <f t="shared" si="147"/>
        <v>999999999</v>
      </c>
      <c r="DK238" s="641">
        <f t="shared" si="147"/>
        <v>999999999</v>
      </c>
      <c r="DL238" s="641">
        <f t="shared" si="147"/>
        <v>999999999</v>
      </c>
      <c r="DM238" s="641">
        <f t="shared" si="147"/>
        <v>999999999</v>
      </c>
      <c r="DN238" s="641">
        <f t="shared" si="147"/>
        <v>999999999</v>
      </c>
      <c r="DO238" s="641">
        <f t="shared" si="147"/>
        <v>999999999</v>
      </c>
      <c r="DP238" s="641">
        <f t="shared" si="147"/>
        <v>999999999</v>
      </c>
      <c r="DQ238" s="641">
        <f t="shared" si="147"/>
        <v>999999999</v>
      </c>
      <c r="DR238" s="641">
        <f t="shared" si="147"/>
        <v>999999999</v>
      </c>
      <c r="DS238" s="641">
        <f t="shared" si="148"/>
        <v>999999999</v>
      </c>
      <c r="DT238" s="641">
        <f t="shared" si="148"/>
        <v>999999999</v>
      </c>
      <c r="DU238" s="641">
        <f t="shared" si="148"/>
        <v>999999999</v>
      </c>
      <c r="DV238" s="641">
        <f t="shared" si="148"/>
        <v>999999999</v>
      </c>
      <c r="DW238" s="641">
        <f t="shared" si="148"/>
        <v>999999999</v>
      </c>
      <c r="DX238" s="641">
        <f t="shared" si="148"/>
        <v>999999999</v>
      </c>
      <c r="DY238" s="641">
        <f t="shared" si="148"/>
        <v>999999999</v>
      </c>
      <c r="DZ238" s="641">
        <f t="shared" si="148"/>
        <v>999999999</v>
      </c>
      <c r="EA238" s="641">
        <f t="shared" si="148"/>
        <v>999999999</v>
      </c>
      <c r="EB238" s="641">
        <f t="shared" si="148"/>
        <v>999999999</v>
      </c>
      <c r="EC238" s="641">
        <f t="shared" si="148"/>
        <v>999999999</v>
      </c>
    </row>
    <row r="239" spans="28:133" ht="15.5">
      <c r="AB239" s="5">
        <f t="shared" si="118"/>
        <v>2</v>
      </c>
      <c r="AC239" s="128">
        <v>96</v>
      </c>
      <c r="AD239" s="129">
        <f t="shared" si="107"/>
        <v>8066.506604000002</v>
      </c>
      <c r="AF239" s="128">
        <v>96</v>
      </c>
      <c r="AG239" s="641">
        <f t="shared" si="139"/>
        <v>489661.50660399999</v>
      </c>
      <c r="AH239" s="641">
        <f t="shared" si="139"/>
        <v>426709.50660399999</v>
      </c>
      <c r="AI239" s="641">
        <f t="shared" si="139"/>
        <v>363757.50660399999</v>
      </c>
      <c r="AJ239" s="641">
        <f t="shared" si="139"/>
        <v>300805.50660399999</v>
      </c>
      <c r="AK239" s="641">
        <f t="shared" si="139"/>
        <v>237853.50660399999</v>
      </c>
      <c r="AL239" s="641">
        <f t="shared" si="139"/>
        <v>174901.50660399999</v>
      </c>
      <c r="AM239" s="641">
        <f t="shared" si="139"/>
        <v>112986.50660399999</v>
      </c>
      <c r="AN239" s="641">
        <f t="shared" si="139"/>
        <v>60526.506604000002</v>
      </c>
      <c r="AO239" s="641">
        <f t="shared" si="139"/>
        <v>8066.506604000002</v>
      </c>
      <c r="AP239" s="641">
        <f t="shared" si="139"/>
        <v>999999999</v>
      </c>
      <c r="AQ239" s="641">
        <f t="shared" si="140"/>
        <v>999999999</v>
      </c>
      <c r="AR239" s="641">
        <f t="shared" si="140"/>
        <v>999999999</v>
      </c>
      <c r="AS239" s="641">
        <f t="shared" si="140"/>
        <v>999999999</v>
      </c>
      <c r="AT239" s="641">
        <f t="shared" si="140"/>
        <v>999999999</v>
      </c>
      <c r="AU239" s="641">
        <f t="shared" si="140"/>
        <v>999999999</v>
      </c>
      <c r="AV239" s="641">
        <f t="shared" si="140"/>
        <v>999999999</v>
      </c>
      <c r="AW239" s="641">
        <f t="shared" si="140"/>
        <v>999999999</v>
      </c>
      <c r="AX239" s="641">
        <f t="shared" si="140"/>
        <v>999999999</v>
      </c>
      <c r="AY239" s="641">
        <f t="shared" si="140"/>
        <v>999999999</v>
      </c>
      <c r="AZ239" s="641">
        <f t="shared" si="140"/>
        <v>999999999</v>
      </c>
      <c r="BA239" s="641">
        <f t="shared" si="141"/>
        <v>999999999</v>
      </c>
      <c r="BB239" s="641">
        <f t="shared" si="141"/>
        <v>999999999</v>
      </c>
      <c r="BC239" s="641">
        <f t="shared" si="141"/>
        <v>999999999</v>
      </c>
      <c r="BD239" s="641">
        <f t="shared" si="141"/>
        <v>999999999</v>
      </c>
      <c r="BE239" s="641">
        <f t="shared" si="141"/>
        <v>999999999</v>
      </c>
      <c r="BF239" s="641">
        <f t="shared" si="141"/>
        <v>999999999</v>
      </c>
      <c r="BG239" s="641">
        <f t="shared" si="141"/>
        <v>999999999</v>
      </c>
      <c r="BH239" s="641">
        <f t="shared" si="141"/>
        <v>999999999</v>
      </c>
      <c r="BI239" s="641">
        <f t="shared" si="141"/>
        <v>999999999</v>
      </c>
      <c r="BJ239" s="641">
        <f t="shared" si="141"/>
        <v>999999999</v>
      </c>
      <c r="BK239" s="641">
        <f t="shared" si="142"/>
        <v>999999999</v>
      </c>
      <c r="BL239" s="641">
        <f t="shared" si="142"/>
        <v>999999999</v>
      </c>
      <c r="BM239" s="641">
        <f t="shared" si="142"/>
        <v>999999999</v>
      </c>
      <c r="BN239" s="641">
        <f t="shared" si="142"/>
        <v>999999999</v>
      </c>
      <c r="BO239" s="641">
        <f t="shared" si="142"/>
        <v>999999999</v>
      </c>
      <c r="BP239" s="641">
        <f t="shared" si="142"/>
        <v>999999999</v>
      </c>
      <c r="BQ239" s="641">
        <f t="shared" si="142"/>
        <v>999999999</v>
      </c>
      <c r="BR239" s="641">
        <f t="shared" si="142"/>
        <v>999999999</v>
      </c>
      <c r="BS239" s="641">
        <f t="shared" si="142"/>
        <v>999999999</v>
      </c>
      <c r="BT239" s="641">
        <f t="shared" si="142"/>
        <v>999999999</v>
      </c>
      <c r="BU239" s="641">
        <f t="shared" si="143"/>
        <v>999999999</v>
      </c>
      <c r="BV239" s="641">
        <f t="shared" si="143"/>
        <v>999999999</v>
      </c>
      <c r="BW239" s="641">
        <f t="shared" si="143"/>
        <v>999999999</v>
      </c>
      <c r="BX239" s="641">
        <f t="shared" si="143"/>
        <v>999999999</v>
      </c>
      <c r="BY239" s="641">
        <f t="shared" si="143"/>
        <v>999999999</v>
      </c>
      <c r="BZ239" s="641">
        <f t="shared" si="143"/>
        <v>999999999</v>
      </c>
      <c r="CA239" s="641">
        <f t="shared" si="143"/>
        <v>999999999</v>
      </c>
      <c r="CB239" s="641">
        <f t="shared" si="143"/>
        <v>999999999</v>
      </c>
      <c r="CC239" s="641">
        <f t="shared" si="143"/>
        <v>999999999</v>
      </c>
      <c r="CD239" s="641">
        <f t="shared" si="143"/>
        <v>999999999</v>
      </c>
      <c r="CE239" s="641">
        <f t="shared" si="144"/>
        <v>999999999</v>
      </c>
      <c r="CF239" s="641">
        <f t="shared" si="144"/>
        <v>999999999</v>
      </c>
      <c r="CG239" s="641">
        <f t="shared" si="144"/>
        <v>999999999</v>
      </c>
      <c r="CH239" s="641">
        <f t="shared" si="144"/>
        <v>999999999</v>
      </c>
      <c r="CI239" s="641">
        <f t="shared" si="144"/>
        <v>999999999</v>
      </c>
      <c r="CJ239" s="641">
        <f t="shared" si="144"/>
        <v>999999999</v>
      </c>
      <c r="CK239" s="641">
        <f t="shared" si="144"/>
        <v>999999999</v>
      </c>
      <c r="CL239" s="641">
        <f t="shared" si="144"/>
        <v>999999999</v>
      </c>
      <c r="CM239" s="641">
        <f t="shared" si="144"/>
        <v>999999999</v>
      </c>
      <c r="CN239" s="641">
        <f t="shared" si="144"/>
        <v>999999999</v>
      </c>
      <c r="CO239" s="641">
        <f t="shared" si="145"/>
        <v>999999999</v>
      </c>
      <c r="CP239" s="641">
        <f t="shared" si="145"/>
        <v>999999999</v>
      </c>
      <c r="CQ239" s="641">
        <f t="shared" si="145"/>
        <v>999999999</v>
      </c>
      <c r="CR239" s="641">
        <f t="shared" si="145"/>
        <v>999999999</v>
      </c>
      <c r="CS239" s="641">
        <f t="shared" si="145"/>
        <v>999999999</v>
      </c>
      <c r="CT239" s="641">
        <f t="shared" si="145"/>
        <v>999999999</v>
      </c>
      <c r="CU239" s="641">
        <f t="shared" si="145"/>
        <v>999999999</v>
      </c>
      <c r="CV239" s="641">
        <f t="shared" si="145"/>
        <v>999999999</v>
      </c>
      <c r="CW239" s="641">
        <f t="shared" si="145"/>
        <v>999999999</v>
      </c>
      <c r="CX239" s="641">
        <f t="shared" si="145"/>
        <v>999999999</v>
      </c>
      <c r="CY239" s="641">
        <f t="shared" si="146"/>
        <v>999999999</v>
      </c>
      <c r="CZ239" s="641">
        <f t="shared" si="146"/>
        <v>999999999</v>
      </c>
      <c r="DA239" s="641">
        <f t="shared" si="146"/>
        <v>999999999</v>
      </c>
      <c r="DB239" s="641">
        <f t="shared" si="146"/>
        <v>999999999</v>
      </c>
      <c r="DC239" s="641">
        <f t="shared" si="146"/>
        <v>999999999</v>
      </c>
      <c r="DD239" s="641">
        <f t="shared" si="146"/>
        <v>999999999</v>
      </c>
      <c r="DE239" s="641">
        <f t="shared" si="146"/>
        <v>999999999</v>
      </c>
      <c r="DF239" s="641">
        <f t="shared" si="146"/>
        <v>999999999</v>
      </c>
      <c r="DG239" s="641">
        <f t="shared" si="146"/>
        <v>999999999</v>
      </c>
      <c r="DH239" s="641">
        <f t="shared" si="146"/>
        <v>999999999</v>
      </c>
      <c r="DI239" s="641">
        <f t="shared" si="147"/>
        <v>999999999</v>
      </c>
      <c r="DJ239" s="641">
        <f t="shared" si="147"/>
        <v>999999999</v>
      </c>
      <c r="DK239" s="641">
        <f t="shared" si="147"/>
        <v>999999999</v>
      </c>
      <c r="DL239" s="641">
        <f t="shared" si="147"/>
        <v>999999999</v>
      </c>
      <c r="DM239" s="641">
        <f t="shared" si="147"/>
        <v>999999999</v>
      </c>
      <c r="DN239" s="641">
        <f t="shared" si="147"/>
        <v>999999999</v>
      </c>
      <c r="DO239" s="641">
        <f t="shared" si="147"/>
        <v>999999999</v>
      </c>
      <c r="DP239" s="641">
        <f t="shared" si="147"/>
        <v>999999999</v>
      </c>
      <c r="DQ239" s="641">
        <f t="shared" si="147"/>
        <v>999999999</v>
      </c>
      <c r="DR239" s="641">
        <f t="shared" si="147"/>
        <v>999999999</v>
      </c>
      <c r="DS239" s="641">
        <f t="shared" si="148"/>
        <v>999999999</v>
      </c>
      <c r="DT239" s="641">
        <f t="shared" si="148"/>
        <v>999999999</v>
      </c>
      <c r="DU239" s="641">
        <f t="shared" si="148"/>
        <v>999999999</v>
      </c>
      <c r="DV239" s="641">
        <f t="shared" si="148"/>
        <v>999999999</v>
      </c>
      <c r="DW239" s="641">
        <f t="shared" si="148"/>
        <v>999999999</v>
      </c>
      <c r="DX239" s="641">
        <f t="shared" si="148"/>
        <v>999999999</v>
      </c>
      <c r="DY239" s="641">
        <f t="shared" si="148"/>
        <v>999999999</v>
      </c>
      <c r="DZ239" s="641">
        <f t="shared" si="148"/>
        <v>999999999</v>
      </c>
      <c r="EA239" s="641">
        <f t="shared" si="148"/>
        <v>999999999</v>
      </c>
      <c r="EB239" s="641">
        <f t="shared" si="148"/>
        <v>999999999</v>
      </c>
      <c r="EC239" s="641">
        <f t="shared" si="148"/>
        <v>999999999</v>
      </c>
    </row>
    <row r="240" spans="28:133" ht="15.5">
      <c r="AB240" s="5">
        <f t="shared" si="118"/>
        <v>2</v>
      </c>
      <c r="AC240" s="128">
        <v>97</v>
      </c>
      <c r="AD240" s="129">
        <f t="shared" si="107"/>
        <v>8066.506604000002</v>
      </c>
      <c r="AF240" s="128">
        <v>97</v>
      </c>
      <c r="AG240" s="641">
        <f t="shared" si="139"/>
        <v>489661.50660399999</v>
      </c>
      <c r="AH240" s="641">
        <f t="shared" si="139"/>
        <v>426709.50660399999</v>
      </c>
      <c r="AI240" s="641">
        <f t="shared" si="139"/>
        <v>363757.50660399999</v>
      </c>
      <c r="AJ240" s="641">
        <f t="shared" si="139"/>
        <v>300805.50660399999</v>
      </c>
      <c r="AK240" s="641">
        <f t="shared" si="139"/>
        <v>237853.50660399999</v>
      </c>
      <c r="AL240" s="641">
        <f t="shared" si="139"/>
        <v>174901.50660399999</v>
      </c>
      <c r="AM240" s="641">
        <f t="shared" si="139"/>
        <v>112986.50660399999</v>
      </c>
      <c r="AN240" s="641">
        <f t="shared" si="139"/>
        <v>60526.506604000002</v>
      </c>
      <c r="AO240" s="641">
        <f t="shared" si="139"/>
        <v>8066.506604000002</v>
      </c>
      <c r="AP240" s="641">
        <f t="shared" si="139"/>
        <v>999999999</v>
      </c>
      <c r="AQ240" s="641">
        <f t="shared" si="140"/>
        <v>999999999</v>
      </c>
      <c r="AR240" s="641">
        <f t="shared" si="140"/>
        <v>999999999</v>
      </c>
      <c r="AS240" s="641">
        <f t="shared" si="140"/>
        <v>999999999</v>
      </c>
      <c r="AT240" s="641">
        <f t="shared" si="140"/>
        <v>999999999</v>
      </c>
      <c r="AU240" s="641">
        <f t="shared" si="140"/>
        <v>999999999</v>
      </c>
      <c r="AV240" s="641">
        <f t="shared" si="140"/>
        <v>999999999</v>
      </c>
      <c r="AW240" s="641">
        <f t="shared" si="140"/>
        <v>999999999</v>
      </c>
      <c r="AX240" s="641">
        <f t="shared" si="140"/>
        <v>999999999</v>
      </c>
      <c r="AY240" s="641">
        <f t="shared" si="140"/>
        <v>999999999</v>
      </c>
      <c r="AZ240" s="641">
        <f t="shared" si="140"/>
        <v>999999999</v>
      </c>
      <c r="BA240" s="641">
        <f t="shared" si="141"/>
        <v>999999999</v>
      </c>
      <c r="BB240" s="641">
        <f t="shared" si="141"/>
        <v>999999999</v>
      </c>
      <c r="BC240" s="641">
        <f t="shared" si="141"/>
        <v>999999999</v>
      </c>
      <c r="BD240" s="641">
        <f t="shared" si="141"/>
        <v>999999999</v>
      </c>
      <c r="BE240" s="641">
        <f t="shared" si="141"/>
        <v>999999999</v>
      </c>
      <c r="BF240" s="641">
        <f t="shared" si="141"/>
        <v>999999999</v>
      </c>
      <c r="BG240" s="641">
        <f t="shared" si="141"/>
        <v>999999999</v>
      </c>
      <c r="BH240" s="641">
        <f t="shared" si="141"/>
        <v>999999999</v>
      </c>
      <c r="BI240" s="641">
        <f t="shared" si="141"/>
        <v>999999999</v>
      </c>
      <c r="BJ240" s="641">
        <f t="shared" si="141"/>
        <v>999999999</v>
      </c>
      <c r="BK240" s="641">
        <f t="shared" si="142"/>
        <v>999999999</v>
      </c>
      <c r="BL240" s="641">
        <f t="shared" si="142"/>
        <v>999999999</v>
      </c>
      <c r="BM240" s="641">
        <f t="shared" si="142"/>
        <v>999999999</v>
      </c>
      <c r="BN240" s="641">
        <f t="shared" si="142"/>
        <v>999999999</v>
      </c>
      <c r="BO240" s="641">
        <f t="shared" si="142"/>
        <v>999999999</v>
      </c>
      <c r="BP240" s="641">
        <f t="shared" si="142"/>
        <v>999999999</v>
      </c>
      <c r="BQ240" s="641">
        <f t="shared" si="142"/>
        <v>999999999</v>
      </c>
      <c r="BR240" s="641">
        <f t="shared" si="142"/>
        <v>999999999</v>
      </c>
      <c r="BS240" s="641">
        <f t="shared" si="142"/>
        <v>999999999</v>
      </c>
      <c r="BT240" s="641">
        <f t="shared" si="142"/>
        <v>999999999</v>
      </c>
      <c r="BU240" s="641">
        <f t="shared" si="143"/>
        <v>999999999</v>
      </c>
      <c r="BV240" s="641">
        <f t="shared" si="143"/>
        <v>999999999</v>
      </c>
      <c r="BW240" s="641">
        <f t="shared" si="143"/>
        <v>999999999</v>
      </c>
      <c r="BX240" s="641">
        <f t="shared" si="143"/>
        <v>999999999</v>
      </c>
      <c r="BY240" s="641">
        <f t="shared" si="143"/>
        <v>999999999</v>
      </c>
      <c r="BZ240" s="641">
        <f t="shared" si="143"/>
        <v>999999999</v>
      </c>
      <c r="CA240" s="641">
        <f t="shared" si="143"/>
        <v>999999999</v>
      </c>
      <c r="CB240" s="641">
        <f t="shared" si="143"/>
        <v>999999999</v>
      </c>
      <c r="CC240" s="641">
        <f t="shared" si="143"/>
        <v>999999999</v>
      </c>
      <c r="CD240" s="641">
        <f t="shared" si="143"/>
        <v>999999999</v>
      </c>
      <c r="CE240" s="641">
        <f t="shared" si="144"/>
        <v>999999999</v>
      </c>
      <c r="CF240" s="641">
        <f t="shared" si="144"/>
        <v>999999999</v>
      </c>
      <c r="CG240" s="641">
        <f t="shared" si="144"/>
        <v>999999999</v>
      </c>
      <c r="CH240" s="641">
        <f t="shared" si="144"/>
        <v>999999999</v>
      </c>
      <c r="CI240" s="641">
        <f t="shared" si="144"/>
        <v>999999999</v>
      </c>
      <c r="CJ240" s="641">
        <f t="shared" si="144"/>
        <v>999999999</v>
      </c>
      <c r="CK240" s="641">
        <f t="shared" si="144"/>
        <v>999999999</v>
      </c>
      <c r="CL240" s="641">
        <f t="shared" si="144"/>
        <v>999999999</v>
      </c>
      <c r="CM240" s="641">
        <f t="shared" si="144"/>
        <v>999999999</v>
      </c>
      <c r="CN240" s="641">
        <f t="shared" si="144"/>
        <v>999999999</v>
      </c>
      <c r="CO240" s="641">
        <f t="shared" si="145"/>
        <v>999999999</v>
      </c>
      <c r="CP240" s="641">
        <f t="shared" si="145"/>
        <v>999999999</v>
      </c>
      <c r="CQ240" s="641">
        <f t="shared" si="145"/>
        <v>999999999</v>
      </c>
      <c r="CR240" s="641">
        <f t="shared" si="145"/>
        <v>999999999</v>
      </c>
      <c r="CS240" s="641">
        <f t="shared" si="145"/>
        <v>999999999</v>
      </c>
      <c r="CT240" s="641">
        <f t="shared" si="145"/>
        <v>999999999</v>
      </c>
      <c r="CU240" s="641">
        <f t="shared" si="145"/>
        <v>999999999</v>
      </c>
      <c r="CV240" s="641">
        <f t="shared" si="145"/>
        <v>999999999</v>
      </c>
      <c r="CW240" s="641">
        <f t="shared" si="145"/>
        <v>999999999</v>
      </c>
      <c r="CX240" s="641">
        <f t="shared" si="145"/>
        <v>999999999</v>
      </c>
      <c r="CY240" s="641">
        <f t="shared" si="146"/>
        <v>999999999</v>
      </c>
      <c r="CZ240" s="641">
        <f t="shared" si="146"/>
        <v>999999999</v>
      </c>
      <c r="DA240" s="641">
        <f t="shared" si="146"/>
        <v>999999999</v>
      </c>
      <c r="DB240" s="641">
        <f t="shared" si="146"/>
        <v>999999999</v>
      </c>
      <c r="DC240" s="641">
        <f t="shared" si="146"/>
        <v>999999999</v>
      </c>
      <c r="DD240" s="641">
        <f t="shared" si="146"/>
        <v>999999999</v>
      </c>
      <c r="DE240" s="641">
        <f t="shared" si="146"/>
        <v>999999999</v>
      </c>
      <c r="DF240" s="641">
        <f t="shared" si="146"/>
        <v>999999999</v>
      </c>
      <c r="DG240" s="641">
        <f t="shared" si="146"/>
        <v>999999999</v>
      </c>
      <c r="DH240" s="641">
        <f t="shared" si="146"/>
        <v>999999999</v>
      </c>
      <c r="DI240" s="641">
        <f t="shared" si="147"/>
        <v>999999999</v>
      </c>
      <c r="DJ240" s="641">
        <f t="shared" si="147"/>
        <v>999999999</v>
      </c>
      <c r="DK240" s="641">
        <f t="shared" si="147"/>
        <v>999999999</v>
      </c>
      <c r="DL240" s="641">
        <f t="shared" si="147"/>
        <v>999999999</v>
      </c>
      <c r="DM240" s="641">
        <f t="shared" si="147"/>
        <v>999999999</v>
      </c>
      <c r="DN240" s="641">
        <f t="shared" si="147"/>
        <v>999999999</v>
      </c>
      <c r="DO240" s="641">
        <f t="shared" si="147"/>
        <v>999999999</v>
      </c>
      <c r="DP240" s="641">
        <f t="shared" si="147"/>
        <v>999999999</v>
      </c>
      <c r="DQ240" s="641">
        <f t="shared" si="147"/>
        <v>999999999</v>
      </c>
      <c r="DR240" s="641">
        <f t="shared" si="147"/>
        <v>999999999</v>
      </c>
      <c r="DS240" s="641">
        <f t="shared" si="148"/>
        <v>999999999</v>
      </c>
      <c r="DT240" s="641">
        <f t="shared" si="148"/>
        <v>999999999</v>
      </c>
      <c r="DU240" s="641">
        <f t="shared" si="148"/>
        <v>999999999</v>
      </c>
      <c r="DV240" s="641">
        <f t="shared" si="148"/>
        <v>999999999</v>
      </c>
      <c r="DW240" s="641">
        <f t="shared" si="148"/>
        <v>999999999</v>
      </c>
      <c r="DX240" s="641">
        <f t="shared" si="148"/>
        <v>999999999</v>
      </c>
      <c r="DY240" s="641">
        <f t="shared" si="148"/>
        <v>999999999</v>
      </c>
      <c r="DZ240" s="641">
        <f t="shared" si="148"/>
        <v>999999999</v>
      </c>
      <c r="EA240" s="641">
        <f t="shared" si="148"/>
        <v>999999999</v>
      </c>
      <c r="EB240" s="641">
        <f t="shared" si="148"/>
        <v>999999999</v>
      </c>
      <c r="EC240" s="641">
        <f t="shared" si="148"/>
        <v>999999999</v>
      </c>
    </row>
    <row r="241" spans="28:133" ht="15.5">
      <c r="AB241" s="5">
        <f t="shared" si="118"/>
        <v>2</v>
      </c>
      <c r="AC241" s="128">
        <v>98</v>
      </c>
      <c r="AD241" s="129">
        <f t="shared" si="107"/>
        <v>8066.506604000002</v>
      </c>
      <c r="AF241" s="128">
        <v>98</v>
      </c>
      <c r="AG241" s="641">
        <f t="shared" si="139"/>
        <v>489661.50660399999</v>
      </c>
      <c r="AH241" s="641">
        <f t="shared" si="139"/>
        <v>426709.50660399999</v>
      </c>
      <c r="AI241" s="641">
        <f t="shared" si="139"/>
        <v>363757.50660399999</v>
      </c>
      <c r="AJ241" s="641">
        <f t="shared" si="139"/>
        <v>300805.50660399999</v>
      </c>
      <c r="AK241" s="641">
        <f t="shared" si="139"/>
        <v>237853.50660399999</v>
      </c>
      <c r="AL241" s="641">
        <f t="shared" si="139"/>
        <v>174901.50660399999</v>
      </c>
      <c r="AM241" s="641">
        <f t="shared" si="139"/>
        <v>112986.50660399999</v>
      </c>
      <c r="AN241" s="641">
        <f t="shared" si="139"/>
        <v>60526.506604000002</v>
      </c>
      <c r="AO241" s="641">
        <f t="shared" si="139"/>
        <v>8066.506604000002</v>
      </c>
      <c r="AP241" s="641">
        <f t="shared" si="139"/>
        <v>999999999</v>
      </c>
      <c r="AQ241" s="641">
        <f t="shared" si="140"/>
        <v>999999999</v>
      </c>
      <c r="AR241" s="641">
        <f t="shared" si="140"/>
        <v>999999999</v>
      </c>
      <c r="AS241" s="641">
        <f t="shared" si="140"/>
        <v>999999999</v>
      </c>
      <c r="AT241" s="641">
        <f t="shared" si="140"/>
        <v>999999999</v>
      </c>
      <c r="AU241" s="641">
        <f t="shared" si="140"/>
        <v>999999999</v>
      </c>
      <c r="AV241" s="641">
        <f t="shared" si="140"/>
        <v>999999999</v>
      </c>
      <c r="AW241" s="641">
        <f t="shared" si="140"/>
        <v>999999999</v>
      </c>
      <c r="AX241" s="641">
        <f t="shared" si="140"/>
        <v>999999999</v>
      </c>
      <c r="AY241" s="641">
        <f t="shared" si="140"/>
        <v>999999999</v>
      </c>
      <c r="AZ241" s="641">
        <f t="shared" si="140"/>
        <v>999999999</v>
      </c>
      <c r="BA241" s="641">
        <f t="shared" si="141"/>
        <v>999999999</v>
      </c>
      <c r="BB241" s="641">
        <f t="shared" si="141"/>
        <v>999999999</v>
      </c>
      <c r="BC241" s="641">
        <f t="shared" si="141"/>
        <v>999999999</v>
      </c>
      <c r="BD241" s="641">
        <f t="shared" si="141"/>
        <v>999999999</v>
      </c>
      <c r="BE241" s="641">
        <f t="shared" si="141"/>
        <v>999999999</v>
      </c>
      <c r="BF241" s="641">
        <f t="shared" si="141"/>
        <v>999999999</v>
      </c>
      <c r="BG241" s="641">
        <f t="shared" si="141"/>
        <v>999999999</v>
      </c>
      <c r="BH241" s="641">
        <f t="shared" si="141"/>
        <v>999999999</v>
      </c>
      <c r="BI241" s="641">
        <f t="shared" si="141"/>
        <v>999999999</v>
      </c>
      <c r="BJ241" s="641">
        <f t="shared" si="141"/>
        <v>999999999</v>
      </c>
      <c r="BK241" s="641">
        <f t="shared" si="142"/>
        <v>999999999</v>
      </c>
      <c r="BL241" s="641">
        <f t="shared" si="142"/>
        <v>999999999</v>
      </c>
      <c r="BM241" s="641">
        <f t="shared" si="142"/>
        <v>999999999</v>
      </c>
      <c r="BN241" s="641">
        <f t="shared" si="142"/>
        <v>999999999</v>
      </c>
      <c r="BO241" s="641">
        <f t="shared" si="142"/>
        <v>999999999</v>
      </c>
      <c r="BP241" s="641">
        <f t="shared" si="142"/>
        <v>999999999</v>
      </c>
      <c r="BQ241" s="641">
        <f t="shared" si="142"/>
        <v>999999999</v>
      </c>
      <c r="BR241" s="641">
        <f t="shared" si="142"/>
        <v>999999999</v>
      </c>
      <c r="BS241" s="641">
        <f t="shared" si="142"/>
        <v>999999999</v>
      </c>
      <c r="BT241" s="641">
        <f t="shared" si="142"/>
        <v>999999999</v>
      </c>
      <c r="BU241" s="641">
        <f t="shared" si="143"/>
        <v>999999999</v>
      </c>
      <c r="BV241" s="641">
        <f t="shared" si="143"/>
        <v>999999999</v>
      </c>
      <c r="BW241" s="641">
        <f t="shared" si="143"/>
        <v>999999999</v>
      </c>
      <c r="BX241" s="641">
        <f t="shared" si="143"/>
        <v>999999999</v>
      </c>
      <c r="BY241" s="641">
        <f t="shared" si="143"/>
        <v>999999999</v>
      </c>
      <c r="BZ241" s="641">
        <f t="shared" si="143"/>
        <v>999999999</v>
      </c>
      <c r="CA241" s="641">
        <f t="shared" si="143"/>
        <v>999999999</v>
      </c>
      <c r="CB241" s="641">
        <f t="shared" si="143"/>
        <v>999999999</v>
      </c>
      <c r="CC241" s="641">
        <f t="shared" si="143"/>
        <v>999999999</v>
      </c>
      <c r="CD241" s="641">
        <f t="shared" si="143"/>
        <v>999999999</v>
      </c>
      <c r="CE241" s="641">
        <f t="shared" si="144"/>
        <v>999999999</v>
      </c>
      <c r="CF241" s="641">
        <f t="shared" si="144"/>
        <v>999999999</v>
      </c>
      <c r="CG241" s="641">
        <f t="shared" si="144"/>
        <v>999999999</v>
      </c>
      <c r="CH241" s="641">
        <f t="shared" si="144"/>
        <v>999999999</v>
      </c>
      <c r="CI241" s="641">
        <f t="shared" si="144"/>
        <v>999999999</v>
      </c>
      <c r="CJ241" s="641">
        <f t="shared" si="144"/>
        <v>999999999</v>
      </c>
      <c r="CK241" s="641">
        <f t="shared" si="144"/>
        <v>999999999</v>
      </c>
      <c r="CL241" s="641">
        <f t="shared" si="144"/>
        <v>999999999</v>
      </c>
      <c r="CM241" s="641">
        <f t="shared" si="144"/>
        <v>999999999</v>
      </c>
      <c r="CN241" s="641">
        <f t="shared" si="144"/>
        <v>999999999</v>
      </c>
      <c r="CO241" s="641">
        <f t="shared" si="145"/>
        <v>999999999</v>
      </c>
      <c r="CP241" s="641">
        <f t="shared" si="145"/>
        <v>999999999</v>
      </c>
      <c r="CQ241" s="641">
        <f t="shared" si="145"/>
        <v>999999999</v>
      </c>
      <c r="CR241" s="641">
        <f t="shared" si="145"/>
        <v>999999999</v>
      </c>
      <c r="CS241" s="641">
        <f t="shared" si="145"/>
        <v>999999999</v>
      </c>
      <c r="CT241" s="641">
        <f t="shared" si="145"/>
        <v>999999999</v>
      </c>
      <c r="CU241" s="641">
        <f t="shared" si="145"/>
        <v>999999999</v>
      </c>
      <c r="CV241" s="641">
        <f t="shared" si="145"/>
        <v>999999999</v>
      </c>
      <c r="CW241" s="641">
        <f t="shared" si="145"/>
        <v>999999999</v>
      </c>
      <c r="CX241" s="641">
        <f t="shared" si="145"/>
        <v>999999999</v>
      </c>
      <c r="CY241" s="641">
        <f t="shared" si="146"/>
        <v>999999999</v>
      </c>
      <c r="CZ241" s="641">
        <f t="shared" si="146"/>
        <v>999999999</v>
      </c>
      <c r="DA241" s="641">
        <f t="shared" si="146"/>
        <v>999999999</v>
      </c>
      <c r="DB241" s="641">
        <f t="shared" si="146"/>
        <v>999999999</v>
      </c>
      <c r="DC241" s="641">
        <f t="shared" si="146"/>
        <v>999999999</v>
      </c>
      <c r="DD241" s="641">
        <f t="shared" si="146"/>
        <v>999999999</v>
      </c>
      <c r="DE241" s="641">
        <f t="shared" si="146"/>
        <v>999999999</v>
      </c>
      <c r="DF241" s="641">
        <f t="shared" si="146"/>
        <v>999999999</v>
      </c>
      <c r="DG241" s="641">
        <f t="shared" si="146"/>
        <v>999999999</v>
      </c>
      <c r="DH241" s="641">
        <f t="shared" si="146"/>
        <v>999999999</v>
      </c>
      <c r="DI241" s="641">
        <f t="shared" si="147"/>
        <v>999999999</v>
      </c>
      <c r="DJ241" s="641">
        <f t="shared" si="147"/>
        <v>999999999</v>
      </c>
      <c r="DK241" s="641">
        <f t="shared" si="147"/>
        <v>999999999</v>
      </c>
      <c r="DL241" s="641">
        <f t="shared" si="147"/>
        <v>999999999</v>
      </c>
      <c r="DM241" s="641">
        <f t="shared" si="147"/>
        <v>999999999</v>
      </c>
      <c r="DN241" s="641">
        <f t="shared" si="147"/>
        <v>999999999</v>
      </c>
      <c r="DO241" s="641">
        <f t="shared" si="147"/>
        <v>999999999</v>
      </c>
      <c r="DP241" s="641">
        <f t="shared" si="147"/>
        <v>999999999</v>
      </c>
      <c r="DQ241" s="641">
        <f t="shared" si="147"/>
        <v>999999999</v>
      </c>
      <c r="DR241" s="641">
        <f t="shared" si="147"/>
        <v>999999999</v>
      </c>
      <c r="DS241" s="641">
        <f t="shared" si="148"/>
        <v>999999999</v>
      </c>
      <c r="DT241" s="641">
        <f t="shared" si="148"/>
        <v>999999999</v>
      </c>
      <c r="DU241" s="641">
        <f t="shared" si="148"/>
        <v>999999999</v>
      </c>
      <c r="DV241" s="641">
        <f t="shared" si="148"/>
        <v>999999999</v>
      </c>
      <c r="DW241" s="641">
        <f t="shared" si="148"/>
        <v>999999999</v>
      </c>
      <c r="DX241" s="641">
        <f t="shared" si="148"/>
        <v>999999999</v>
      </c>
      <c r="DY241" s="641">
        <f t="shared" si="148"/>
        <v>999999999</v>
      </c>
      <c r="DZ241" s="641">
        <f t="shared" si="148"/>
        <v>999999999</v>
      </c>
      <c r="EA241" s="641">
        <f t="shared" si="148"/>
        <v>999999999</v>
      </c>
      <c r="EB241" s="641">
        <f t="shared" si="148"/>
        <v>999999999</v>
      </c>
      <c r="EC241" s="641">
        <f t="shared" si="148"/>
        <v>999999999</v>
      </c>
    </row>
    <row r="242" spans="28:133" ht="15.5">
      <c r="AB242" s="5">
        <f t="shared" si="118"/>
        <v>2</v>
      </c>
      <c r="AC242" s="128">
        <v>99</v>
      </c>
      <c r="AD242" s="129">
        <f t="shared" si="107"/>
        <v>8066.506604000002</v>
      </c>
      <c r="AF242" s="128">
        <v>99</v>
      </c>
      <c r="AG242" s="641">
        <f t="shared" si="139"/>
        <v>489661.50660399999</v>
      </c>
      <c r="AH242" s="641">
        <f t="shared" si="139"/>
        <v>426709.50660399999</v>
      </c>
      <c r="AI242" s="641">
        <f t="shared" si="139"/>
        <v>363757.50660399999</v>
      </c>
      <c r="AJ242" s="641">
        <f t="shared" si="139"/>
        <v>300805.50660399999</v>
      </c>
      <c r="AK242" s="641">
        <f t="shared" si="139"/>
        <v>237853.50660399999</v>
      </c>
      <c r="AL242" s="641">
        <f t="shared" si="139"/>
        <v>174901.50660399999</v>
      </c>
      <c r="AM242" s="641">
        <f t="shared" si="139"/>
        <v>112986.50660399999</v>
      </c>
      <c r="AN242" s="641">
        <f t="shared" si="139"/>
        <v>60526.506604000002</v>
      </c>
      <c r="AO242" s="641">
        <f t="shared" si="139"/>
        <v>8066.506604000002</v>
      </c>
      <c r="AP242" s="641">
        <f t="shared" si="139"/>
        <v>999999999</v>
      </c>
      <c r="AQ242" s="641">
        <f t="shared" si="140"/>
        <v>999999999</v>
      </c>
      <c r="AR242" s="641">
        <f t="shared" si="140"/>
        <v>999999999</v>
      </c>
      <c r="AS242" s="641">
        <f t="shared" si="140"/>
        <v>999999999</v>
      </c>
      <c r="AT242" s="641">
        <f t="shared" si="140"/>
        <v>999999999</v>
      </c>
      <c r="AU242" s="641">
        <f t="shared" si="140"/>
        <v>999999999</v>
      </c>
      <c r="AV242" s="641">
        <f t="shared" si="140"/>
        <v>999999999</v>
      </c>
      <c r="AW242" s="641">
        <f t="shared" si="140"/>
        <v>999999999</v>
      </c>
      <c r="AX242" s="641">
        <f t="shared" si="140"/>
        <v>999999999</v>
      </c>
      <c r="AY242" s="641">
        <f t="shared" si="140"/>
        <v>999999999</v>
      </c>
      <c r="AZ242" s="641">
        <f t="shared" si="140"/>
        <v>999999999</v>
      </c>
      <c r="BA242" s="641">
        <f t="shared" si="141"/>
        <v>999999999</v>
      </c>
      <c r="BB242" s="641">
        <f t="shared" si="141"/>
        <v>999999999</v>
      </c>
      <c r="BC242" s="641">
        <f t="shared" si="141"/>
        <v>999999999</v>
      </c>
      <c r="BD242" s="641">
        <f t="shared" si="141"/>
        <v>999999999</v>
      </c>
      <c r="BE242" s="641">
        <f t="shared" si="141"/>
        <v>999999999</v>
      </c>
      <c r="BF242" s="641">
        <f t="shared" si="141"/>
        <v>999999999</v>
      </c>
      <c r="BG242" s="641">
        <f t="shared" si="141"/>
        <v>999999999</v>
      </c>
      <c r="BH242" s="641">
        <f t="shared" si="141"/>
        <v>999999999</v>
      </c>
      <c r="BI242" s="641">
        <f t="shared" si="141"/>
        <v>999999999</v>
      </c>
      <c r="BJ242" s="641">
        <f t="shared" si="141"/>
        <v>999999999</v>
      </c>
      <c r="BK242" s="641">
        <f t="shared" si="142"/>
        <v>999999999</v>
      </c>
      <c r="BL242" s="641">
        <f t="shared" si="142"/>
        <v>999999999</v>
      </c>
      <c r="BM242" s="641">
        <f t="shared" si="142"/>
        <v>999999999</v>
      </c>
      <c r="BN242" s="641">
        <f t="shared" si="142"/>
        <v>999999999</v>
      </c>
      <c r="BO242" s="641">
        <f t="shared" si="142"/>
        <v>999999999</v>
      </c>
      <c r="BP242" s="641">
        <f t="shared" si="142"/>
        <v>999999999</v>
      </c>
      <c r="BQ242" s="641">
        <f t="shared" si="142"/>
        <v>999999999</v>
      </c>
      <c r="BR242" s="641">
        <f t="shared" si="142"/>
        <v>999999999</v>
      </c>
      <c r="BS242" s="641">
        <f t="shared" si="142"/>
        <v>999999999</v>
      </c>
      <c r="BT242" s="641">
        <f t="shared" si="142"/>
        <v>999999999</v>
      </c>
      <c r="BU242" s="641">
        <f t="shared" si="143"/>
        <v>999999999</v>
      </c>
      <c r="BV242" s="641">
        <f t="shared" si="143"/>
        <v>999999999</v>
      </c>
      <c r="BW242" s="641">
        <f t="shared" si="143"/>
        <v>999999999</v>
      </c>
      <c r="BX242" s="641">
        <f t="shared" si="143"/>
        <v>999999999</v>
      </c>
      <c r="BY242" s="641">
        <f t="shared" si="143"/>
        <v>999999999</v>
      </c>
      <c r="BZ242" s="641">
        <f t="shared" si="143"/>
        <v>999999999</v>
      </c>
      <c r="CA242" s="641">
        <f t="shared" si="143"/>
        <v>999999999</v>
      </c>
      <c r="CB242" s="641">
        <f t="shared" si="143"/>
        <v>999999999</v>
      </c>
      <c r="CC242" s="641">
        <f t="shared" si="143"/>
        <v>999999999</v>
      </c>
      <c r="CD242" s="641">
        <f t="shared" si="143"/>
        <v>999999999</v>
      </c>
      <c r="CE242" s="641">
        <f t="shared" si="144"/>
        <v>999999999</v>
      </c>
      <c r="CF242" s="641">
        <f t="shared" si="144"/>
        <v>999999999</v>
      </c>
      <c r="CG242" s="641">
        <f t="shared" si="144"/>
        <v>999999999</v>
      </c>
      <c r="CH242" s="641">
        <f t="shared" si="144"/>
        <v>999999999</v>
      </c>
      <c r="CI242" s="641">
        <f t="shared" si="144"/>
        <v>999999999</v>
      </c>
      <c r="CJ242" s="641">
        <f t="shared" si="144"/>
        <v>999999999</v>
      </c>
      <c r="CK242" s="641">
        <f t="shared" si="144"/>
        <v>999999999</v>
      </c>
      <c r="CL242" s="641">
        <f t="shared" si="144"/>
        <v>999999999</v>
      </c>
      <c r="CM242" s="641">
        <f t="shared" si="144"/>
        <v>999999999</v>
      </c>
      <c r="CN242" s="641">
        <f t="shared" si="144"/>
        <v>999999999</v>
      </c>
      <c r="CO242" s="641">
        <f t="shared" si="145"/>
        <v>999999999</v>
      </c>
      <c r="CP242" s="641">
        <f t="shared" si="145"/>
        <v>999999999</v>
      </c>
      <c r="CQ242" s="641">
        <f t="shared" si="145"/>
        <v>999999999</v>
      </c>
      <c r="CR242" s="641">
        <f t="shared" si="145"/>
        <v>999999999</v>
      </c>
      <c r="CS242" s="641">
        <f t="shared" si="145"/>
        <v>999999999</v>
      </c>
      <c r="CT242" s="641">
        <f t="shared" si="145"/>
        <v>999999999</v>
      </c>
      <c r="CU242" s="641">
        <f t="shared" si="145"/>
        <v>999999999</v>
      </c>
      <c r="CV242" s="641">
        <f t="shared" si="145"/>
        <v>999999999</v>
      </c>
      <c r="CW242" s="641">
        <f t="shared" si="145"/>
        <v>999999999</v>
      </c>
      <c r="CX242" s="641">
        <f t="shared" si="145"/>
        <v>999999999</v>
      </c>
      <c r="CY242" s="641">
        <f t="shared" si="146"/>
        <v>999999999</v>
      </c>
      <c r="CZ242" s="641">
        <f t="shared" si="146"/>
        <v>999999999</v>
      </c>
      <c r="DA242" s="641">
        <f t="shared" si="146"/>
        <v>999999999</v>
      </c>
      <c r="DB242" s="641">
        <f t="shared" si="146"/>
        <v>999999999</v>
      </c>
      <c r="DC242" s="641">
        <f t="shared" si="146"/>
        <v>999999999</v>
      </c>
      <c r="DD242" s="641">
        <f t="shared" si="146"/>
        <v>999999999</v>
      </c>
      <c r="DE242" s="641">
        <f t="shared" si="146"/>
        <v>999999999</v>
      </c>
      <c r="DF242" s="641">
        <f t="shared" si="146"/>
        <v>999999999</v>
      </c>
      <c r="DG242" s="641">
        <f t="shared" si="146"/>
        <v>999999999</v>
      </c>
      <c r="DH242" s="641">
        <f t="shared" si="146"/>
        <v>999999999</v>
      </c>
      <c r="DI242" s="641">
        <f t="shared" si="147"/>
        <v>999999999</v>
      </c>
      <c r="DJ242" s="641">
        <f t="shared" si="147"/>
        <v>999999999</v>
      </c>
      <c r="DK242" s="641">
        <f t="shared" si="147"/>
        <v>999999999</v>
      </c>
      <c r="DL242" s="641">
        <f t="shared" si="147"/>
        <v>999999999</v>
      </c>
      <c r="DM242" s="641">
        <f t="shared" si="147"/>
        <v>999999999</v>
      </c>
      <c r="DN242" s="641">
        <f t="shared" si="147"/>
        <v>999999999</v>
      </c>
      <c r="DO242" s="641">
        <f t="shared" si="147"/>
        <v>999999999</v>
      </c>
      <c r="DP242" s="641">
        <f t="shared" si="147"/>
        <v>999999999</v>
      </c>
      <c r="DQ242" s="641">
        <f t="shared" si="147"/>
        <v>999999999</v>
      </c>
      <c r="DR242" s="641">
        <f t="shared" si="147"/>
        <v>999999999</v>
      </c>
      <c r="DS242" s="641">
        <f t="shared" si="148"/>
        <v>999999999</v>
      </c>
      <c r="DT242" s="641">
        <f t="shared" si="148"/>
        <v>999999999</v>
      </c>
      <c r="DU242" s="641">
        <f t="shared" si="148"/>
        <v>999999999</v>
      </c>
      <c r="DV242" s="641">
        <f t="shared" si="148"/>
        <v>999999999</v>
      </c>
      <c r="DW242" s="641">
        <f t="shared" si="148"/>
        <v>999999999</v>
      </c>
      <c r="DX242" s="641">
        <f t="shared" si="148"/>
        <v>999999999</v>
      </c>
      <c r="DY242" s="641">
        <f t="shared" si="148"/>
        <v>999999999</v>
      </c>
      <c r="DZ242" s="641">
        <f t="shared" si="148"/>
        <v>999999999</v>
      </c>
      <c r="EA242" s="641">
        <f t="shared" si="148"/>
        <v>999999999</v>
      </c>
      <c r="EB242" s="641">
        <f t="shared" si="148"/>
        <v>999999999</v>
      </c>
      <c r="EC242" s="641">
        <f t="shared" si="148"/>
        <v>999999999</v>
      </c>
    </row>
    <row r="243" spans="28:133" ht="15.5">
      <c r="AB243" s="5">
        <f t="shared" si="118"/>
        <v>2</v>
      </c>
      <c r="AC243" s="128">
        <v>100</v>
      </c>
      <c r="AD243" s="129">
        <f t="shared" si="107"/>
        <v>8066.506604000002</v>
      </c>
      <c r="AF243" s="128">
        <v>100</v>
      </c>
      <c r="AG243" s="641">
        <f t="shared" si="139"/>
        <v>489661.50660399999</v>
      </c>
      <c r="AH243" s="641">
        <f t="shared" si="139"/>
        <v>426709.50660399999</v>
      </c>
      <c r="AI243" s="641">
        <f t="shared" si="139"/>
        <v>363757.50660399999</v>
      </c>
      <c r="AJ243" s="641">
        <f t="shared" si="139"/>
        <v>300805.50660399999</v>
      </c>
      <c r="AK243" s="641">
        <f t="shared" si="139"/>
        <v>237853.50660399999</v>
      </c>
      <c r="AL243" s="641">
        <f t="shared" si="139"/>
        <v>174901.50660399999</v>
      </c>
      <c r="AM243" s="641">
        <f t="shared" si="139"/>
        <v>112986.50660399999</v>
      </c>
      <c r="AN243" s="641">
        <f t="shared" si="139"/>
        <v>60526.506604000002</v>
      </c>
      <c r="AO243" s="641">
        <f t="shared" si="139"/>
        <v>8066.506604000002</v>
      </c>
      <c r="AP243" s="641">
        <f t="shared" si="139"/>
        <v>999999999</v>
      </c>
      <c r="AQ243" s="641">
        <f t="shared" si="140"/>
        <v>999999999</v>
      </c>
      <c r="AR243" s="641">
        <f t="shared" si="140"/>
        <v>999999999</v>
      </c>
      <c r="AS243" s="641">
        <f t="shared" si="140"/>
        <v>999999999</v>
      </c>
      <c r="AT243" s="641">
        <f t="shared" si="140"/>
        <v>999999999</v>
      </c>
      <c r="AU243" s="641">
        <f t="shared" si="140"/>
        <v>999999999</v>
      </c>
      <c r="AV243" s="641">
        <f t="shared" si="140"/>
        <v>999999999</v>
      </c>
      <c r="AW243" s="641">
        <f t="shared" si="140"/>
        <v>999999999</v>
      </c>
      <c r="AX243" s="641">
        <f t="shared" si="140"/>
        <v>999999999</v>
      </c>
      <c r="AY243" s="641">
        <f t="shared" si="140"/>
        <v>999999999</v>
      </c>
      <c r="AZ243" s="641">
        <f t="shared" si="140"/>
        <v>999999999</v>
      </c>
      <c r="BA243" s="641">
        <f t="shared" si="141"/>
        <v>999999999</v>
      </c>
      <c r="BB243" s="641">
        <f t="shared" si="141"/>
        <v>999999999</v>
      </c>
      <c r="BC243" s="641">
        <f t="shared" si="141"/>
        <v>999999999</v>
      </c>
      <c r="BD243" s="641">
        <f t="shared" si="141"/>
        <v>999999999</v>
      </c>
      <c r="BE243" s="641">
        <f t="shared" si="141"/>
        <v>999999999</v>
      </c>
      <c r="BF243" s="641">
        <f t="shared" si="141"/>
        <v>999999999</v>
      </c>
      <c r="BG243" s="641">
        <f t="shared" si="141"/>
        <v>999999999</v>
      </c>
      <c r="BH243" s="641">
        <f t="shared" si="141"/>
        <v>999999999</v>
      </c>
      <c r="BI243" s="641">
        <f t="shared" si="141"/>
        <v>999999999</v>
      </c>
      <c r="BJ243" s="641">
        <f t="shared" si="141"/>
        <v>999999999</v>
      </c>
      <c r="BK243" s="641">
        <f t="shared" si="142"/>
        <v>999999999</v>
      </c>
      <c r="BL243" s="641">
        <f t="shared" si="142"/>
        <v>999999999</v>
      </c>
      <c r="BM243" s="641">
        <f t="shared" si="142"/>
        <v>999999999</v>
      </c>
      <c r="BN243" s="641">
        <f t="shared" si="142"/>
        <v>999999999</v>
      </c>
      <c r="BO243" s="641">
        <f t="shared" si="142"/>
        <v>999999999</v>
      </c>
      <c r="BP243" s="641">
        <f t="shared" si="142"/>
        <v>999999999</v>
      </c>
      <c r="BQ243" s="641">
        <f t="shared" si="142"/>
        <v>999999999</v>
      </c>
      <c r="BR243" s="641">
        <f t="shared" si="142"/>
        <v>999999999</v>
      </c>
      <c r="BS243" s="641">
        <f t="shared" si="142"/>
        <v>999999999</v>
      </c>
      <c r="BT243" s="641">
        <f t="shared" si="142"/>
        <v>999999999</v>
      </c>
      <c r="BU243" s="641">
        <f t="shared" si="143"/>
        <v>999999999</v>
      </c>
      <c r="BV243" s="641">
        <f t="shared" si="143"/>
        <v>999999999</v>
      </c>
      <c r="BW243" s="641">
        <f t="shared" si="143"/>
        <v>999999999</v>
      </c>
      <c r="BX243" s="641">
        <f t="shared" si="143"/>
        <v>999999999</v>
      </c>
      <c r="BY243" s="641">
        <f t="shared" si="143"/>
        <v>999999999</v>
      </c>
      <c r="BZ243" s="641">
        <f t="shared" si="143"/>
        <v>999999999</v>
      </c>
      <c r="CA243" s="641">
        <f t="shared" si="143"/>
        <v>999999999</v>
      </c>
      <c r="CB243" s="641">
        <f t="shared" si="143"/>
        <v>999999999</v>
      </c>
      <c r="CC243" s="641">
        <f t="shared" si="143"/>
        <v>999999999</v>
      </c>
      <c r="CD243" s="641">
        <f t="shared" si="143"/>
        <v>999999999</v>
      </c>
      <c r="CE243" s="641">
        <f t="shared" si="144"/>
        <v>999999999</v>
      </c>
      <c r="CF243" s="641">
        <f t="shared" si="144"/>
        <v>999999999</v>
      </c>
      <c r="CG243" s="641">
        <f t="shared" si="144"/>
        <v>999999999</v>
      </c>
      <c r="CH243" s="641">
        <f t="shared" si="144"/>
        <v>999999999</v>
      </c>
      <c r="CI243" s="641">
        <f t="shared" si="144"/>
        <v>999999999</v>
      </c>
      <c r="CJ243" s="641">
        <f t="shared" si="144"/>
        <v>999999999</v>
      </c>
      <c r="CK243" s="641">
        <f t="shared" si="144"/>
        <v>999999999</v>
      </c>
      <c r="CL243" s="641">
        <f t="shared" si="144"/>
        <v>999999999</v>
      </c>
      <c r="CM243" s="641">
        <f t="shared" si="144"/>
        <v>999999999</v>
      </c>
      <c r="CN243" s="641">
        <f t="shared" si="144"/>
        <v>999999999</v>
      </c>
      <c r="CO243" s="641">
        <f t="shared" si="145"/>
        <v>999999999</v>
      </c>
      <c r="CP243" s="641">
        <f t="shared" si="145"/>
        <v>999999999</v>
      </c>
      <c r="CQ243" s="641">
        <f t="shared" si="145"/>
        <v>999999999</v>
      </c>
      <c r="CR243" s="641">
        <f t="shared" si="145"/>
        <v>999999999</v>
      </c>
      <c r="CS243" s="641">
        <f t="shared" si="145"/>
        <v>999999999</v>
      </c>
      <c r="CT243" s="641">
        <f t="shared" si="145"/>
        <v>999999999</v>
      </c>
      <c r="CU243" s="641">
        <f t="shared" si="145"/>
        <v>999999999</v>
      </c>
      <c r="CV243" s="641">
        <f t="shared" si="145"/>
        <v>999999999</v>
      </c>
      <c r="CW243" s="641">
        <f t="shared" si="145"/>
        <v>999999999</v>
      </c>
      <c r="CX243" s="641">
        <f t="shared" si="145"/>
        <v>999999999</v>
      </c>
      <c r="CY243" s="641">
        <f t="shared" si="146"/>
        <v>999999999</v>
      </c>
      <c r="CZ243" s="641">
        <f t="shared" si="146"/>
        <v>999999999</v>
      </c>
      <c r="DA243" s="641">
        <f t="shared" si="146"/>
        <v>999999999</v>
      </c>
      <c r="DB243" s="641">
        <f t="shared" si="146"/>
        <v>999999999</v>
      </c>
      <c r="DC243" s="641">
        <f t="shared" si="146"/>
        <v>999999999</v>
      </c>
      <c r="DD243" s="641">
        <f t="shared" si="146"/>
        <v>999999999</v>
      </c>
      <c r="DE243" s="641">
        <f t="shared" si="146"/>
        <v>999999999</v>
      </c>
      <c r="DF243" s="641">
        <f t="shared" si="146"/>
        <v>999999999</v>
      </c>
      <c r="DG243" s="641">
        <f t="shared" si="146"/>
        <v>999999999</v>
      </c>
      <c r="DH243" s="641">
        <f t="shared" si="146"/>
        <v>999999999</v>
      </c>
      <c r="DI243" s="641">
        <f t="shared" si="147"/>
        <v>999999999</v>
      </c>
      <c r="DJ243" s="641">
        <f t="shared" si="147"/>
        <v>999999999</v>
      </c>
      <c r="DK243" s="641">
        <f t="shared" si="147"/>
        <v>999999999</v>
      </c>
      <c r="DL243" s="641">
        <f t="shared" si="147"/>
        <v>999999999</v>
      </c>
      <c r="DM243" s="641">
        <f t="shared" si="147"/>
        <v>999999999</v>
      </c>
      <c r="DN243" s="641">
        <f t="shared" si="147"/>
        <v>999999999</v>
      </c>
      <c r="DO243" s="641">
        <f t="shared" si="147"/>
        <v>999999999</v>
      </c>
      <c r="DP243" s="641">
        <f t="shared" si="147"/>
        <v>999999999</v>
      </c>
      <c r="DQ243" s="641">
        <f t="shared" si="147"/>
        <v>999999999</v>
      </c>
      <c r="DR243" s="641">
        <f t="shared" si="147"/>
        <v>999999999</v>
      </c>
      <c r="DS243" s="641">
        <f t="shared" si="148"/>
        <v>999999999</v>
      </c>
      <c r="DT243" s="641">
        <f t="shared" si="148"/>
        <v>999999999</v>
      </c>
      <c r="DU243" s="641">
        <f t="shared" si="148"/>
        <v>999999999</v>
      </c>
      <c r="DV243" s="641">
        <f t="shared" si="148"/>
        <v>999999999</v>
      </c>
      <c r="DW243" s="641">
        <f t="shared" si="148"/>
        <v>999999999</v>
      </c>
      <c r="DX243" s="641">
        <f t="shared" si="148"/>
        <v>999999999</v>
      </c>
      <c r="DY243" s="641">
        <f t="shared" si="148"/>
        <v>999999999</v>
      </c>
      <c r="DZ243" s="641">
        <f t="shared" si="148"/>
        <v>999999999</v>
      </c>
      <c r="EA243" s="641">
        <f t="shared" si="148"/>
        <v>999999999</v>
      </c>
      <c r="EB243" s="641">
        <f t="shared" si="148"/>
        <v>999999999</v>
      </c>
      <c r="EC243" s="641">
        <f t="shared" si="148"/>
        <v>999999999</v>
      </c>
    </row>
  </sheetData>
  <mergeCells count="14">
    <mergeCell ref="L3:L7"/>
    <mergeCell ref="U18:W18"/>
    <mergeCell ref="H19:J19"/>
    <mergeCell ref="R25:S26"/>
    <mergeCell ref="G19:G24"/>
    <mergeCell ref="M3:N6"/>
    <mergeCell ref="B55:D55"/>
    <mergeCell ref="G64:J64"/>
    <mergeCell ref="P34:S34"/>
    <mergeCell ref="AE143:AE168"/>
    <mergeCell ref="AG141:BF141"/>
    <mergeCell ref="U34:W34"/>
    <mergeCell ref="U60:W60"/>
    <mergeCell ref="AH91:AI91"/>
  </mergeCells>
  <phoneticPr fontId="36"/>
  <pageMargins left="0.75" right="0.75" top="1" bottom="1" header="0.5" footer="0.5"/>
  <pageSetup orientation="portrait" horizontalDpi="4294967292" verticalDpi="4294967292" r:id="rId1"/>
  <headerFooter alignWithMargins="0"/>
  <ignoredErrors>
    <ignoredError sqref="AC5" emptyCellReference="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8C5CE-4A46-499C-9D93-3EB925154581}">
  <sheetPr codeName="Sheet14"/>
  <dimension ref="B2:M30"/>
  <sheetViews>
    <sheetView topLeftCell="C16" workbookViewId="0">
      <selection activeCell="I29" sqref="I29"/>
    </sheetView>
  </sheetViews>
  <sheetFormatPr defaultRowHeight="13"/>
  <cols>
    <col min="1" max="1" width="1.7265625" customWidth="1"/>
    <col min="2" max="2" width="67.81640625" style="932" customWidth="1"/>
    <col min="3" max="3" width="4.6328125" customWidth="1"/>
    <col min="4" max="4" width="25.08984375" customWidth="1"/>
    <col min="5" max="5" width="12.54296875" customWidth="1"/>
    <col min="6" max="8" width="10.08984375" customWidth="1"/>
    <col min="9" max="9" width="10.54296875" bestFit="1" customWidth="1"/>
    <col min="10" max="10" width="14.08984375" customWidth="1"/>
    <col min="11" max="11" width="18" customWidth="1"/>
    <col min="12" max="12" width="14.08984375" customWidth="1"/>
    <col min="13" max="13" width="13.1796875" customWidth="1"/>
  </cols>
  <sheetData>
    <row r="2" spans="2:13" ht="15.5">
      <c r="B2" s="933" t="s">
        <v>780</v>
      </c>
    </row>
    <row r="3" spans="2:13">
      <c r="B3" s="930" t="s">
        <v>792</v>
      </c>
    </row>
    <row r="4" spans="2:13" ht="15" customHeight="1">
      <c r="B4" s="930" t="s">
        <v>793</v>
      </c>
    </row>
    <row r="5" spans="2:13" ht="27">
      <c r="B5" s="930" t="s">
        <v>794</v>
      </c>
      <c r="D5" s="373" t="s">
        <v>653</v>
      </c>
      <c r="E5" s="333">
        <f>SUM(E16:H16)</f>
        <v>140000</v>
      </c>
      <c r="F5" s="1132" t="s">
        <v>812</v>
      </c>
      <c r="G5" s="1132"/>
      <c r="H5" s="1132"/>
      <c r="J5" s="958" t="s">
        <v>824</v>
      </c>
      <c r="K5" s="959"/>
      <c r="L5" s="959"/>
      <c r="M5" s="959"/>
    </row>
    <row r="6" spans="2:13">
      <c r="B6" s="930" t="s">
        <v>781</v>
      </c>
      <c r="D6" s="373" t="s">
        <v>728</v>
      </c>
      <c r="E6" s="333">
        <f>Calculations!U3</f>
        <v>145500</v>
      </c>
      <c r="J6" s="952" t="s">
        <v>825</v>
      </c>
      <c r="K6" s="953" t="str">
        <f>Calculations!R4</f>
        <v>Single</v>
      </c>
      <c r="L6" s="952" t="s">
        <v>827</v>
      </c>
      <c r="M6" s="954">
        <f>Calculations!Q6+Calculations!S6</f>
        <v>0</v>
      </c>
    </row>
    <row r="7" spans="2:13" ht="39">
      <c r="B7" s="931" t="s">
        <v>782</v>
      </c>
      <c r="D7" s="934" t="s">
        <v>795</v>
      </c>
      <c r="E7" s="936">
        <f>E5/E6</f>
        <v>0.96219931271477666</v>
      </c>
      <c r="J7" s="955" t="s">
        <v>826</v>
      </c>
      <c r="K7" s="956">
        <f>'Input &amp; Results'!H10</f>
        <v>0</v>
      </c>
      <c r="L7" s="957" t="s">
        <v>828</v>
      </c>
      <c r="M7" s="956">
        <f>Calculations!AE8</f>
        <v>2</v>
      </c>
    </row>
    <row r="8" spans="2:13" ht="52">
      <c r="B8" s="937" t="s">
        <v>783</v>
      </c>
      <c r="D8" s="675" t="s">
        <v>819</v>
      </c>
      <c r="E8" s="333">
        <f>Calculations!U11</f>
        <v>22359.606895999998</v>
      </c>
      <c r="J8" s="957" t="s">
        <v>830</v>
      </c>
      <c r="K8" s="960">
        <f>_SD1</f>
        <v>44197</v>
      </c>
      <c r="L8" s="955" t="s">
        <v>829</v>
      </c>
      <c r="M8" s="960">
        <f>_ED1</f>
        <v>44561</v>
      </c>
    </row>
    <row r="9" spans="2:13" ht="39">
      <c r="B9" s="937" t="s">
        <v>784</v>
      </c>
      <c r="D9" s="437" t="s">
        <v>797</v>
      </c>
      <c r="E9" s="939">
        <f>E8*E7</f>
        <v>21514.398387903777</v>
      </c>
      <c r="J9" s="957" t="s">
        <v>835</v>
      </c>
      <c r="K9" s="961">
        <f>'Input &amp; Results'!H16</f>
        <v>100000</v>
      </c>
      <c r="L9" s="957" t="s">
        <v>831</v>
      </c>
      <c r="M9" s="961">
        <f>'Input &amp; Results'!F46</f>
        <v>10000</v>
      </c>
    </row>
    <row r="10" spans="2:13" ht="65">
      <c r="B10" s="937" t="s">
        <v>785</v>
      </c>
      <c r="D10" s="437" t="s">
        <v>796</v>
      </c>
      <c r="E10" s="939">
        <f>Calculations!Z44</f>
        <v>15600</v>
      </c>
      <c r="F10" s="1131" t="s">
        <v>813</v>
      </c>
      <c r="G10" s="1131"/>
      <c r="J10" s="955" t="s">
        <v>833</v>
      </c>
      <c r="K10" s="956" t="str">
        <f>VLOOKUP(Calculations!$AM$87,Calculations!AL83:AN86,3)</f>
        <v>Every other week</v>
      </c>
      <c r="L10" s="957" t="s">
        <v>832</v>
      </c>
      <c r="M10" s="961">
        <f>'Input &amp; Results'!F47</f>
        <v>600</v>
      </c>
    </row>
    <row r="11" spans="2:13" ht="26">
      <c r="B11" s="937" t="s">
        <v>786</v>
      </c>
      <c r="D11" s="417" t="s">
        <v>809</v>
      </c>
      <c r="E11" s="939">
        <f>MAX(E9-E10,0)</f>
        <v>5914.3983879037769</v>
      </c>
      <c r="J11" s="957" t="s">
        <v>834</v>
      </c>
      <c r="K11" s="960" t="str">
        <f>_PPE1</f>
        <v>10/13/2021</v>
      </c>
      <c r="L11" s="957" t="s">
        <v>837</v>
      </c>
      <c r="M11" s="961">
        <f>'Input &amp; Results'!F19</f>
        <v>600</v>
      </c>
    </row>
    <row r="12" spans="2:13" ht="50">
      <c r="B12" s="937" t="s">
        <v>787</v>
      </c>
      <c r="D12" s="949" t="s">
        <v>820</v>
      </c>
      <c r="E12" s="939">
        <f>SUM(Calculations!U52:X52)</f>
        <v>7183.4933960002381</v>
      </c>
      <c r="J12" s="957" t="s">
        <v>836</v>
      </c>
      <c r="K12" s="961">
        <f>'Input &amp; Results'!H19</f>
        <v>3000</v>
      </c>
      <c r="L12" s="957" t="s">
        <v>838</v>
      </c>
      <c r="M12" s="961">
        <f>'Input &amp; Results'!G19</f>
        <v>0</v>
      </c>
    </row>
    <row r="13" spans="2:13" ht="39">
      <c r="B13" s="937" t="s">
        <v>788</v>
      </c>
      <c r="D13" s="437" t="s">
        <v>798</v>
      </c>
      <c r="E13" s="418">
        <f>IF(E12&gt;=E11,1,0)</f>
        <v>1</v>
      </c>
      <c r="J13" s="957" t="s">
        <v>839</v>
      </c>
      <c r="K13" s="961">
        <v>0</v>
      </c>
      <c r="L13" s="957" t="s">
        <v>840</v>
      </c>
      <c r="M13" s="962">
        <f>Deductions!C20</f>
        <v>0</v>
      </c>
    </row>
    <row r="14" spans="2:13" ht="52">
      <c r="B14" s="937" t="s">
        <v>789</v>
      </c>
      <c r="D14" s="437" t="s">
        <v>799</v>
      </c>
      <c r="E14" s="939">
        <f>MAX(E11-E12,0)</f>
        <v>0</v>
      </c>
      <c r="J14" s="957" t="s">
        <v>841</v>
      </c>
      <c r="K14" s="961">
        <f>SUM(Calculations!AA10:AA14)</f>
        <v>0</v>
      </c>
      <c r="L14" s="957"/>
      <c r="M14" s="956"/>
    </row>
    <row r="15" spans="2:13" ht="78">
      <c r="B15" s="937" t="s">
        <v>790</v>
      </c>
      <c r="E15" s="392" t="s">
        <v>151</v>
      </c>
      <c r="F15" s="392" t="s">
        <v>152</v>
      </c>
      <c r="G15" s="392" t="s">
        <v>114</v>
      </c>
      <c r="H15" s="392" t="s">
        <v>477</v>
      </c>
      <c r="J15" s="957" t="s">
        <v>842</v>
      </c>
      <c r="K15" s="961">
        <v>0</v>
      </c>
      <c r="L15" s="957"/>
      <c r="M15" s="956"/>
    </row>
    <row r="16" spans="2:13">
      <c r="B16" s="937"/>
      <c r="D16" s="437" t="s">
        <v>814</v>
      </c>
      <c r="E16" s="943">
        <f>'Input &amp; Results'!$H13+IF('Input &amp; Results'!$J16=FALSE,'Input &amp; Results'!$H16,0)-SUM('Input &amp; Results'!M31:N31)+'Input &amp; Results'!O31</f>
        <v>100000</v>
      </c>
      <c r="F16" s="943">
        <f>IF('Input &amp; Results'!$J17=FALSE,'Input &amp; Results'!$H17,0)-SUM('Input &amp; Results'!M32:N32)+'Input &amp; Results'!O32</f>
        <v>40000</v>
      </c>
      <c r="G16" s="943">
        <f>'Input &amp; Results'!$H23+IF('Input &amp; Results'!$J26=FALSE,'Input &amp; Results'!$H26,0)-SUM('Input &amp; Results'!M38:N38)+'Input &amp; Results'!O38</f>
        <v>0</v>
      </c>
      <c r="H16" s="943">
        <f>IF('Input &amp; Results'!$J27=FALSE,'Input &amp; Results'!$H27,0)-SUM('Input &amp; Results'!M39:N39)+'Input &amp; Results'!O39</f>
        <v>0</v>
      </c>
    </row>
    <row r="17" spans="2:10" ht="26.5" thickBot="1">
      <c r="B17" s="938" t="s">
        <v>791</v>
      </c>
      <c r="D17" s="373" t="s">
        <v>800</v>
      </c>
      <c r="E17" s="333">
        <f>Calculations!U50</f>
        <v>14719.286474946319</v>
      </c>
      <c r="F17" s="333">
        <f>Calculations!V50</f>
        <v>3030.4706478246399</v>
      </c>
      <c r="G17" s="333">
        <f>Calculations!W50</f>
        <v>0</v>
      </c>
      <c r="H17" s="333">
        <f>Calculations!X50</f>
        <v>0</v>
      </c>
      <c r="I17" t="s">
        <v>846</v>
      </c>
    </row>
    <row r="18" spans="2:10">
      <c r="D18" s="373" t="s">
        <v>801</v>
      </c>
      <c r="E18" s="332">
        <f>Calculations!U55</f>
        <v>0</v>
      </c>
      <c r="F18" s="333">
        <f>Calculations!V55</f>
        <v>0</v>
      </c>
      <c r="G18" s="332">
        <f>Calculations!W55</f>
        <v>0</v>
      </c>
      <c r="H18" s="333">
        <f>Calculations!X55</f>
        <v>0</v>
      </c>
      <c r="I18" t="s">
        <v>846</v>
      </c>
    </row>
    <row r="19" spans="2:10" ht="26" customHeight="1">
      <c r="D19" s="437" t="s">
        <v>802</v>
      </c>
      <c r="E19" s="935">
        <f>Calculations!U56</f>
        <v>0.82966769815988894</v>
      </c>
      <c r="F19" s="935">
        <f>Calculations!V56</f>
        <v>0.17033230184011106</v>
      </c>
      <c r="G19" s="935">
        <f>Calculations!W56</f>
        <v>0</v>
      </c>
      <c r="H19" s="935">
        <f>Calculations!X56</f>
        <v>0</v>
      </c>
    </row>
    <row r="20" spans="2:10" ht="26" customHeight="1">
      <c r="D20" s="437" t="s">
        <v>805</v>
      </c>
      <c r="E20" s="935">
        <f>Calculations!U48</f>
        <v>122.34615384615384</v>
      </c>
      <c r="F20" s="935">
        <f>Calculations!V48</f>
        <v>122</v>
      </c>
      <c r="G20" s="935">
        <f>Calculations!W48</f>
        <v>-3.8461538461538464E-2</v>
      </c>
      <c r="H20" s="935">
        <f>Calculations!X48</f>
        <v>-3.8461538461538464E-2</v>
      </c>
    </row>
    <row r="21" spans="2:10" ht="13" customHeight="1">
      <c r="D21" s="437" t="s">
        <v>806</v>
      </c>
      <c r="E21" s="940">
        <f>Calculations!U47</f>
        <v>3181</v>
      </c>
      <c r="F21" s="940">
        <f>Calculations!V47</f>
        <v>1464</v>
      </c>
      <c r="G21" s="940">
        <f>Calculations!W47</f>
        <v>-2</v>
      </c>
      <c r="H21" s="940">
        <f>Calculations!X47</f>
        <v>-2</v>
      </c>
    </row>
    <row r="22" spans="2:10" ht="13" customHeight="1">
      <c r="D22" s="437" t="s">
        <v>807</v>
      </c>
      <c r="E22" s="332">
        <f>Calculations!U44</f>
        <v>10600</v>
      </c>
      <c r="F22" s="332">
        <f>Calculations!V44</f>
        <v>4400</v>
      </c>
      <c r="G22" s="332">
        <f>Calculations!W44</f>
        <v>0</v>
      </c>
      <c r="H22" s="333">
        <f>Calculations!X44</f>
        <v>0</v>
      </c>
    </row>
    <row r="23" spans="2:10" ht="13" customHeight="1">
      <c r="D23" s="437" t="s">
        <v>808</v>
      </c>
      <c r="E23" s="332">
        <f>Calculations!U23</f>
        <v>568</v>
      </c>
      <c r="F23" s="332">
        <f>Calculations!V23</f>
        <v>253.375</v>
      </c>
      <c r="G23" s="332">
        <f>Calculations!W23</f>
        <v>0</v>
      </c>
      <c r="H23" s="332">
        <f>Calculations!X23</f>
        <v>0</v>
      </c>
    </row>
    <row r="24" spans="2:10" ht="23" customHeight="1">
      <c r="D24" s="941" t="s">
        <v>803</v>
      </c>
      <c r="E24" s="946">
        <f>MAX(E17-$E14/E20*E19,0)</f>
        <v>14719.286474946319</v>
      </c>
      <c r="F24" s="946">
        <f>MAX(F17-$E14/F20*F19,0)</f>
        <v>3030.4706478246399</v>
      </c>
      <c r="G24" s="946">
        <f>MAX(G17-$E14/G20*G19,0)</f>
        <v>0</v>
      </c>
      <c r="H24" s="946">
        <f>MAX(H17-$E14/H20*H19,0)</f>
        <v>0</v>
      </c>
    </row>
    <row r="25" spans="2:10">
      <c r="D25" s="941" t="s">
        <v>804</v>
      </c>
      <c r="E25" s="946">
        <f>IF(E24=0,E18+($E14*E19-E17*E20)/E21,0)</f>
        <v>0</v>
      </c>
      <c r="F25" s="946">
        <f>IF(F24=0,F18+($E14*F19-F17*F20)/F21,0)</f>
        <v>0</v>
      </c>
      <c r="G25" s="946">
        <f>IF(G24=0,G18+($E14*G19-G17*G20)/G21,0)</f>
        <v>0</v>
      </c>
      <c r="H25" s="946">
        <f>IF(H24=0,H18+($E14*H19-H17*H20)/H21,0)</f>
        <v>0</v>
      </c>
    </row>
    <row r="26" spans="2:10" ht="23" customHeight="1">
      <c r="D26" t="s">
        <v>741</v>
      </c>
      <c r="E26" s="332">
        <f>E22+(E23+E25)*E21-E24*E20</f>
        <v>16559.912430606317</v>
      </c>
      <c r="F26" s="332">
        <f>F22+(F23+F25)*F21-F24*F20</f>
        <v>5623.5809653939214</v>
      </c>
      <c r="G26" s="332">
        <f>G22+(G23+G25)*G21-G24*G20</f>
        <v>0</v>
      </c>
      <c r="H26" s="332">
        <f>H22+(H23+H25)*H21-H24*H20</f>
        <v>0</v>
      </c>
      <c r="I26" s="332">
        <f>SUM(E26:H26)</f>
        <v>22183.493396000238</v>
      </c>
      <c r="J26" t="s">
        <v>811</v>
      </c>
    </row>
    <row r="27" spans="2:10" ht="23" customHeight="1">
      <c r="D27" s="373" t="s">
        <v>845</v>
      </c>
      <c r="E27" s="333">
        <f>E24*E21</f>
        <v>46822050.276804239</v>
      </c>
      <c r="F27" s="333">
        <f>F24*F21</f>
        <v>4436609.0284152729</v>
      </c>
      <c r="G27" s="333">
        <f>G24*G21</f>
        <v>0</v>
      </c>
      <c r="H27" s="333">
        <f>H24*H21</f>
        <v>0</v>
      </c>
      <c r="I27" s="333"/>
    </row>
    <row r="28" spans="2:10">
      <c r="D28" t="s">
        <v>818</v>
      </c>
      <c r="E28" s="333">
        <f>E25*E21</f>
        <v>0</v>
      </c>
      <c r="F28" s="333">
        <f>F25*F21</f>
        <v>0</v>
      </c>
      <c r="G28" s="333">
        <f>G25*G21</f>
        <v>0</v>
      </c>
      <c r="H28" s="333">
        <f>H25*H21</f>
        <v>0</v>
      </c>
      <c r="J28" s="333">
        <f>SUM(E28:H28)</f>
        <v>0</v>
      </c>
    </row>
    <row r="29" spans="2:10">
      <c r="D29" t="s">
        <v>817</v>
      </c>
      <c r="E29" s="333">
        <f>E23*E21</f>
        <v>1806808</v>
      </c>
      <c r="F29" s="333">
        <f>F23*F21</f>
        <v>370941</v>
      </c>
      <c r="G29" s="333">
        <f>G23*G21</f>
        <v>0</v>
      </c>
      <c r="H29" s="333">
        <f>H23*H21</f>
        <v>0</v>
      </c>
      <c r="I29" s="677">
        <f>I26/E8</f>
        <v>0.99212358692981917</v>
      </c>
      <c r="J29" t="s">
        <v>810</v>
      </c>
    </row>
    <row r="30" spans="2:10">
      <c r="D30" s="373" t="s">
        <v>844</v>
      </c>
      <c r="E30" s="333">
        <f>E23-E24/(E21/E20)+E25</f>
        <v>1.8735971174493216</v>
      </c>
      <c r="F30" s="333">
        <f>F23-F24/(F21/F20)+F25</f>
        <v>0.8357793479466693</v>
      </c>
      <c r="G30" s="333">
        <f>G23-G24/(G21/G20)+G25</f>
        <v>0</v>
      </c>
      <c r="H30" s="333">
        <f>H23-H24/(H21/H20)+H25</f>
        <v>0</v>
      </c>
      <c r="I30" s="677">
        <f>E7</f>
        <v>0.96219931271477666</v>
      </c>
      <c r="J30" t="s">
        <v>823</v>
      </c>
    </row>
  </sheetData>
  <mergeCells count="2">
    <mergeCell ref="F10:G10"/>
    <mergeCell ref="F5:H5"/>
  </mergeCells>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C7B9A-B59B-454A-9759-037000A416B3}">
  <sheetPr codeName="Sheet15">
    <pageSetUpPr fitToPage="1"/>
  </sheetPr>
  <dimension ref="A1:F64"/>
  <sheetViews>
    <sheetView topLeftCell="A28" workbookViewId="0">
      <selection activeCell="E34" sqref="E34"/>
    </sheetView>
  </sheetViews>
  <sheetFormatPr defaultRowHeight="12.5"/>
  <cols>
    <col min="1" max="1" width="4.54296875" customWidth="1"/>
    <col min="2" max="2" width="5.26953125" style="127" customWidth="1"/>
    <col min="3" max="3" width="70.453125" customWidth="1"/>
    <col min="5" max="5" width="58.26953125" customWidth="1"/>
  </cols>
  <sheetData>
    <row r="1" spans="1:5" ht="13">
      <c r="A1" s="756"/>
      <c r="B1" s="757" t="s">
        <v>177</v>
      </c>
      <c r="C1" s="757" t="s">
        <v>190</v>
      </c>
      <c r="D1" s="757" t="s">
        <v>517</v>
      </c>
      <c r="E1" s="758" t="s">
        <v>696</v>
      </c>
    </row>
    <row r="2" spans="1:5" ht="15.5">
      <c r="A2" s="759">
        <v>2</v>
      </c>
      <c r="B2" s="760"/>
      <c r="C2" s="761" t="s">
        <v>590</v>
      </c>
      <c r="D2" s="762"/>
      <c r="E2" s="763"/>
    </row>
    <row r="3" spans="1:5">
      <c r="A3" s="759">
        <v>3</v>
      </c>
      <c r="B3" s="760"/>
      <c r="C3" s="762"/>
      <c r="D3" s="762"/>
      <c r="E3" s="763"/>
    </row>
    <row r="4" spans="1:5">
      <c r="A4" s="759">
        <v>4</v>
      </c>
      <c r="B4" s="760"/>
      <c r="C4" s="764" t="s">
        <v>103</v>
      </c>
      <c r="D4" s="762">
        <f>Calculations!AF7</f>
        <v>1</v>
      </c>
      <c r="E4" s="763"/>
    </row>
    <row r="5" spans="1:5">
      <c r="A5" s="759">
        <v>5</v>
      </c>
      <c r="B5" s="760"/>
      <c r="C5" s="765" t="s">
        <v>104</v>
      </c>
      <c r="D5" s="762">
        <f>Calculations!AF8</f>
        <v>0</v>
      </c>
      <c r="E5" s="763"/>
    </row>
    <row r="6" spans="1:5">
      <c r="A6" s="759">
        <v>6</v>
      </c>
      <c r="B6" s="760"/>
      <c r="C6" s="766" t="s">
        <v>276</v>
      </c>
      <c r="D6" s="767">
        <f>Calculations!AF10</f>
        <v>-2</v>
      </c>
      <c r="E6" s="763"/>
    </row>
    <row r="7" spans="1:5">
      <c r="A7" s="759">
        <v>7</v>
      </c>
      <c r="B7" s="760"/>
      <c r="C7" s="768" t="s">
        <v>30</v>
      </c>
      <c r="D7" s="767">
        <f>Calculations!AE8</f>
        <v>2</v>
      </c>
      <c r="E7" s="763"/>
    </row>
    <row r="8" spans="1:5" ht="12.75" customHeight="1">
      <c r="A8" s="759">
        <v>8</v>
      </c>
      <c r="B8" s="760"/>
      <c r="C8" s="761"/>
      <c r="D8" s="762"/>
      <c r="E8" s="763"/>
    </row>
    <row r="9" spans="1:5" ht="15" customHeight="1">
      <c r="A9" s="759">
        <v>9</v>
      </c>
      <c r="B9" s="760"/>
      <c r="C9" s="761" t="s">
        <v>601</v>
      </c>
      <c r="D9" s="762"/>
      <c r="E9" s="763"/>
    </row>
    <row r="10" spans="1:5" ht="12.75" customHeight="1">
      <c r="A10" s="759">
        <v>10</v>
      </c>
      <c r="B10" s="769" t="s">
        <v>667</v>
      </c>
      <c r="C10" s="764"/>
      <c r="D10" s="762"/>
      <c r="E10" s="763"/>
    </row>
    <row r="11" spans="1:5" ht="12.75" customHeight="1">
      <c r="A11" s="759">
        <v>11</v>
      </c>
      <c r="B11" s="760">
        <v>1</v>
      </c>
      <c r="C11" s="770" t="s">
        <v>607</v>
      </c>
      <c r="D11" s="771">
        <f>D7*E11</f>
        <v>4000</v>
      </c>
      <c r="E11" s="772">
        <f>Parameters!BO2</f>
        <v>2000</v>
      </c>
    </row>
    <row r="12" spans="1:5" ht="12.75" customHeight="1">
      <c r="A12" s="759">
        <v>12</v>
      </c>
      <c r="B12" s="760">
        <v>2</v>
      </c>
      <c r="C12" s="770" t="s">
        <v>606</v>
      </c>
      <c r="D12" s="771">
        <f>D6*E12</f>
        <v>-1000</v>
      </c>
      <c r="E12" s="772">
        <f>Parameters!BS2</f>
        <v>500</v>
      </c>
    </row>
    <row r="13" spans="1:5" ht="12.75" customHeight="1">
      <c r="A13" s="759">
        <v>13</v>
      </c>
      <c r="B13" s="760">
        <v>3</v>
      </c>
      <c r="C13" s="770" t="s">
        <v>602</v>
      </c>
      <c r="D13" s="771">
        <f>D11+D12</f>
        <v>3000</v>
      </c>
      <c r="E13" s="763"/>
    </row>
    <row r="14" spans="1:5" ht="12.75" customHeight="1">
      <c r="A14" s="759">
        <v>14</v>
      </c>
      <c r="B14" s="760">
        <v>4</v>
      </c>
      <c r="C14" s="770" t="s">
        <v>603</v>
      </c>
      <c r="D14" s="771">
        <f>Calculations!U4</f>
        <v>144838.05674999999</v>
      </c>
      <c r="E14" s="772">
        <f>Parameters!BL2</f>
        <v>400000</v>
      </c>
    </row>
    <row r="15" spans="1:5" ht="12.75" customHeight="1">
      <c r="A15" s="759">
        <v>15</v>
      </c>
      <c r="B15" s="760">
        <v>5</v>
      </c>
      <c r="C15" s="770" t="s">
        <v>608</v>
      </c>
      <c r="D15" s="771">
        <f>IF(Calculations!P5=2,E14,E15)</f>
        <v>200000</v>
      </c>
      <c r="E15" s="772">
        <f>Parameters!BN2</f>
        <v>200000</v>
      </c>
    </row>
    <row r="16" spans="1:5" ht="12.75" customHeight="1">
      <c r="A16" s="759">
        <v>16</v>
      </c>
      <c r="B16" s="760">
        <v>6</v>
      </c>
      <c r="C16" s="764" t="s">
        <v>604</v>
      </c>
      <c r="D16" s="771"/>
      <c r="E16" s="763"/>
    </row>
    <row r="17" spans="1:5" ht="12.75" customHeight="1">
      <c r="A17" s="759">
        <v>17</v>
      </c>
      <c r="B17" s="760"/>
      <c r="C17" s="770" t="s">
        <v>663</v>
      </c>
      <c r="D17" s="771"/>
      <c r="E17" s="763"/>
    </row>
    <row r="18" spans="1:5" ht="12.75" customHeight="1">
      <c r="A18" s="759">
        <v>18</v>
      </c>
      <c r="B18" s="760"/>
      <c r="C18" s="770" t="s">
        <v>664</v>
      </c>
      <c r="D18" s="771">
        <f>IF(D14&gt;D15,D14-D15,0)</f>
        <v>0</v>
      </c>
      <c r="E18" s="773" t="s">
        <v>665</v>
      </c>
    </row>
    <row r="19" spans="1:5" ht="27" customHeight="1">
      <c r="A19" s="759">
        <v>19</v>
      </c>
      <c r="B19" s="760"/>
      <c r="C19" s="774" t="s">
        <v>610</v>
      </c>
      <c r="D19" s="771">
        <f>ROUNDUP(D18,-3)</f>
        <v>0</v>
      </c>
      <c r="E19" s="773" t="s">
        <v>666</v>
      </c>
    </row>
    <row r="20" spans="1:5" ht="12.75" customHeight="1">
      <c r="A20" s="759">
        <v>20</v>
      </c>
      <c r="B20" s="760">
        <v>7</v>
      </c>
      <c r="C20" s="770" t="s">
        <v>609</v>
      </c>
      <c r="D20" s="771">
        <f>IF(D19&gt;0,D19*0.05,0)</f>
        <v>0</v>
      </c>
      <c r="E20" s="773" t="s">
        <v>668</v>
      </c>
    </row>
    <row r="21" spans="1:5" ht="12.75" customHeight="1">
      <c r="A21" s="759">
        <v>21</v>
      </c>
      <c r="B21" s="760">
        <v>8</v>
      </c>
      <c r="C21" s="764" t="s">
        <v>605</v>
      </c>
      <c r="D21" s="771">
        <f>MAX(0,D13-D20)</f>
        <v>3000</v>
      </c>
      <c r="E21" s="773" t="s">
        <v>669</v>
      </c>
    </row>
    <row r="22" spans="1:5" ht="12.75" customHeight="1">
      <c r="A22" s="759">
        <v>22</v>
      </c>
      <c r="B22" s="760"/>
      <c r="C22" s="770" t="s">
        <v>670</v>
      </c>
      <c r="D22" s="762"/>
      <c r="E22" s="763"/>
    </row>
    <row r="23" spans="1:5" ht="12.75" customHeight="1">
      <c r="A23" s="759">
        <v>23</v>
      </c>
      <c r="B23" s="760"/>
      <c r="C23" s="770" t="s">
        <v>671</v>
      </c>
      <c r="D23" s="762"/>
      <c r="E23" s="763"/>
    </row>
    <row r="24" spans="1:5" ht="12.75" customHeight="1">
      <c r="A24" s="759">
        <v>24</v>
      </c>
      <c r="B24" s="760">
        <v>9</v>
      </c>
      <c r="C24" s="775" t="s">
        <v>613</v>
      </c>
      <c r="D24" s="776">
        <f>Calculations!U9</f>
        <v>25359.606895999998</v>
      </c>
      <c r="E24" s="777" t="s">
        <v>672</v>
      </c>
    </row>
    <row r="25" spans="1:5" ht="12.75" customHeight="1">
      <c r="A25" s="759">
        <v>25</v>
      </c>
      <c r="B25" s="760">
        <v>10</v>
      </c>
      <c r="C25" s="775" t="s">
        <v>614</v>
      </c>
      <c r="D25" s="776">
        <f>Calculations!AA10+Calculations!AA14+'Ed''n Credits'!F36</f>
        <v>0</v>
      </c>
      <c r="E25" s="777" t="s">
        <v>673</v>
      </c>
    </row>
    <row r="26" spans="1:5" ht="12.75" customHeight="1">
      <c r="A26" s="759">
        <v>26</v>
      </c>
      <c r="B26" s="760">
        <v>11</v>
      </c>
      <c r="C26" s="764" t="s">
        <v>642</v>
      </c>
      <c r="D26" s="776">
        <f>MAX(D24-D25,0)</f>
        <v>25359.606895999998</v>
      </c>
      <c r="E26" s="773" t="s">
        <v>674</v>
      </c>
    </row>
    <row r="27" spans="1:5" ht="12.75" customHeight="1">
      <c r="A27" s="759">
        <v>27</v>
      </c>
      <c r="B27" s="760">
        <v>12</v>
      </c>
      <c r="C27" s="764" t="s">
        <v>643</v>
      </c>
      <c r="D27" s="778">
        <f>IF(D21&gt;D26,D26,D21)</f>
        <v>3000</v>
      </c>
      <c r="E27" s="773" t="s">
        <v>676</v>
      </c>
    </row>
    <row r="28" spans="1:5" ht="26.25" customHeight="1">
      <c r="A28" s="759">
        <v>28</v>
      </c>
      <c r="B28" s="760"/>
      <c r="C28" s="779" t="s">
        <v>1198</v>
      </c>
      <c r="D28" s="776"/>
      <c r="E28" s="780" t="s">
        <v>644</v>
      </c>
    </row>
    <row r="29" spans="1:5" ht="12.75" customHeight="1">
      <c r="A29" s="759">
        <v>29</v>
      </c>
      <c r="B29" s="760"/>
      <c r="C29" s="770" t="s">
        <v>675</v>
      </c>
      <c r="D29" s="776"/>
      <c r="E29" s="763"/>
    </row>
    <row r="30" spans="1:5" ht="12.75" customHeight="1">
      <c r="A30" s="759">
        <v>30</v>
      </c>
      <c r="B30" s="760"/>
      <c r="C30" s="764"/>
      <c r="D30" s="762"/>
      <c r="E30" s="763"/>
    </row>
    <row r="31" spans="1:5" ht="15.5">
      <c r="A31" s="759">
        <v>31</v>
      </c>
      <c r="B31" s="760"/>
      <c r="C31" s="761" t="s">
        <v>611</v>
      </c>
      <c r="D31" s="762"/>
      <c r="E31" s="763"/>
    </row>
    <row r="32" spans="1:5" ht="15.5">
      <c r="A32" s="759">
        <v>32</v>
      </c>
      <c r="B32" s="760"/>
      <c r="C32" s="761"/>
      <c r="D32" s="762"/>
      <c r="E32" s="763"/>
    </row>
    <row r="33" spans="1:6" ht="13">
      <c r="A33" s="759">
        <v>33</v>
      </c>
      <c r="B33" s="760"/>
      <c r="C33" s="781" t="s">
        <v>600</v>
      </c>
      <c r="D33" s="762"/>
      <c r="E33" s="763"/>
    </row>
    <row r="34" spans="1:6">
      <c r="A34" s="759">
        <v>34</v>
      </c>
      <c r="B34" s="760">
        <v>1</v>
      </c>
      <c r="C34" s="782" t="s">
        <v>612</v>
      </c>
      <c r="D34" s="771">
        <f>D21</f>
        <v>3000</v>
      </c>
      <c r="E34" s="773" t="s">
        <v>677</v>
      </c>
    </row>
    <row r="35" spans="1:6">
      <c r="A35" s="759">
        <v>35</v>
      </c>
      <c r="B35" s="760">
        <v>2</v>
      </c>
      <c r="C35" s="782" t="s">
        <v>645</v>
      </c>
      <c r="D35" s="771">
        <f>D27</f>
        <v>3000</v>
      </c>
      <c r="E35" s="773" t="s">
        <v>678</v>
      </c>
    </row>
    <row r="36" spans="1:6">
      <c r="A36" s="759">
        <v>36</v>
      </c>
      <c r="B36" s="760">
        <v>3</v>
      </c>
      <c r="C36" s="762" t="s">
        <v>591</v>
      </c>
      <c r="D36" s="771">
        <f>MAX(0,D34-D35)</f>
        <v>0</v>
      </c>
      <c r="E36" s="773" t="s">
        <v>679</v>
      </c>
    </row>
    <row r="37" spans="1:6">
      <c r="A37" s="759">
        <v>37</v>
      </c>
      <c r="B37" s="760">
        <v>4</v>
      </c>
      <c r="C37" s="762" t="s">
        <v>646</v>
      </c>
      <c r="D37" s="771">
        <f>D7*F37</f>
        <v>3000</v>
      </c>
      <c r="E37" s="1050" t="s">
        <v>1199</v>
      </c>
      <c r="F37" s="1051">
        <v>1500</v>
      </c>
    </row>
    <row r="38" spans="1:6">
      <c r="A38" s="759">
        <v>38</v>
      </c>
      <c r="B38" s="760">
        <v>5</v>
      </c>
      <c r="C38" s="762" t="s">
        <v>592</v>
      </c>
      <c r="D38" s="771">
        <f>MIN(D36,D37)</f>
        <v>0</v>
      </c>
      <c r="E38" s="773" t="s">
        <v>680</v>
      </c>
    </row>
    <row r="39" spans="1:6">
      <c r="A39" s="759">
        <v>39</v>
      </c>
      <c r="B39" s="760" t="s">
        <v>594</v>
      </c>
      <c r="C39" s="762" t="s">
        <v>593</v>
      </c>
      <c r="D39" s="771">
        <f>Calculations!U2</f>
        <v>143000</v>
      </c>
      <c r="E39" s="763"/>
    </row>
    <row r="40" spans="1:6">
      <c r="A40" s="759">
        <v>40</v>
      </c>
      <c r="B40" s="760" t="s">
        <v>596</v>
      </c>
      <c r="C40" s="762" t="s">
        <v>595</v>
      </c>
      <c r="D40" s="771">
        <v>0</v>
      </c>
      <c r="E40" s="777" t="s">
        <v>681</v>
      </c>
    </row>
    <row r="41" spans="1:6">
      <c r="A41" s="759">
        <v>41</v>
      </c>
      <c r="B41" s="760">
        <v>7</v>
      </c>
      <c r="C41" s="762" t="s">
        <v>597</v>
      </c>
      <c r="D41" s="771">
        <f>IF(D39&gt;2500,D39-2500,0)</f>
        <v>140500</v>
      </c>
      <c r="E41" s="773" t="s">
        <v>682</v>
      </c>
    </row>
    <row r="42" spans="1:6">
      <c r="A42" s="759">
        <v>42</v>
      </c>
      <c r="B42" s="760"/>
      <c r="C42" s="782" t="s">
        <v>683</v>
      </c>
      <c r="D42" s="771"/>
      <c r="E42" s="763"/>
    </row>
    <row r="43" spans="1:6">
      <c r="A43" s="759">
        <v>43</v>
      </c>
      <c r="B43" s="760"/>
      <c r="C43" s="782" t="s">
        <v>684</v>
      </c>
      <c r="D43" s="771"/>
      <c r="E43" s="763"/>
    </row>
    <row r="44" spans="1:6">
      <c r="A44" s="759">
        <v>44</v>
      </c>
      <c r="B44" s="762">
        <v>8</v>
      </c>
      <c r="C44" s="762" t="s">
        <v>598</v>
      </c>
      <c r="D44" s="771">
        <f>D41*0.15</f>
        <v>21075</v>
      </c>
      <c r="E44" s="773" t="s">
        <v>685</v>
      </c>
    </row>
    <row r="45" spans="1:6">
      <c r="A45" s="759">
        <v>45</v>
      </c>
      <c r="B45" s="760"/>
      <c r="C45" s="762" t="s">
        <v>599</v>
      </c>
      <c r="D45" s="762" t="b">
        <f>IF(D37&gt;=4200,TRUE,FALSE)</f>
        <v>0</v>
      </c>
      <c r="E45" s="773" t="s">
        <v>686</v>
      </c>
    </row>
    <row r="46" spans="1:6" ht="25">
      <c r="A46" s="759">
        <v>46</v>
      </c>
      <c r="B46" s="760"/>
      <c r="C46" s="783" t="s">
        <v>687</v>
      </c>
      <c r="D46" s="791">
        <f>IF(D45=FALSE,IF(D44=0,0,MIN(D38,D44)),IF(D44&gt;=D38,D38,D55))</f>
        <v>0</v>
      </c>
      <c r="E46" s="773" t="s">
        <v>689</v>
      </c>
    </row>
    <row r="47" spans="1:6" ht="25">
      <c r="A47" s="759">
        <v>47</v>
      </c>
      <c r="B47" s="760"/>
      <c r="C47" s="783" t="s">
        <v>688</v>
      </c>
      <c r="D47" s="792"/>
      <c r="E47" s="763"/>
    </row>
    <row r="48" spans="1:6">
      <c r="A48" s="759">
        <v>48</v>
      </c>
      <c r="B48" s="760"/>
      <c r="C48" s="762"/>
      <c r="D48" s="762"/>
      <c r="E48" s="763"/>
    </row>
    <row r="49" spans="1:5" ht="13">
      <c r="A49" s="759">
        <v>49</v>
      </c>
      <c r="B49" s="760"/>
      <c r="C49" s="781" t="s">
        <v>647</v>
      </c>
      <c r="D49" s="762"/>
      <c r="E49" s="763"/>
    </row>
    <row r="50" spans="1:5" ht="27" customHeight="1">
      <c r="A50" s="759">
        <v>50</v>
      </c>
      <c r="B50" s="784">
        <v>9</v>
      </c>
      <c r="C50" s="785" t="s">
        <v>648</v>
      </c>
      <c r="D50" s="776">
        <f>FICA!F9</f>
        <v>10710</v>
      </c>
      <c r="E50" s="777" t="s">
        <v>690</v>
      </c>
    </row>
    <row r="51" spans="1:5" ht="50">
      <c r="A51" s="759">
        <v>51</v>
      </c>
      <c r="B51" s="784">
        <v>10</v>
      </c>
      <c r="C51" s="783" t="s">
        <v>659</v>
      </c>
      <c r="D51" s="776">
        <v>0</v>
      </c>
      <c r="E51" s="777" t="s">
        <v>660</v>
      </c>
    </row>
    <row r="52" spans="1:5">
      <c r="A52" s="759">
        <v>52</v>
      </c>
      <c r="B52" s="784">
        <v>11</v>
      </c>
      <c r="C52" s="762" t="s">
        <v>649</v>
      </c>
      <c r="D52" s="776">
        <f>D50+D51</f>
        <v>10710</v>
      </c>
      <c r="E52" s="763"/>
    </row>
    <row r="53" spans="1:5" ht="25">
      <c r="A53" s="759">
        <v>53</v>
      </c>
      <c r="B53" s="784">
        <v>12</v>
      </c>
      <c r="C53" s="783" t="s">
        <v>658</v>
      </c>
      <c r="D53" s="776">
        <f>EITC!E42</f>
        <v>0</v>
      </c>
      <c r="E53" s="777" t="s">
        <v>691</v>
      </c>
    </row>
    <row r="54" spans="1:5">
      <c r="A54" s="759">
        <v>54</v>
      </c>
      <c r="B54" s="784">
        <v>13</v>
      </c>
      <c r="C54" s="762" t="s">
        <v>650</v>
      </c>
      <c r="D54" s="776">
        <f>MAX(0,D52-D53)</f>
        <v>10710</v>
      </c>
      <c r="E54" s="773" t="s">
        <v>692</v>
      </c>
    </row>
    <row r="55" spans="1:5">
      <c r="A55" s="759">
        <v>55</v>
      </c>
      <c r="B55" s="784">
        <v>14</v>
      </c>
      <c r="C55" s="762" t="s">
        <v>651</v>
      </c>
      <c r="D55" s="776">
        <f>MAX(D44,D54)</f>
        <v>21075</v>
      </c>
      <c r="E55" s="773" t="s">
        <v>693</v>
      </c>
    </row>
    <row r="56" spans="1:5">
      <c r="A56" s="759">
        <v>56</v>
      </c>
      <c r="B56" s="784"/>
      <c r="C56" s="762"/>
      <c r="D56" s="776"/>
      <c r="E56" s="763"/>
    </row>
    <row r="57" spans="1:5" ht="13">
      <c r="A57" s="759">
        <v>57</v>
      </c>
      <c r="B57" s="784"/>
      <c r="C57" s="781" t="s">
        <v>695</v>
      </c>
      <c r="D57" s="776"/>
      <c r="E57" s="763"/>
    </row>
    <row r="58" spans="1:5" ht="13">
      <c r="A58" s="786">
        <v>58</v>
      </c>
      <c r="B58" s="787">
        <v>15</v>
      </c>
      <c r="C58" s="788" t="s">
        <v>652</v>
      </c>
      <c r="D58" s="789">
        <f>MIN(D38,D55)</f>
        <v>0</v>
      </c>
      <c r="E58" s="790" t="s">
        <v>694</v>
      </c>
    </row>
    <row r="59" spans="1:5">
      <c r="B59" s="747"/>
      <c r="D59" s="333"/>
    </row>
    <row r="60" spans="1:5">
      <c r="B60" s="747"/>
      <c r="C60" t="s">
        <v>816</v>
      </c>
      <c r="D60" s="333">
        <f>D27+D58</f>
        <v>3000</v>
      </c>
    </row>
    <row r="61" spans="1:5">
      <c r="B61" s="747"/>
      <c r="C61" t="s">
        <v>815</v>
      </c>
      <c r="D61" s="333">
        <v>1000</v>
      </c>
    </row>
    <row r="62" spans="1:5">
      <c r="B62" s="747"/>
    </row>
    <row r="63" spans="1:5">
      <c r="B63" s="747"/>
    </row>
    <row r="64" spans="1:5">
      <c r="B64" s="747"/>
    </row>
  </sheetData>
  <printOptions horizontalCentered="1"/>
  <pageMargins left="0.5" right="0.5" top="1" bottom="0.5" header="0.3" footer="0.3"/>
  <pageSetup scale="65"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D2B4B-A20F-4760-80C2-BDD1D8613A87}">
  <sheetPr codeName="Sheet16">
    <pageSetUpPr fitToPage="1"/>
  </sheetPr>
  <dimension ref="A1:H9"/>
  <sheetViews>
    <sheetView workbookViewId="0">
      <selection activeCell="H13" sqref="H13"/>
    </sheetView>
  </sheetViews>
  <sheetFormatPr defaultRowHeight="12.5"/>
  <cols>
    <col min="1" max="1" width="4.26953125" customWidth="1"/>
    <col min="2" max="2" width="4.81640625" customWidth="1"/>
    <col min="3" max="3" width="35" customWidth="1"/>
    <col min="4" max="4" width="10.7265625" bestFit="1" customWidth="1"/>
    <col min="7" max="7" width="40.7265625" customWidth="1"/>
  </cols>
  <sheetData>
    <row r="1" spans="1:8" ht="13">
      <c r="A1" s="756"/>
      <c r="B1" s="757" t="s">
        <v>177</v>
      </c>
      <c r="C1" s="757" t="s">
        <v>190</v>
      </c>
      <c r="D1" s="757" t="s">
        <v>517</v>
      </c>
      <c r="E1" s="757" t="s">
        <v>190</v>
      </c>
      <c r="F1" s="757" t="s">
        <v>517</v>
      </c>
      <c r="G1" s="758" t="s">
        <v>696</v>
      </c>
    </row>
    <row r="2" spans="1:8" ht="13">
      <c r="A2" s="759">
        <v>2</v>
      </c>
      <c r="B2" s="762"/>
      <c r="C2" s="781" t="s">
        <v>697</v>
      </c>
      <c r="D2" s="762"/>
      <c r="E2" s="762"/>
      <c r="F2" s="762"/>
      <c r="G2" s="763"/>
    </row>
    <row r="3" spans="1:8">
      <c r="A3" s="759">
        <v>3</v>
      </c>
      <c r="B3" s="762"/>
      <c r="C3" s="762"/>
      <c r="D3" s="762"/>
      <c r="E3" s="762"/>
      <c r="F3" s="762"/>
      <c r="G3" s="763"/>
    </row>
    <row r="4" spans="1:8" ht="13">
      <c r="A4" s="759">
        <v>4</v>
      </c>
      <c r="B4" s="769" t="s">
        <v>667</v>
      </c>
      <c r="C4" s="762"/>
      <c r="D4" s="793" t="s">
        <v>450</v>
      </c>
      <c r="E4" s="793" t="s">
        <v>448</v>
      </c>
      <c r="F4" s="793" t="s">
        <v>115</v>
      </c>
      <c r="G4" s="763"/>
    </row>
    <row r="5" spans="1:8">
      <c r="A5" s="759">
        <v>5</v>
      </c>
      <c r="B5" s="762">
        <v>1</v>
      </c>
      <c r="C5" s="782" t="s">
        <v>653</v>
      </c>
      <c r="D5" s="776">
        <f>SUM('Input &amp; Results'!H13:H17)+SUM('Input &amp; Results'!O31:O32)-SUM('Input &amp; Results'!M31:M32)-SUM('Input &amp; Results'!N31:N32)</f>
        <v>140000</v>
      </c>
      <c r="E5" s="776">
        <f>SUM('Input &amp; Results'!H23:H27)+SUM('Input &amp; Results'!O38:O39)-SUM('Input &amp; Results'!M38:M39)-SUM('Input &amp; Results'!N38:N39)</f>
        <v>0</v>
      </c>
      <c r="F5" s="776">
        <f>D5+E5</f>
        <v>140000</v>
      </c>
      <c r="G5" s="763"/>
      <c r="H5" s="373" t="s">
        <v>1207</v>
      </c>
    </row>
    <row r="6" spans="1:8">
      <c r="A6" s="759">
        <v>6</v>
      </c>
      <c r="B6" s="762">
        <v>2</v>
      </c>
      <c r="C6" s="782" t="s">
        <v>655</v>
      </c>
      <c r="D6" s="776">
        <f>MIN(D5,'S.E. Tax'!$E$6)*H6</f>
        <v>8680</v>
      </c>
      <c r="E6" s="776">
        <f>MIN(E5,'S.E. Tax'!$E$6)*H6</f>
        <v>0</v>
      </c>
      <c r="F6" s="776">
        <f>D6+E6</f>
        <v>8680</v>
      </c>
      <c r="G6" s="773" t="s">
        <v>700</v>
      </c>
      <c r="H6" s="1060">
        <f>Parameters!CS2</f>
        <v>6.2E-2</v>
      </c>
    </row>
    <row r="7" spans="1:8">
      <c r="A7" s="759">
        <v>7</v>
      </c>
      <c r="B7" s="762">
        <v>3</v>
      </c>
      <c r="C7" s="794" t="s">
        <v>654</v>
      </c>
      <c r="D7" s="776">
        <f>D5*H7</f>
        <v>2030</v>
      </c>
      <c r="E7" s="776">
        <f>E5*H7</f>
        <v>0</v>
      </c>
      <c r="F7" s="776">
        <f>D7+E7</f>
        <v>2030</v>
      </c>
      <c r="G7" s="773" t="s">
        <v>701</v>
      </c>
      <c r="H7" s="1061">
        <f>Parameters!CT2</f>
        <v>1.4500000000000001E-2</v>
      </c>
    </row>
    <row r="8" spans="1:8">
      <c r="A8" s="759">
        <v>8</v>
      </c>
      <c r="B8" s="762">
        <v>4</v>
      </c>
      <c r="C8" s="794" t="s">
        <v>656</v>
      </c>
      <c r="D8" s="762"/>
      <c r="E8" s="762"/>
      <c r="F8" s="776">
        <f>Calculations!U12</f>
        <v>0</v>
      </c>
      <c r="G8" s="777" t="s">
        <v>698</v>
      </c>
    </row>
    <row r="9" spans="1:8" ht="13">
      <c r="A9" s="786">
        <v>9</v>
      </c>
      <c r="B9" s="788">
        <v>5</v>
      </c>
      <c r="C9" s="795" t="s">
        <v>657</v>
      </c>
      <c r="D9" s="788"/>
      <c r="E9" s="788"/>
      <c r="F9" s="796">
        <f>SUM(F6:F8)</f>
        <v>10710</v>
      </c>
      <c r="G9" s="797" t="s">
        <v>699</v>
      </c>
    </row>
  </sheetData>
  <printOptions horizontalCentered="1"/>
  <pageMargins left="0.5" right="0.5" top="1" bottom="0.75" header="0.3" footer="0.3"/>
  <pageSetup scale="85"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694E6-C53A-406F-947E-0272B5CAA60E}">
  <sheetPr codeName="Sheet17">
    <pageSetUpPr fitToPage="1"/>
  </sheetPr>
  <dimension ref="A1:G37"/>
  <sheetViews>
    <sheetView zoomScale="90" zoomScaleNormal="90" workbookViewId="0">
      <selection activeCell="F7" sqref="F7"/>
    </sheetView>
  </sheetViews>
  <sheetFormatPr defaultRowHeight="12.5"/>
  <cols>
    <col min="1" max="1" width="4.54296875" customWidth="1"/>
    <col min="2" max="2" width="4.7265625" customWidth="1"/>
    <col min="3" max="3" width="4.54296875" customWidth="1"/>
    <col min="4" max="4" width="24.7265625" customWidth="1"/>
    <col min="5" max="5" width="59.54296875" customWidth="1"/>
    <col min="7" max="7" width="54.1796875" customWidth="1"/>
  </cols>
  <sheetData>
    <row r="1" spans="1:7" ht="13">
      <c r="A1" s="756"/>
      <c r="B1" s="757" t="s">
        <v>177</v>
      </c>
      <c r="C1" s="757" t="s">
        <v>190</v>
      </c>
      <c r="D1" s="757"/>
      <c r="E1" s="757" t="s">
        <v>517</v>
      </c>
      <c r="F1" s="757" t="s">
        <v>518</v>
      </c>
      <c r="G1" s="758" t="s">
        <v>696</v>
      </c>
    </row>
    <row r="2" spans="1:7" ht="15.5">
      <c r="A2" s="759">
        <v>1</v>
      </c>
      <c r="B2" s="761" t="s">
        <v>615</v>
      </c>
      <c r="E2" s="769" t="s">
        <v>155</v>
      </c>
      <c r="F2" s="762">
        <f>Calculations!Q5</f>
        <v>1</v>
      </c>
      <c r="G2" s="971" t="s">
        <v>849</v>
      </c>
    </row>
    <row r="3" spans="1:7" ht="15.5">
      <c r="A3" s="759">
        <v>2</v>
      </c>
      <c r="B3" s="769"/>
      <c r="C3" s="761"/>
      <c r="D3" s="761"/>
      <c r="E3" s="769" t="s">
        <v>826</v>
      </c>
      <c r="F3" s="970">
        <f>'Input &amp; Results'!H10</f>
        <v>0</v>
      </c>
      <c r="G3" s="971" t="s">
        <v>850</v>
      </c>
    </row>
    <row r="4" spans="1:7" ht="15.5">
      <c r="A4" s="759">
        <v>3</v>
      </c>
      <c r="B4" s="769" t="s">
        <v>667</v>
      </c>
      <c r="C4" s="761"/>
      <c r="D4" s="781"/>
      <c r="E4" s="769" t="s">
        <v>851</v>
      </c>
      <c r="F4" s="970">
        <f>IF(F2=2,2+F3,1+F3)</f>
        <v>1</v>
      </c>
      <c r="G4" s="971" t="s">
        <v>854</v>
      </c>
    </row>
    <row r="5" spans="1:7" ht="13.5" thickBot="1">
      <c r="A5" s="759">
        <v>4</v>
      </c>
      <c r="B5" s="762"/>
      <c r="C5" s="781" t="s">
        <v>616</v>
      </c>
      <c r="D5" s="781"/>
      <c r="E5" s="769" t="s">
        <v>847</v>
      </c>
      <c r="F5" s="974">
        <f>MIN('Input &amp; Results'!E40,F4)</f>
        <v>0</v>
      </c>
      <c r="G5" s="971" t="s">
        <v>853</v>
      </c>
    </row>
    <row r="6" spans="1:7" ht="16" customHeight="1" thickBot="1">
      <c r="A6" s="759">
        <v>5</v>
      </c>
      <c r="B6" s="762">
        <v>1</v>
      </c>
      <c r="C6" s="782" t="s">
        <v>617</v>
      </c>
      <c r="D6" s="782"/>
      <c r="E6" s="762"/>
      <c r="F6" s="846">
        <f>MIN('Input &amp; Results'!H40,2500*F5)</f>
        <v>0</v>
      </c>
      <c r="G6" s="971" t="s">
        <v>852</v>
      </c>
    </row>
    <row r="7" spans="1:7">
      <c r="A7" s="759">
        <v>6</v>
      </c>
      <c r="B7" s="762">
        <v>2</v>
      </c>
      <c r="C7" s="782" t="s">
        <v>618</v>
      </c>
      <c r="D7" s="782"/>
      <c r="E7" s="762"/>
      <c r="F7" s="771">
        <f>IF(Calculations!P5=2,180000,90000)</f>
        <v>90000</v>
      </c>
      <c r="G7" s="763"/>
    </row>
    <row r="8" spans="1:7">
      <c r="A8" s="759">
        <v>7</v>
      </c>
      <c r="B8" s="762">
        <v>3</v>
      </c>
      <c r="C8" s="782" t="s">
        <v>619</v>
      </c>
      <c r="D8" s="782"/>
      <c r="E8" s="762"/>
      <c r="F8" s="771">
        <f>Calculations!U4</f>
        <v>144838.05674999999</v>
      </c>
      <c r="G8" s="763"/>
    </row>
    <row r="9" spans="1:7">
      <c r="A9" s="759">
        <v>8</v>
      </c>
      <c r="B9" s="762">
        <v>4</v>
      </c>
      <c r="C9" s="782" t="s">
        <v>620</v>
      </c>
      <c r="D9" s="782"/>
      <c r="E9" s="762"/>
      <c r="F9" s="771">
        <f>MAX(0,F7-F8)</f>
        <v>0</v>
      </c>
      <c r="G9" s="773" t="s">
        <v>704</v>
      </c>
    </row>
    <row r="10" spans="1:7">
      <c r="A10" s="759">
        <v>9</v>
      </c>
      <c r="B10" s="762">
        <v>5</v>
      </c>
      <c r="C10" s="782" t="s">
        <v>621</v>
      </c>
      <c r="D10" s="782"/>
      <c r="E10" s="762"/>
      <c r="F10" s="771">
        <f>IF(Calculations!P5=2,20000,10000)</f>
        <v>10000</v>
      </c>
      <c r="G10" s="763"/>
    </row>
    <row r="11" spans="1:7">
      <c r="A11" s="759">
        <v>10</v>
      </c>
      <c r="B11" s="762">
        <v>6</v>
      </c>
      <c r="C11" s="782" t="s">
        <v>622</v>
      </c>
      <c r="D11" s="782"/>
      <c r="E11" s="762"/>
      <c r="F11" s="798">
        <f>MIN(F9/F10,1)</f>
        <v>0</v>
      </c>
      <c r="G11" s="773" t="s">
        <v>705</v>
      </c>
    </row>
    <row r="12" spans="1:7" ht="13" thickBot="1">
      <c r="A12" s="759">
        <v>11</v>
      </c>
      <c r="B12" s="762">
        <v>7</v>
      </c>
      <c r="C12" s="782" t="s">
        <v>623</v>
      </c>
      <c r="D12" s="782"/>
      <c r="E12" s="762"/>
      <c r="F12" s="842">
        <f>IF(Calculations!P3=1,0,F6*F11)</f>
        <v>0</v>
      </c>
      <c r="G12" s="773" t="s">
        <v>706</v>
      </c>
    </row>
    <row r="13" spans="1:7" ht="13.5" thickBot="1">
      <c r="A13" s="759">
        <v>12</v>
      </c>
      <c r="B13" s="762">
        <v>8</v>
      </c>
      <c r="C13" s="782" t="s">
        <v>716</v>
      </c>
      <c r="D13" s="972"/>
      <c r="E13" s="840"/>
      <c r="F13" s="843">
        <f>F12*0.4</f>
        <v>0</v>
      </c>
      <c r="G13" s="841" t="s">
        <v>707</v>
      </c>
    </row>
    <row r="14" spans="1:7" ht="27" customHeight="1">
      <c r="A14" s="759"/>
      <c r="B14" s="762"/>
      <c r="C14" s="782"/>
      <c r="D14" s="782"/>
      <c r="E14" s="762"/>
      <c r="F14" s="1133" t="s">
        <v>750</v>
      </c>
      <c r="G14" s="1134"/>
    </row>
    <row r="15" spans="1:7" ht="19.5" customHeight="1">
      <c r="A15" s="759">
        <v>13</v>
      </c>
      <c r="B15" s="762"/>
      <c r="C15" s="781" t="s">
        <v>626</v>
      </c>
      <c r="D15" s="781"/>
      <c r="E15" s="762"/>
      <c r="F15" s="771"/>
      <c r="G15" s="763"/>
    </row>
    <row r="16" spans="1:7" ht="12.75" customHeight="1" thickBot="1">
      <c r="A16" s="759">
        <v>14</v>
      </c>
      <c r="B16" s="762">
        <v>9</v>
      </c>
      <c r="C16" s="762" t="s">
        <v>625</v>
      </c>
      <c r="D16" s="762"/>
      <c r="E16" s="762"/>
      <c r="F16" s="842">
        <f>F12-F13</f>
        <v>0</v>
      </c>
      <c r="G16" s="799" t="s">
        <v>702</v>
      </c>
    </row>
    <row r="17" spans="1:7" ht="51" thickBot="1">
      <c r="A17" s="759">
        <v>15</v>
      </c>
      <c r="B17" s="762">
        <v>10</v>
      </c>
      <c r="C17" s="782" t="s">
        <v>739</v>
      </c>
      <c r="D17" s="972"/>
      <c r="E17" s="840"/>
      <c r="F17" s="846">
        <f>IF(OR(Calculations!P5=3,AND(Calculations!P5=1,'Input &amp; Results'!H10=0)),0,'Input &amp; Results'!H41)</f>
        <v>0</v>
      </c>
      <c r="G17" s="844" t="s">
        <v>749</v>
      </c>
    </row>
    <row r="18" spans="1:7">
      <c r="A18" s="759">
        <v>16</v>
      </c>
      <c r="B18" s="762">
        <v>11</v>
      </c>
      <c r="C18" s="762" t="s">
        <v>627</v>
      </c>
      <c r="D18" s="762"/>
      <c r="E18" s="762"/>
      <c r="F18" s="845">
        <f>MIN(F17,10000)</f>
        <v>0</v>
      </c>
      <c r="G18" s="799" t="s">
        <v>703</v>
      </c>
    </row>
    <row r="19" spans="1:7">
      <c r="A19" s="759">
        <v>17</v>
      </c>
      <c r="B19" s="762">
        <v>12</v>
      </c>
      <c r="C19" s="762" t="s">
        <v>628</v>
      </c>
      <c r="D19" s="762"/>
      <c r="E19" s="762"/>
      <c r="F19" s="771">
        <f>F18*0.2</f>
        <v>0</v>
      </c>
      <c r="G19" s="773" t="s">
        <v>708</v>
      </c>
    </row>
    <row r="20" spans="1:7">
      <c r="A20" s="759">
        <v>18</v>
      </c>
      <c r="B20" s="762">
        <v>13</v>
      </c>
      <c r="C20" s="762" t="s">
        <v>629</v>
      </c>
      <c r="D20" s="762"/>
      <c r="E20" s="762"/>
      <c r="F20" s="771">
        <f>IF(Calculations!P5=2,136000,68000)</f>
        <v>68000</v>
      </c>
      <c r="G20" s="763"/>
    </row>
    <row r="21" spans="1:7">
      <c r="A21" s="759">
        <v>19</v>
      </c>
      <c r="B21" s="762">
        <v>14</v>
      </c>
      <c r="C21" s="782" t="s">
        <v>619</v>
      </c>
      <c r="D21" s="782"/>
      <c r="E21" s="762"/>
      <c r="F21" s="771">
        <f>Calculations!U4</f>
        <v>144838.05674999999</v>
      </c>
      <c r="G21" s="763"/>
    </row>
    <row r="22" spans="1:7">
      <c r="A22" s="759">
        <v>20</v>
      </c>
      <c r="B22" s="762">
        <v>15</v>
      </c>
      <c r="C22" s="762" t="s">
        <v>713</v>
      </c>
      <c r="D22" s="762"/>
      <c r="E22" s="762"/>
      <c r="F22" s="771">
        <f>F20-F21</f>
        <v>-76838.056749999989</v>
      </c>
      <c r="G22" s="773" t="s">
        <v>709</v>
      </c>
    </row>
    <row r="23" spans="1:7">
      <c r="A23" s="759">
        <v>21</v>
      </c>
      <c r="B23" s="762">
        <v>16</v>
      </c>
      <c r="C23" s="782" t="s">
        <v>621</v>
      </c>
      <c r="D23" s="782"/>
      <c r="E23" s="762"/>
      <c r="F23" s="771">
        <f>IF(Calculations!P5=2,20000,10000)</f>
        <v>10000</v>
      </c>
      <c r="G23" s="763"/>
    </row>
    <row r="24" spans="1:7">
      <c r="A24" s="759">
        <v>22</v>
      </c>
      <c r="B24" s="762">
        <v>17</v>
      </c>
      <c r="C24" s="762" t="s">
        <v>630</v>
      </c>
      <c r="D24" s="762"/>
      <c r="E24" s="762"/>
      <c r="F24" s="798">
        <f>IF(F22&lt;=0,0,MIN(1,F22/F23))</f>
        <v>0</v>
      </c>
      <c r="G24" s="773" t="s">
        <v>715</v>
      </c>
    </row>
    <row r="25" spans="1:7">
      <c r="A25" s="759">
        <v>23</v>
      </c>
      <c r="B25" s="762">
        <v>18</v>
      </c>
      <c r="C25" s="762" t="s">
        <v>631</v>
      </c>
      <c r="D25" s="762"/>
      <c r="E25" s="762"/>
      <c r="F25" s="771">
        <f>IF(F22&lt;=0,0,F19*F24)</f>
        <v>0</v>
      </c>
      <c r="G25" s="773" t="s">
        <v>714</v>
      </c>
    </row>
    <row r="26" spans="1:7" ht="25">
      <c r="A26" s="759">
        <v>24</v>
      </c>
      <c r="B26" s="762"/>
      <c r="C26" s="760"/>
      <c r="F26" s="762"/>
      <c r="G26" s="975" t="s">
        <v>855</v>
      </c>
    </row>
    <row r="27" spans="1:7" ht="13">
      <c r="A27" s="759">
        <v>25</v>
      </c>
      <c r="B27" s="762"/>
      <c r="C27" s="800"/>
      <c r="D27" s="801" t="s">
        <v>632</v>
      </c>
      <c r="E27" s="976" t="s">
        <v>856</v>
      </c>
      <c r="F27" s="800">
        <f>IF(F5&lt;2,0,1)</f>
        <v>0</v>
      </c>
      <c r="G27" s="971" t="s">
        <v>857</v>
      </c>
    </row>
    <row r="28" spans="1:7" ht="13">
      <c r="A28" s="759">
        <v>26</v>
      </c>
      <c r="B28" s="762"/>
      <c r="C28" s="800">
        <v>1</v>
      </c>
      <c r="D28" s="800" t="s">
        <v>633</v>
      </c>
      <c r="E28" s="801"/>
      <c r="F28" s="802">
        <f>F25*F27</f>
        <v>0</v>
      </c>
      <c r="G28" s="971" t="s">
        <v>858</v>
      </c>
    </row>
    <row r="29" spans="1:7" ht="13">
      <c r="A29" s="759">
        <v>27</v>
      </c>
      <c r="B29" s="762"/>
      <c r="C29" s="800">
        <v>2</v>
      </c>
      <c r="D29" s="800" t="s">
        <v>634</v>
      </c>
      <c r="E29" s="801"/>
      <c r="F29" s="802">
        <f>F16</f>
        <v>0</v>
      </c>
      <c r="G29" s="799" t="s">
        <v>762</v>
      </c>
    </row>
    <row r="30" spans="1:7" ht="13">
      <c r="A30" s="759">
        <v>28</v>
      </c>
      <c r="B30" s="762"/>
      <c r="C30" s="800">
        <v>3</v>
      </c>
      <c r="D30" s="800" t="s">
        <v>635</v>
      </c>
      <c r="E30" s="801"/>
      <c r="F30" s="802">
        <f>F28+F29</f>
        <v>0</v>
      </c>
      <c r="G30" s="799" t="s">
        <v>763</v>
      </c>
    </row>
    <row r="31" spans="1:7" ht="13">
      <c r="A31" s="759">
        <v>29</v>
      </c>
      <c r="B31" s="762"/>
      <c r="C31" s="800">
        <v>4</v>
      </c>
      <c r="D31" s="803" t="s">
        <v>638</v>
      </c>
      <c r="E31" s="801"/>
      <c r="F31" s="802">
        <f>Calculations!U9</f>
        <v>25359.606895999998</v>
      </c>
      <c r="G31" s="804" t="s">
        <v>698</v>
      </c>
    </row>
    <row r="32" spans="1:7" ht="13">
      <c r="A32" s="759">
        <v>30</v>
      </c>
      <c r="B32" s="762"/>
      <c r="C32" s="800">
        <v>5</v>
      </c>
      <c r="D32" s="803" t="s">
        <v>641</v>
      </c>
      <c r="E32" s="801"/>
      <c r="F32" s="802">
        <f>Calculations!AA10</f>
        <v>0</v>
      </c>
      <c r="G32" s="804" t="s">
        <v>710</v>
      </c>
    </row>
    <row r="33" spans="1:7" ht="13">
      <c r="A33" s="759">
        <v>31</v>
      </c>
      <c r="B33" s="762"/>
      <c r="C33" s="800">
        <v>6</v>
      </c>
      <c r="D33" s="800" t="s">
        <v>636</v>
      </c>
      <c r="E33" s="801"/>
      <c r="F33" s="802">
        <f>MAX(F31-F32,0)</f>
        <v>25359.606895999998</v>
      </c>
      <c r="G33" s="799" t="s">
        <v>769</v>
      </c>
    </row>
    <row r="34" spans="1:7" ht="13">
      <c r="A34" s="759">
        <v>32</v>
      </c>
      <c r="B34" s="762"/>
      <c r="C34" s="800">
        <v>7</v>
      </c>
      <c r="D34" s="800" t="s">
        <v>637</v>
      </c>
      <c r="E34" s="801"/>
      <c r="F34" s="802">
        <f>MIN(F30,F33)</f>
        <v>0</v>
      </c>
      <c r="G34" s="799" t="s">
        <v>711</v>
      </c>
    </row>
    <row r="35" spans="1:7" ht="13" thickBot="1">
      <c r="A35" s="759">
        <v>33</v>
      </c>
      <c r="B35" s="762"/>
      <c r="C35" s="762"/>
      <c r="D35" s="762"/>
      <c r="E35" s="762"/>
      <c r="F35" s="847"/>
      <c r="G35" s="763"/>
    </row>
    <row r="36" spans="1:7" ht="13.5" thickBot="1">
      <c r="A36" s="759">
        <v>34</v>
      </c>
      <c r="B36" s="762">
        <v>19</v>
      </c>
      <c r="C36" s="781" t="s">
        <v>639</v>
      </c>
      <c r="D36" s="973"/>
      <c r="E36" s="840"/>
      <c r="F36" s="843">
        <f>F34</f>
        <v>0</v>
      </c>
      <c r="G36" s="841" t="s">
        <v>712</v>
      </c>
    </row>
    <row r="37" spans="1:7" ht="25.5" customHeight="1">
      <c r="A37" s="786">
        <v>35</v>
      </c>
      <c r="B37" s="788"/>
      <c r="C37" s="788"/>
      <c r="D37" s="788"/>
      <c r="E37" s="788"/>
      <c r="F37" s="1133" t="s">
        <v>748</v>
      </c>
      <c r="G37" s="1134"/>
    </row>
  </sheetData>
  <mergeCells count="2">
    <mergeCell ref="F37:G37"/>
    <mergeCell ref="F14:G14"/>
  </mergeCells>
  <pageMargins left="0.5" right="0.5" top="1" bottom="0.75" header="0.3" footer="0.3"/>
  <pageSetup scale="79"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B1:Q45"/>
  <sheetViews>
    <sheetView topLeftCell="D19" workbookViewId="0">
      <selection activeCell="N30" sqref="N30"/>
    </sheetView>
  </sheetViews>
  <sheetFormatPr defaultRowHeight="12.5"/>
  <cols>
    <col min="2" max="2" width="19.1796875" customWidth="1"/>
    <col min="3" max="5" width="16" customWidth="1"/>
    <col min="6" max="6" width="24.54296875" customWidth="1"/>
    <col min="7" max="9" width="10.1796875" bestFit="1" customWidth="1"/>
  </cols>
  <sheetData>
    <row r="1" spans="2:17" ht="13" thickBot="1"/>
    <row r="2" spans="2:17" ht="13.5" thickBot="1">
      <c r="B2" s="1137" t="s">
        <v>256</v>
      </c>
      <c r="C2" s="1138"/>
      <c r="D2" s="1138"/>
      <c r="E2" s="1138"/>
      <c r="F2" s="1138"/>
      <c r="G2" s="1138"/>
      <c r="H2" s="1138"/>
      <c r="I2" s="1138"/>
      <c r="J2" s="1138"/>
      <c r="K2" s="1138"/>
      <c r="L2" s="1138"/>
      <c r="M2" s="1138"/>
      <c r="N2" s="1138"/>
      <c r="O2" s="1138"/>
      <c r="P2" s="1138"/>
      <c r="Q2" s="1139"/>
    </row>
    <row r="3" spans="2:17" ht="13.5" thickBot="1">
      <c r="B3" s="1140" t="s">
        <v>257</v>
      </c>
      <c r="C3" s="1141"/>
      <c r="D3" s="1141"/>
      <c r="E3" s="1141"/>
      <c r="F3" s="1141"/>
      <c r="G3" s="1141"/>
      <c r="H3" s="1141"/>
      <c r="I3" s="1141"/>
      <c r="J3" s="1141"/>
      <c r="K3" s="1141"/>
      <c r="L3" s="1141"/>
      <c r="M3" s="1141"/>
      <c r="N3" s="1141"/>
      <c r="O3" s="1141"/>
      <c r="P3" s="1141"/>
      <c r="Q3" s="1142"/>
    </row>
    <row r="4" spans="2:17" ht="13.5" thickBot="1">
      <c r="B4" s="1143" t="s">
        <v>249</v>
      </c>
      <c r="C4" s="1144"/>
      <c r="D4" s="1144"/>
      <c r="E4" s="1145"/>
      <c r="F4" s="1146" t="s">
        <v>250</v>
      </c>
      <c r="G4" s="1144"/>
      <c r="H4" s="1144"/>
      <c r="I4" s="1145"/>
      <c r="J4" s="1146" t="s">
        <v>251</v>
      </c>
      <c r="K4" s="1144"/>
      <c r="L4" s="1144"/>
      <c r="M4" s="1145"/>
      <c r="N4" s="1146" t="s">
        <v>252</v>
      </c>
      <c r="O4" s="1144"/>
      <c r="P4" s="1144"/>
      <c r="Q4" s="1145"/>
    </row>
    <row r="5" spans="2:17" ht="13">
      <c r="B5" s="355" t="s">
        <v>253</v>
      </c>
      <c r="C5" s="356" t="s">
        <v>76</v>
      </c>
      <c r="D5" s="356" t="s">
        <v>254</v>
      </c>
      <c r="E5" s="356" t="s">
        <v>227</v>
      </c>
      <c r="F5" s="356" t="s">
        <v>253</v>
      </c>
      <c r="G5" s="356" t="s">
        <v>76</v>
      </c>
      <c r="H5" s="356" t="s">
        <v>254</v>
      </c>
      <c r="I5" s="356" t="s">
        <v>227</v>
      </c>
      <c r="J5" s="356" t="s">
        <v>253</v>
      </c>
      <c r="K5" s="356" t="s">
        <v>76</v>
      </c>
      <c r="L5" s="356" t="s">
        <v>254</v>
      </c>
      <c r="M5" s="356" t="s">
        <v>227</v>
      </c>
      <c r="N5" s="356" t="s">
        <v>253</v>
      </c>
      <c r="O5" s="356" t="s">
        <v>76</v>
      </c>
      <c r="P5" s="356" t="s">
        <v>254</v>
      </c>
      <c r="Q5" s="356" t="s">
        <v>227</v>
      </c>
    </row>
    <row r="6" spans="2:17" ht="13.5" thickBot="1">
      <c r="B6" s="357" t="s">
        <v>255</v>
      </c>
      <c r="C6" s="358" t="s">
        <v>228</v>
      </c>
      <c r="D6" s="358" t="s">
        <v>95</v>
      </c>
      <c r="E6" s="358" t="s">
        <v>95</v>
      </c>
      <c r="F6" s="358" t="s">
        <v>255</v>
      </c>
      <c r="G6" s="358" t="s">
        <v>228</v>
      </c>
      <c r="H6" s="358" t="s">
        <v>95</v>
      </c>
      <c r="I6" s="358" t="s">
        <v>95</v>
      </c>
      <c r="J6" s="358" t="s">
        <v>255</v>
      </c>
      <c r="K6" s="358" t="s">
        <v>228</v>
      </c>
      <c r="L6" s="358" t="s">
        <v>95</v>
      </c>
      <c r="M6" s="358" t="s">
        <v>95</v>
      </c>
      <c r="N6" s="358" t="s">
        <v>255</v>
      </c>
      <c r="O6" s="358" t="s">
        <v>228</v>
      </c>
      <c r="P6" s="358" t="s">
        <v>95</v>
      </c>
      <c r="Q6" s="358" t="s">
        <v>95</v>
      </c>
    </row>
    <row r="7" spans="2:17" ht="13">
      <c r="B7" s="374">
        <v>0</v>
      </c>
      <c r="C7" s="360">
        <v>0</v>
      </c>
      <c r="D7" s="361">
        <v>7.6499999999999999E-2</v>
      </c>
      <c r="E7" s="362">
        <v>0</v>
      </c>
      <c r="F7" s="375">
        <v>0</v>
      </c>
      <c r="G7" s="360">
        <v>0</v>
      </c>
      <c r="H7" s="361">
        <v>0.34</v>
      </c>
      <c r="I7" s="362">
        <v>0</v>
      </c>
      <c r="J7" s="375">
        <v>0</v>
      </c>
      <c r="K7" s="360">
        <v>0</v>
      </c>
      <c r="L7" s="361">
        <v>0.4</v>
      </c>
      <c r="M7" s="362">
        <v>0</v>
      </c>
      <c r="N7" s="375">
        <v>0</v>
      </c>
      <c r="O7" s="360">
        <v>0</v>
      </c>
      <c r="P7" s="361">
        <v>0.45</v>
      </c>
      <c r="Q7" s="362">
        <v>0</v>
      </c>
    </row>
    <row r="8" spans="2:17" ht="13">
      <c r="B8" s="376"/>
      <c r="C8" s="360">
        <v>519</v>
      </c>
      <c r="D8" s="361">
        <v>0</v>
      </c>
      <c r="E8" s="362">
        <v>0</v>
      </c>
      <c r="F8" s="366">
        <v>10180</v>
      </c>
      <c r="G8" s="364">
        <v>3461</v>
      </c>
      <c r="H8" s="361">
        <v>0</v>
      </c>
      <c r="I8" s="362">
        <v>0</v>
      </c>
      <c r="J8" s="366">
        <v>14290</v>
      </c>
      <c r="K8" s="364">
        <v>5716</v>
      </c>
      <c r="L8" s="361">
        <v>0</v>
      </c>
      <c r="M8" s="362">
        <v>0</v>
      </c>
      <c r="N8" s="366">
        <v>14290</v>
      </c>
      <c r="O8" s="364">
        <v>6431</v>
      </c>
      <c r="P8" s="361">
        <v>0</v>
      </c>
      <c r="Q8" s="362">
        <v>0</v>
      </c>
    </row>
    <row r="9" spans="2:17" ht="13">
      <c r="B9" s="365">
        <v>8490</v>
      </c>
      <c r="C9" s="360">
        <v>519</v>
      </c>
      <c r="D9" s="361">
        <v>0</v>
      </c>
      <c r="E9" s="362">
        <v>7.6499999999999999E-2</v>
      </c>
      <c r="F9" s="366">
        <v>18660</v>
      </c>
      <c r="G9" s="364">
        <v>3461</v>
      </c>
      <c r="H9" s="361">
        <v>0</v>
      </c>
      <c r="I9" s="362">
        <v>0.1598</v>
      </c>
      <c r="J9" s="366">
        <v>18660</v>
      </c>
      <c r="K9" s="364">
        <v>5716</v>
      </c>
      <c r="L9" s="361">
        <v>0</v>
      </c>
      <c r="M9" s="362">
        <v>0.21060000000000001</v>
      </c>
      <c r="N9" s="366">
        <v>18660</v>
      </c>
      <c r="O9" s="364">
        <v>6431</v>
      </c>
      <c r="P9" s="361">
        <v>0</v>
      </c>
      <c r="Q9" s="362">
        <v>0.21060000000000001</v>
      </c>
    </row>
    <row r="10" spans="2:17" ht="13.5" thickBot="1">
      <c r="B10" s="367">
        <v>15270</v>
      </c>
      <c r="C10" s="368">
        <v>0</v>
      </c>
      <c r="D10" s="369">
        <v>0</v>
      </c>
      <c r="E10" s="371">
        <v>0</v>
      </c>
      <c r="F10" s="372">
        <v>40320</v>
      </c>
      <c r="G10" s="368">
        <v>0</v>
      </c>
      <c r="H10" s="369">
        <v>0</v>
      </c>
      <c r="I10" s="371">
        <v>0</v>
      </c>
      <c r="J10" s="372">
        <v>45802</v>
      </c>
      <c r="K10" s="368">
        <v>0</v>
      </c>
      <c r="L10" s="369">
        <v>0</v>
      </c>
      <c r="M10" s="371">
        <v>0</v>
      </c>
      <c r="N10" s="372">
        <v>49194</v>
      </c>
      <c r="O10" s="368">
        <v>0</v>
      </c>
      <c r="P10" s="369">
        <v>0</v>
      </c>
      <c r="Q10" s="371">
        <v>0</v>
      </c>
    </row>
    <row r="11" spans="2:17" ht="13" thickBot="1"/>
    <row r="12" spans="2:17" ht="13.5" thickBot="1">
      <c r="B12" s="1137" t="s">
        <v>247</v>
      </c>
      <c r="C12" s="1138"/>
      <c r="D12" s="1138"/>
      <c r="E12" s="1138"/>
      <c r="F12" s="1138"/>
      <c r="G12" s="1138"/>
      <c r="H12" s="1138"/>
      <c r="I12" s="1138"/>
      <c r="J12" s="1138"/>
      <c r="K12" s="1138"/>
      <c r="L12" s="1138"/>
      <c r="M12" s="1138"/>
      <c r="N12" s="1138"/>
      <c r="O12" s="1138"/>
      <c r="P12" s="1138"/>
      <c r="Q12" s="1139"/>
    </row>
    <row r="13" spans="2:17" ht="13.5" thickBot="1">
      <c r="B13" s="1140" t="s">
        <v>248</v>
      </c>
      <c r="C13" s="1141"/>
      <c r="D13" s="1141"/>
      <c r="E13" s="1141"/>
      <c r="F13" s="1141"/>
      <c r="G13" s="1141"/>
      <c r="H13" s="1141"/>
      <c r="I13" s="1141"/>
      <c r="J13" s="1141"/>
      <c r="K13" s="1141"/>
      <c r="L13" s="1141"/>
      <c r="M13" s="1141"/>
      <c r="N13" s="1141"/>
      <c r="O13" s="1141"/>
      <c r="P13" s="1141"/>
      <c r="Q13" s="1142"/>
    </row>
    <row r="14" spans="2:17" ht="13.5" thickBot="1">
      <c r="B14" s="1143" t="s">
        <v>249</v>
      </c>
      <c r="C14" s="1144"/>
      <c r="D14" s="1144"/>
      <c r="E14" s="1145"/>
      <c r="F14" s="1146" t="s">
        <v>250</v>
      </c>
      <c r="G14" s="1144"/>
      <c r="H14" s="1144"/>
      <c r="I14" s="1145"/>
      <c r="J14" s="1146" t="s">
        <v>251</v>
      </c>
      <c r="K14" s="1144"/>
      <c r="L14" s="1144"/>
      <c r="M14" s="1145"/>
      <c r="N14" s="1146" t="s">
        <v>252</v>
      </c>
      <c r="O14" s="1144"/>
      <c r="P14" s="1144"/>
      <c r="Q14" s="1145"/>
    </row>
    <row r="15" spans="2:17" ht="13">
      <c r="B15" s="355" t="s">
        <v>253</v>
      </c>
      <c r="C15" s="356" t="s">
        <v>76</v>
      </c>
      <c r="D15" s="356" t="s">
        <v>254</v>
      </c>
      <c r="E15" s="356" t="s">
        <v>227</v>
      </c>
      <c r="F15" s="356" t="s">
        <v>253</v>
      </c>
      <c r="G15" s="356" t="s">
        <v>76</v>
      </c>
      <c r="H15" s="356" t="s">
        <v>254</v>
      </c>
      <c r="I15" s="356" t="s">
        <v>227</v>
      </c>
      <c r="J15" s="356" t="s">
        <v>253</v>
      </c>
      <c r="K15" s="356" t="s">
        <v>76</v>
      </c>
      <c r="L15" s="356" t="s">
        <v>254</v>
      </c>
      <c r="M15" s="356" t="s">
        <v>227</v>
      </c>
      <c r="N15" s="356" t="s">
        <v>253</v>
      </c>
      <c r="O15" s="356" t="s">
        <v>76</v>
      </c>
      <c r="P15" s="356" t="s">
        <v>254</v>
      </c>
      <c r="Q15" s="356" t="s">
        <v>227</v>
      </c>
    </row>
    <row r="16" spans="2:17" ht="13.5" thickBot="1">
      <c r="B16" s="357" t="s">
        <v>255</v>
      </c>
      <c r="C16" s="358" t="s">
        <v>228</v>
      </c>
      <c r="D16" s="358" t="s">
        <v>95</v>
      </c>
      <c r="E16" s="358" t="s">
        <v>95</v>
      </c>
      <c r="F16" s="358" t="s">
        <v>255</v>
      </c>
      <c r="G16" s="358" t="s">
        <v>228</v>
      </c>
      <c r="H16" s="358" t="s">
        <v>95</v>
      </c>
      <c r="I16" s="358" t="s">
        <v>95</v>
      </c>
      <c r="J16" s="358" t="s">
        <v>255</v>
      </c>
      <c r="K16" s="358" t="s">
        <v>228</v>
      </c>
      <c r="L16" s="358" t="s">
        <v>95</v>
      </c>
      <c r="M16" s="358" t="s">
        <v>95</v>
      </c>
      <c r="N16" s="358" t="s">
        <v>255</v>
      </c>
      <c r="O16" s="358" t="s">
        <v>228</v>
      </c>
      <c r="P16" s="358" t="s">
        <v>95</v>
      </c>
      <c r="Q16" s="358" t="s">
        <v>95</v>
      </c>
    </row>
    <row r="17" spans="2:17" ht="13">
      <c r="B17" s="359">
        <v>0</v>
      </c>
      <c r="C17" s="360">
        <v>0</v>
      </c>
      <c r="D17" s="361">
        <v>7.6499999999999999E-2</v>
      </c>
      <c r="E17" s="361">
        <v>0</v>
      </c>
      <c r="F17" s="359">
        <v>0</v>
      </c>
      <c r="G17" s="360">
        <v>0</v>
      </c>
      <c r="H17" s="361">
        <v>0.34</v>
      </c>
      <c r="I17" s="362">
        <v>0</v>
      </c>
      <c r="J17" s="360">
        <v>0</v>
      </c>
      <c r="K17" s="360">
        <v>0</v>
      </c>
      <c r="L17" s="361">
        <v>0.4</v>
      </c>
      <c r="M17" s="362">
        <v>0</v>
      </c>
      <c r="N17" s="360">
        <v>0</v>
      </c>
      <c r="O17" s="360">
        <v>0</v>
      </c>
      <c r="P17" s="361">
        <v>0.45</v>
      </c>
      <c r="Q17" s="362">
        <v>0</v>
      </c>
    </row>
    <row r="18" spans="2:17" ht="13">
      <c r="B18" s="363">
        <v>6780</v>
      </c>
      <c r="C18" s="360">
        <v>519</v>
      </c>
      <c r="D18" s="361">
        <v>0</v>
      </c>
      <c r="E18" s="361">
        <v>0</v>
      </c>
      <c r="F18" s="363">
        <v>10180</v>
      </c>
      <c r="G18" s="364">
        <v>3461</v>
      </c>
      <c r="H18" s="361">
        <v>0</v>
      </c>
      <c r="I18" s="362">
        <v>0</v>
      </c>
      <c r="J18" s="364">
        <v>14290</v>
      </c>
      <c r="K18" s="364">
        <v>5716</v>
      </c>
      <c r="L18" s="361">
        <v>0</v>
      </c>
      <c r="M18" s="362">
        <v>0</v>
      </c>
      <c r="N18" s="364">
        <v>14290</v>
      </c>
      <c r="O18" s="364">
        <v>6431</v>
      </c>
      <c r="P18" s="361">
        <v>0</v>
      </c>
      <c r="Q18" s="362">
        <v>0</v>
      </c>
    </row>
    <row r="19" spans="2:17" ht="13">
      <c r="B19" s="365">
        <v>14170</v>
      </c>
      <c r="C19" s="360">
        <v>519</v>
      </c>
      <c r="D19" s="361">
        <v>0</v>
      </c>
      <c r="E19" s="361">
        <v>7.6499999999999999E-2</v>
      </c>
      <c r="F19" s="365">
        <v>24350</v>
      </c>
      <c r="G19" s="364">
        <v>3461</v>
      </c>
      <c r="H19" s="361">
        <v>0</v>
      </c>
      <c r="I19" s="362">
        <v>0.1598</v>
      </c>
      <c r="J19" s="366">
        <v>24350</v>
      </c>
      <c r="K19" s="364">
        <v>5716</v>
      </c>
      <c r="L19" s="361">
        <v>0</v>
      </c>
      <c r="M19" s="362">
        <v>0.21060000000000001</v>
      </c>
      <c r="N19" s="366">
        <v>24350</v>
      </c>
      <c r="O19" s="364">
        <v>6431</v>
      </c>
      <c r="P19" s="361">
        <v>0</v>
      </c>
      <c r="Q19" s="362">
        <v>0.21060000000000001</v>
      </c>
    </row>
    <row r="20" spans="2:17" ht="13.5" thickBot="1">
      <c r="B20" s="367">
        <v>20950</v>
      </c>
      <c r="C20" s="368">
        <v>0</v>
      </c>
      <c r="D20" s="369">
        <v>0</v>
      </c>
      <c r="E20" s="370">
        <v>0</v>
      </c>
      <c r="F20" s="367">
        <v>46010</v>
      </c>
      <c r="G20" s="368">
        <v>0</v>
      </c>
      <c r="H20" s="369">
        <v>0</v>
      </c>
      <c r="I20" s="371">
        <v>0</v>
      </c>
      <c r="J20" s="372">
        <v>51492</v>
      </c>
      <c r="K20" s="368">
        <v>0</v>
      </c>
      <c r="L20" s="369">
        <v>0</v>
      </c>
      <c r="M20" s="371">
        <v>0</v>
      </c>
      <c r="N20" s="372">
        <v>54884</v>
      </c>
      <c r="O20" s="368">
        <v>0</v>
      </c>
      <c r="P20" s="369">
        <v>0</v>
      </c>
      <c r="Q20" s="371">
        <v>0</v>
      </c>
    </row>
    <row r="21" spans="2:17" ht="13" thickBot="1"/>
    <row r="22" spans="2:17" ht="15" customHeight="1">
      <c r="F22" s="1135" t="s">
        <v>269</v>
      </c>
      <c r="G22" s="379" t="s">
        <v>268</v>
      </c>
      <c r="H22" s="380"/>
      <c r="I22" s="380"/>
      <c r="J22" s="380"/>
      <c r="K22" s="380"/>
      <c r="L22" s="381"/>
    </row>
    <row r="23" spans="2:17" ht="13">
      <c r="E23" s="127" t="s">
        <v>283</v>
      </c>
      <c r="F23" s="1136"/>
      <c r="G23" s="382" t="s">
        <v>194</v>
      </c>
      <c r="H23" s="383" t="s">
        <v>177</v>
      </c>
      <c r="I23" s="382" t="s">
        <v>270</v>
      </c>
      <c r="J23" s="382" t="s">
        <v>271</v>
      </c>
      <c r="K23" s="382" t="s">
        <v>246</v>
      </c>
      <c r="L23" s="384" t="s">
        <v>272</v>
      </c>
      <c r="P23" s="127" t="s">
        <v>283</v>
      </c>
      <c r="Q23" s="127" t="s">
        <v>40</v>
      </c>
    </row>
    <row r="24" spans="2:17">
      <c r="E24">
        <v>1</v>
      </c>
      <c r="F24" s="348">
        <v>0</v>
      </c>
      <c r="G24" s="866">
        <f>Parameters!CF2</f>
        <v>7320</v>
      </c>
      <c r="H24" s="866">
        <f>Parameters!CG2</f>
        <v>15290</v>
      </c>
      <c r="I24" s="868">
        <f>ROUND(H24+K24/L24,0)</f>
        <v>22610</v>
      </c>
      <c r="J24" s="870">
        <f>Parameters!CI2</f>
        <v>7.6499999999999999E-2</v>
      </c>
      <c r="K24" s="868">
        <f>ROUND(G24*J24,0)</f>
        <v>560</v>
      </c>
      <c r="L24" s="872">
        <f>Parameters!CK2</f>
        <v>7.6499999999999999E-2</v>
      </c>
      <c r="N24" t="s">
        <v>275</v>
      </c>
      <c r="P24" s="473">
        <f>Q24+1</f>
        <v>1</v>
      </c>
      <c r="Q24" s="473">
        <f>'Input &amp; Results'!E42</f>
        <v>0</v>
      </c>
    </row>
    <row r="25" spans="2:17">
      <c r="E25">
        <v>2</v>
      </c>
      <c r="F25" s="348">
        <v>1</v>
      </c>
      <c r="G25" s="866">
        <f>Parameters!CF3</f>
        <v>10980</v>
      </c>
      <c r="H25" s="866">
        <f>Parameters!CG3</f>
        <v>26260</v>
      </c>
      <c r="I25" s="868">
        <f>ROUND(H25+K25/L25,0)</f>
        <v>49620</v>
      </c>
      <c r="J25" s="870">
        <f>Parameters!CI3</f>
        <v>0.34</v>
      </c>
      <c r="K25" s="868">
        <f>ROUND(G25*J25,0)</f>
        <v>3733</v>
      </c>
      <c r="L25" s="872">
        <f>Parameters!CK3</f>
        <v>0.1598</v>
      </c>
    </row>
    <row r="26" spans="2:17">
      <c r="E26">
        <v>3</v>
      </c>
      <c r="F26" s="348">
        <v>2</v>
      </c>
      <c r="G26" s="866">
        <f>Parameters!CF4</f>
        <v>15410</v>
      </c>
      <c r="H26" s="866">
        <f>Parameters!CG4</f>
        <v>26260</v>
      </c>
      <c r="I26" s="868">
        <f>ROUND(H26+K26/L26,0)</f>
        <v>55529</v>
      </c>
      <c r="J26" s="870">
        <f>Parameters!CI4</f>
        <v>0.4</v>
      </c>
      <c r="K26" s="868">
        <f>ROUND(G26*J26,0)</f>
        <v>6164</v>
      </c>
      <c r="L26" s="872">
        <f>Parameters!CK4</f>
        <v>0.21060000000000001</v>
      </c>
    </row>
    <row r="27" spans="2:17" ht="13" thickBot="1">
      <c r="E27">
        <v>4</v>
      </c>
      <c r="F27" s="378" t="s">
        <v>274</v>
      </c>
      <c r="G27" s="867">
        <f>Parameters!CF5</f>
        <v>15410</v>
      </c>
      <c r="H27" s="867">
        <f>Parameters!CG5</f>
        <v>26260</v>
      </c>
      <c r="I27" s="869">
        <f>ROUND(H27+K27/L27,0)</f>
        <v>59190</v>
      </c>
      <c r="J27" s="871">
        <f>Parameters!CI5</f>
        <v>0.45</v>
      </c>
      <c r="K27" s="869">
        <f>ROUND(G27*J27,0)</f>
        <v>6935</v>
      </c>
      <c r="L27" s="873">
        <f>Parameters!CK5</f>
        <v>0.21060000000000001</v>
      </c>
    </row>
    <row r="28" spans="2:17" ht="13" thickBot="1"/>
    <row r="29" spans="2:17" ht="13">
      <c r="F29" s="1135" t="s">
        <v>269</v>
      </c>
      <c r="G29" s="379" t="s">
        <v>257</v>
      </c>
      <c r="H29" s="380"/>
      <c r="I29" s="380"/>
      <c r="J29" s="380"/>
      <c r="K29" s="380"/>
      <c r="L29" s="381"/>
    </row>
    <row r="30" spans="2:17" ht="13">
      <c r="F30" s="1136"/>
      <c r="G30" s="382" t="s">
        <v>194</v>
      </c>
      <c r="H30" s="383" t="s">
        <v>177</v>
      </c>
      <c r="I30" s="382" t="s">
        <v>270</v>
      </c>
      <c r="J30" s="382" t="s">
        <v>271</v>
      </c>
      <c r="K30" s="382" t="s">
        <v>246</v>
      </c>
      <c r="L30" s="384" t="s">
        <v>272</v>
      </c>
    </row>
    <row r="31" spans="2:17">
      <c r="E31">
        <v>1</v>
      </c>
      <c r="F31" s="348">
        <v>0</v>
      </c>
      <c r="G31" s="866">
        <f>Parameters!BZ2</f>
        <v>7320</v>
      </c>
      <c r="H31" s="866">
        <f>Parameters!CA2</f>
        <v>9160</v>
      </c>
      <c r="I31" s="868">
        <f>ROUND(H31+K31/L31,0)</f>
        <v>16480</v>
      </c>
      <c r="J31" s="870">
        <f>Parameters!CC2</f>
        <v>7.6499999999999999E-2</v>
      </c>
      <c r="K31" s="868">
        <f>ROUND(G31*J31,0)</f>
        <v>560</v>
      </c>
      <c r="L31" s="872">
        <f>Parameters!CE2</f>
        <v>7.6499999999999999E-2</v>
      </c>
    </row>
    <row r="32" spans="2:17">
      <c r="E32">
        <v>2</v>
      </c>
      <c r="F32" s="348">
        <v>1</v>
      </c>
      <c r="G32" s="866">
        <f>Parameters!BZ3</f>
        <v>10980</v>
      </c>
      <c r="H32" s="866">
        <f>Parameters!CA3</f>
        <v>20130</v>
      </c>
      <c r="I32" s="868">
        <f>ROUND(H32+K32/L32,0)</f>
        <v>43490</v>
      </c>
      <c r="J32" s="870">
        <f>Parameters!CC3</f>
        <v>0.34</v>
      </c>
      <c r="K32" s="868">
        <f>ROUND(G32*J32,0)</f>
        <v>3733</v>
      </c>
      <c r="L32" s="872">
        <f>Parameters!CE3</f>
        <v>0.1598</v>
      </c>
    </row>
    <row r="33" spans="2:16">
      <c r="E33">
        <v>3</v>
      </c>
      <c r="F33" s="348">
        <v>2</v>
      </c>
      <c r="G33" s="866">
        <f>Parameters!BZ4</f>
        <v>15410</v>
      </c>
      <c r="H33" s="866">
        <f>Parameters!CA4</f>
        <v>20130</v>
      </c>
      <c r="I33" s="868">
        <f>ROUND(H33+K33/L33,0)</f>
        <v>49399</v>
      </c>
      <c r="J33" s="870">
        <f>Parameters!CC4</f>
        <v>0.4</v>
      </c>
      <c r="K33" s="868">
        <f>ROUND(G33*J33,0)</f>
        <v>6164</v>
      </c>
      <c r="L33" s="872">
        <f>Parameters!CE4</f>
        <v>0.21060000000000001</v>
      </c>
    </row>
    <row r="34" spans="2:16" ht="13" thickBot="1">
      <c r="E34">
        <v>4</v>
      </c>
      <c r="F34" s="378" t="s">
        <v>274</v>
      </c>
      <c r="G34" s="867">
        <f>Parameters!BZ5</f>
        <v>15410</v>
      </c>
      <c r="H34" s="867">
        <f>Parameters!CA5</f>
        <v>20130</v>
      </c>
      <c r="I34" s="869">
        <f>ROUND(H34+K34/L34,0)</f>
        <v>53060</v>
      </c>
      <c r="J34" s="871">
        <f>Parameters!CC5</f>
        <v>0.45</v>
      </c>
      <c r="K34" s="869">
        <f>ROUND(G34*J34,0)</f>
        <v>6935</v>
      </c>
      <c r="L34" s="873">
        <f>Parameters!CE5</f>
        <v>0.21060000000000001</v>
      </c>
    </row>
    <row r="35" spans="2:16" ht="13" thickBot="1">
      <c r="H35" s="291"/>
    </row>
    <row r="36" spans="2:16" ht="13">
      <c r="B36" s="399" t="s">
        <v>258</v>
      </c>
      <c r="C36" s="400" t="s">
        <v>280</v>
      </c>
      <c r="D36" s="401"/>
      <c r="E36" s="402" t="s">
        <v>259</v>
      </c>
      <c r="F36" s="373" t="s">
        <v>273</v>
      </c>
      <c r="O36" s="373" t="s">
        <v>149</v>
      </c>
      <c r="P36" s="373" t="s">
        <v>744</v>
      </c>
    </row>
    <row r="37" spans="2:16">
      <c r="B37" s="393" t="s">
        <v>260</v>
      </c>
      <c r="C37" s="394" t="s">
        <v>261</v>
      </c>
      <c r="D37" s="395"/>
      <c r="E37" s="396"/>
      <c r="H37" s="333"/>
      <c r="N37" s="373" t="s">
        <v>745</v>
      </c>
      <c r="O37" s="837">
        <f>IF(Calculations!Q5=2,Calculations!Q6,0)</f>
        <v>0</v>
      </c>
      <c r="P37" s="837">
        <f>IF(Calculations!Q5&lt;&gt;2,Calculations!Q6,0)</f>
        <v>0</v>
      </c>
    </row>
    <row r="38" spans="2:16">
      <c r="B38" s="393" t="s">
        <v>262</v>
      </c>
      <c r="C38" s="395" t="s">
        <v>263</v>
      </c>
      <c r="D38" s="395"/>
      <c r="E38" s="403">
        <f>IF(AND($H$41&gt;0,$H$41&lt;$G$40),$J$40*$H$41,0)</f>
        <v>0</v>
      </c>
      <c r="F38" s="391" t="s">
        <v>118</v>
      </c>
      <c r="G38" s="127" t="str">
        <f>IF(Calculations!P5=2,"Married",IF(Calculations!P5=3,"MFS","Single"))</f>
        <v>Single</v>
      </c>
      <c r="N38" s="373" t="s">
        <v>746</v>
      </c>
      <c r="O38" s="837">
        <f>IF(Calculations!Q5=2,'Input &amp; Results'!H10,0)</f>
        <v>0</v>
      </c>
      <c r="P38" s="837">
        <f>IF(Calculations!Q5&lt;&gt;2,'Input &amp; Results'!H10,0)</f>
        <v>0</v>
      </c>
    </row>
    <row r="39" spans="2:16" ht="13">
      <c r="B39" s="393" t="s">
        <v>264</v>
      </c>
      <c r="C39" s="394" t="s">
        <v>265</v>
      </c>
      <c r="D39" s="395"/>
      <c r="E39" s="403">
        <f>IF(AND($H$41&gt;=$G$40,$H$41&lt;=$H$40),$K$40,0)</f>
        <v>0</v>
      </c>
      <c r="G39" s="392" t="s">
        <v>194</v>
      </c>
      <c r="H39" s="392" t="s">
        <v>177</v>
      </c>
      <c r="I39" s="392" t="s">
        <v>270</v>
      </c>
      <c r="J39" s="392" t="s">
        <v>271</v>
      </c>
      <c r="K39" s="392" t="s">
        <v>246</v>
      </c>
      <c r="L39" s="392" t="s">
        <v>272</v>
      </c>
      <c r="O39" s="837">
        <f>IF(Calculations!Q5=2,IF(AND(O37&gt;1,O38=0),0,1),0)</f>
        <v>0</v>
      </c>
      <c r="P39" s="837">
        <f>IF(Calculations!Q5&lt;&gt;2,IF(AND(P37=1,P38=0),0,1),0)</f>
        <v>1</v>
      </c>
    </row>
    <row r="40" spans="2:16" ht="13">
      <c r="B40" s="393" t="s">
        <v>266</v>
      </c>
      <c r="C40" s="394" t="s">
        <v>281</v>
      </c>
      <c r="D40" s="395"/>
      <c r="E40" s="405">
        <f>IF(AND($H$41&gt;$H$40,$H$41&lt;$I$40),$K$40-$L$40*($H$41-$H$40),0)</f>
        <v>0</v>
      </c>
      <c r="F40" s="839" t="s">
        <v>747</v>
      </c>
      <c r="G40" s="385">
        <f>IF($G$38="Married",VLOOKUP($P$24,$E$24:$L$27,3),IF($G$38="MFS",0,VLOOKUP($P$24,$E$31:$L$34,3)))</f>
        <v>7320</v>
      </c>
      <c r="H40" s="385">
        <f>IF($G$38="Married",VLOOKUP($P$24,$E$24:$L$27,4),IF($G$38="MFS",0,VLOOKUP($P$24,$E$31:$L$34,4)))</f>
        <v>9160</v>
      </c>
      <c r="I40" s="385">
        <f>IF($G$38="Married",VLOOKUP($P$24,$E$24:$L$27,5),IF($G$38="MFS",0,VLOOKUP($P$24,$E$31:$L$34,5)))</f>
        <v>16480</v>
      </c>
      <c r="J40" s="377">
        <f>IF($G$38="Married",VLOOKUP($P$24,$E$24:$L$27,6),VLOOKUP($P$24,$E$31:$L$34,6))</f>
        <v>7.6499999999999999E-2</v>
      </c>
      <c r="K40" s="385">
        <f>IF($G$38="Married",VLOOKUP($P$24,$E$24:$L$27,7),IF($G$38="MFS",0,VLOOKUP($P$24,$E$31:$L$34,7)))</f>
        <v>560</v>
      </c>
      <c r="L40" s="377">
        <f>IF($G$38="Married",VLOOKUP($P$24,$E$24:$L$27,8),VLOOKUP($P$24,$E$31:$L$34,8))</f>
        <v>7.6499999999999999E-2</v>
      </c>
    </row>
    <row r="41" spans="2:16" ht="13.5" thickBot="1">
      <c r="B41" s="393" t="s">
        <v>267</v>
      </c>
      <c r="C41" s="394" t="s">
        <v>261</v>
      </c>
      <c r="D41" s="395"/>
      <c r="E41" s="808"/>
      <c r="F41" s="810" t="s">
        <v>589</v>
      </c>
      <c r="G41" s="739">
        <f>IF(H41&lt;I40,1,0)</f>
        <v>0</v>
      </c>
      <c r="H41" s="740">
        <f>SUM(Calculations!S9:S12)+'Input &amp; Results'!H13+'Input &amp; Results'!H19+'Input &amp; Results'!H23+'Input &amp; Results'!H29</f>
        <v>143000</v>
      </c>
      <c r="I41" s="741"/>
    </row>
    <row r="42" spans="2:16" ht="13" thickBot="1">
      <c r="B42" s="397"/>
      <c r="C42" s="398"/>
      <c r="D42" s="404" t="s">
        <v>279</v>
      </c>
      <c r="E42" s="809">
        <f>IF(G45=4,SUM(E38:E40),0)</f>
        <v>0</v>
      </c>
      <c r="F42" s="811" t="s">
        <v>587</v>
      </c>
      <c r="G42" s="742">
        <f>IF(H42&lt;I40,1,0)</f>
        <v>0</v>
      </c>
      <c r="H42" s="743">
        <f>Calculations!U4</f>
        <v>144838.05674999999</v>
      </c>
      <c r="I42" s="744"/>
    </row>
    <row r="43" spans="2:16">
      <c r="F43" s="811" t="s">
        <v>588</v>
      </c>
      <c r="G43" s="742">
        <f>IF(H43&lt;I43,1,0)</f>
        <v>1</v>
      </c>
      <c r="H43" s="743">
        <f>'Input &amp; Results'!H33</f>
        <v>500</v>
      </c>
      <c r="I43" s="874">
        <v>3650</v>
      </c>
    </row>
    <row r="44" spans="2:16">
      <c r="F44" s="745" t="s">
        <v>724</v>
      </c>
      <c r="G44" s="838">
        <f>IF(Calculations!Q5=2,O39,P39)</f>
        <v>1</v>
      </c>
      <c r="H44" s="746"/>
      <c r="I44" s="812"/>
    </row>
    <row r="45" spans="2:16">
      <c r="G45" s="473">
        <f>SUM(G41:G44)</f>
        <v>2</v>
      </c>
    </row>
  </sheetData>
  <mergeCells count="14">
    <mergeCell ref="F29:F30"/>
    <mergeCell ref="B2:Q2"/>
    <mergeCell ref="B3:Q3"/>
    <mergeCell ref="B4:E4"/>
    <mergeCell ref="F4:I4"/>
    <mergeCell ref="J4:M4"/>
    <mergeCell ref="N4:Q4"/>
    <mergeCell ref="F22:F23"/>
    <mergeCell ref="B12:Q12"/>
    <mergeCell ref="B13:Q13"/>
    <mergeCell ref="B14:E14"/>
    <mergeCell ref="F14:I14"/>
    <mergeCell ref="J14:M14"/>
    <mergeCell ref="N14:Q14"/>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33944-7BC6-4AEC-9BAF-A14BFEEFE12A}">
  <sheetPr codeName="Sheet5">
    <tabColor rgb="FFFFC000"/>
  </sheetPr>
  <dimension ref="A1:J57"/>
  <sheetViews>
    <sheetView topLeftCell="C35" workbookViewId="0">
      <selection activeCell="H42" sqref="H42"/>
    </sheetView>
  </sheetViews>
  <sheetFormatPr defaultRowHeight="12.5"/>
  <cols>
    <col min="1" max="1" width="4.1796875" customWidth="1"/>
    <col min="2" max="2" width="89" customWidth="1"/>
    <col min="3" max="3" width="9.1796875" customWidth="1"/>
    <col min="4" max="4" width="8.7265625" customWidth="1"/>
    <col min="5" max="5" width="18" customWidth="1"/>
    <col min="6" max="6" width="10" bestFit="1" customWidth="1"/>
    <col min="7" max="7" width="10" customWidth="1"/>
    <col min="8" max="8" width="12.7265625" customWidth="1"/>
    <col min="9" max="9" width="8.90625" bestFit="1" customWidth="1"/>
  </cols>
  <sheetData>
    <row r="1" spans="1:9" ht="13">
      <c r="B1" s="290" t="s">
        <v>330</v>
      </c>
      <c r="D1" s="423"/>
      <c r="E1" s="429" t="s">
        <v>89</v>
      </c>
      <c r="F1" s="433" t="s">
        <v>319</v>
      </c>
      <c r="G1" s="434" t="s">
        <v>320</v>
      </c>
    </row>
    <row r="2" spans="1:9">
      <c r="D2" s="424">
        <v>1</v>
      </c>
      <c r="E2" s="425" t="s">
        <v>197</v>
      </c>
      <c r="F2" s="1047">
        <f>Parameters!N2</f>
        <v>25000</v>
      </c>
      <c r="G2" s="1048">
        <f>Parameters!O2</f>
        <v>9000</v>
      </c>
    </row>
    <row r="3" spans="1:9">
      <c r="B3" s="127" t="s">
        <v>327</v>
      </c>
      <c r="C3" s="436">
        <f>Calculations!P5</f>
        <v>1</v>
      </c>
      <c r="D3" s="424">
        <v>2</v>
      </c>
      <c r="E3" s="426" t="s">
        <v>268</v>
      </c>
      <c r="F3" s="1047">
        <f>Parameters!N3</f>
        <v>32000</v>
      </c>
      <c r="G3" s="1048">
        <f>Parameters!O3</f>
        <v>12000</v>
      </c>
    </row>
    <row r="4" spans="1:9">
      <c r="D4" s="424">
        <v>3</v>
      </c>
      <c r="E4" s="425" t="s">
        <v>317</v>
      </c>
      <c r="F4" s="1047">
        <f>Parameters!N4</f>
        <v>25000</v>
      </c>
      <c r="G4" s="1048">
        <f>Parameters!O4</f>
        <v>9000</v>
      </c>
    </row>
    <row r="5" spans="1:9">
      <c r="D5" s="424">
        <v>4</v>
      </c>
      <c r="E5" s="425" t="s">
        <v>199</v>
      </c>
      <c r="F5" s="1047">
        <f>Parameters!N5</f>
        <v>25000</v>
      </c>
      <c r="G5" s="1048">
        <f>Parameters!O5</f>
        <v>9000</v>
      </c>
    </row>
    <row r="6" spans="1:9">
      <c r="D6" s="427">
        <v>5</v>
      </c>
      <c r="E6" s="428" t="s">
        <v>318</v>
      </c>
      <c r="F6" s="1047">
        <f>Parameters!N6</f>
        <v>25000</v>
      </c>
      <c r="G6" s="1049">
        <f>Parameters!O6</f>
        <v>9000</v>
      </c>
    </row>
    <row r="7" spans="1:9" ht="13">
      <c r="B7" s="290" t="s">
        <v>345</v>
      </c>
      <c r="D7" s="119"/>
      <c r="E7" s="1148" t="s">
        <v>401</v>
      </c>
      <c r="F7" s="1148"/>
      <c r="G7" s="447"/>
      <c r="H7" s="1148" t="s">
        <v>402</v>
      </c>
      <c r="I7" s="1148"/>
    </row>
    <row r="8" spans="1:9" ht="54" customHeight="1">
      <c r="B8" s="444" t="s">
        <v>344</v>
      </c>
      <c r="E8" s="432" t="s">
        <v>325</v>
      </c>
      <c r="F8" s="435" t="s">
        <v>317</v>
      </c>
      <c r="H8" s="432" t="s">
        <v>325</v>
      </c>
      <c r="I8" s="435" t="s">
        <v>317</v>
      </c>
    </row>
    <row r="10" spans="1:9" ht="13.5" customHeight="1">
      <c r="A10" s="418">
        <v>1</v>
      </c>
      <c r="B10" s="422" t="s">
        <v>342</v>
      </c>
      <c r="E10" s="420">
        <f>'Input &amp; Results'!H20*VLOOKUP(H45,H46:I57,2)+'Input &amp; Results'!H30*VLOOKUP(H44,H46:I57,2)</f>
        <v>0</v>
      </c>
      <c r="F10" s="421">
        <f>E10</f>
        <v>0</v>
      </c>
      <c r="H10" s="420">
        <f>E10</f>
        <v>0</v>
      </c>
      <c r="I10" s="421">
        <f>H10</f>
        <v>0</v>
      </c>
    </row>
    <row r="11" spans="1:9">
      <c r="A11" s="418">
        <v>2</v>
      </c>
      <c r="B11" s="417" t="s">
        <v>310</v>
      </c>
      <c r="E11" s="421">
        <f>E10*0.5</f>
        <v>0</v>
      </c>
      <c r="F11" s="291">
        <f>E11</f>
        <v>0</v>
      </c>
      <c r="H11" s="421">
        <f>H10*0.5</f>
        <v>0</v>
      </c>
      <c r="I11" s="291">
        <f>H11</f>
        <v>0</v>
      </c>
    </row>
    <row r="12" spans="1:9" ht="25">
      <c r="A12" s="418">
        <v>3</v>
      </c>
      <c r="B12" s="422" t="s">
        <v>343</v>
      </c>
      <c r="E12" s="291">
        <f>SUM('Input &amp; Results'!H13:H19,'Input &amp; Results'!H21,'Input &amp; Results'!H23:H29,'Input &amp; Results'!H31,'Input &amp; Results'!H33,'Input &amp; Results'!H35)</f>
        <v>145500</v>
      </c>
      <c r="F12" s="291">
        <f>E12</f>
        <v>145500</v>
      </c>
      <c r="H12" s="291">
        <f>SUM('Input &amp; Results'!H16:H35,'Input &amp; Results'!H21:H33)</f>
        <v>148000</v>
      </c>
      <c r="I12" s="291">
        <f>H12</f>
        <v>148000</v>
      </c>
    </row>
    <row r="13" spans="1:9">
      <c r="A13" s="418">
        <v>5</v>
      </c>
      <c r="B13" s="417" t="s">
        <v>321</v>
      </c>
      <c r="E13" s="421">
        <f>E11+E12</f>
        <v>145500</v>
      </c>
      <c r="F13" s="291">
        <f>E13</f>
        <v>145500</v>
      </c>
      <c r="H13" s="421">
        <f>H11+H12</f>
        <v>148000</v>
      </c>
      <c r="I13" s="291">
        <f>H13</f>
        <v>148000</v>
      </c>
    </row>
    <row r="14" spans="1:9">
      <c r="A14" s="418">
        <v>8</v>
      </c>
      <c r="B14" s="417" t="s">
        <v>322</v>
      </c>
      <c r="E14" s="431">
        <f>VLOOKUP(C3,D2:F6,3)</f>
        <v>25000</v>
      </c>
      <c r="F14" s="445"/>
      <c r="H14" s="431">
        <f>VLOOKUP(C3,D2:F6,3)</f>
        <v>25000</v>
      </c>
      <c r="I14" s="445"/>
    </row>
    <row r="15" spans="1:9">
      <c r="A15" s="418">
        <v>9</v>
      </c>
      <c r="B15" s="417" t="s">
        <v>323</v>
      </c>
      <c r="E15" s="291">
        <f>MAX(E13-E14,0)</f>
        <v>120500</v>
      </c>
      <c r="F15" s="446"/>
      <c r="H15" s="291">
        <f>MAX(H13-H14,0)</f>
        <v>123000</v>
      </c>
      <c r="I15" s="446"/>
    </row>
    <row r="16" spans="1:9">
      <c r="A16" s="418">
        <v>10</v>
      </c>
      <c r="B16" s="417" t="s">
        <v>324</v>
      </c>
      <c r="E16" s="291">
        <f>VLOOKUP($C3,$D2:$G6,4)</f>
        <v>9000</v>
      </c>
      <c r="F16" s="446"/>
      <c r="H16" s="291">
        <f>VLOOKUP($C3,$D2:$G6,4)</f>
        <v>9000</v>
      </c>
      <c r="I16" s="446"/>
    </row>
    <row r="17" spans="1:9">
      <c r="A17" s="418">
        <v>11</v>
      </c>
      <c r="B17" s="417" t="s">
        <v>311</v>
      </c>
      <c r="E17" s="421">
        <f>MAX(E15-E16,0)</f>
        <v>111500</v>
      </c>
      <c r="F17" s="446"/>
      <c r="H17" s="421">
        <f>MAX(H15-H16,0)</f>
        <v>114000</v>
      </c>
      <c r="I17" s="446"/>
    </row>
    <row r="18" spans="1:9">
      <c r="A18" s="418">
        <v>12</v>
      </c>
      <c r="B18" s="417" t="s">
        <v>312</v>
      </c>
      <c r="E18" s="421">
        <f>MIN(E15,E16)</f>
        <v>9000</v>
      </c>
      <c r="F18" s="446"/>
      <c r="H18" s="421">
        <f>MIN(H15,H16)</f>
        <v>9000</v>
      </c>
      <c r="I18" s="446"/>
    </row>
    <row r="19" spans="1:9">
      <c r="A19" s="418">
        <v>13</v>
      </c>
      <c r="B19" s="417" t="s">
        <v>313</v>
      </c>
      <c r="E19" s="421">
        <f>E18/2</f>
        <v>4500</v>
      </c>
      <c r="F19" s="446"/>
      <c r="H19" s="421">
        <f>H18/2</f>
        <v>4500</v>
      </c>
      <c r="I19" s="446"/>
    </row>
    <row r="20" spans="1:9">
      <c r="A20" s="418">
        <v>14</v>
      </c>
      <c r="B20" s="417" t="s">
        <v>314</v>
      </c>
      <c r="E20" s="421">
        <f>MIN(E11,E19)</f>
        <v>0</v>
      </c>
      <c r="F20" s="446"/>
      <c r="H20" s="421">
        <f>MIN(H11,H19)</f>
        <v>0</v>
      </c>
      <c r="I20" s="446"/>
    </row>
    <row r="21" spans="1:9">
      <c r="A21" s="418">
        <v>15</v>
      </c>
      <c r="B21" s="417" t="s">
        <v>315</v>
      </c>
      <c r="E21" s="421">
        <f>IF(E17=0,0,E17*0.85)</f>
        <v>94775</v>
      </c>
      <c r="F21" s="446"/>
      <c r="H21" s="421">
        <f>IF(H17=0,0,H17*0.85)</f>
        <v>96900</v>
      </c>
      <c r="I21" s="446"/>
    </row>
    <row r="22" spans="1:9">
      <c r="A22" s="418">
        <v>16</v>
      </c>
      <c r="B22" s="417" t="s">
        <v>326</v>
      </c>
      <c r="E22" s="421">
        <f>E20+E21</f>
        <v>94775</v>
      </c>
      <c r="F22" s="421">
        <f>F13*0.85</f>
        <v>123675</v>
      </c>
      <c r="H22" s="421">
        <f>H20+H21</f>
        <v>96900</v>
      </c>
      <c r="I22" s="421">
        <f>I13*0.85</f>
        <v>125800</v>
      </c>
    </row>
    <row r="23" spans="1:9" ht="13" thickBot="1">
      <c r="A23" s="418">
        <v>17</v>
      </c>
      <c r="B23" s="417" t="s">
        <v>316</v>
      </c>
      <c r="E23" s="421">
        <f>E10*0.85</f>
        <v>0</v>
      </c>
      <c r="F23" s="421">
        <f>F10*0.85</f>
        <v>0</v>
      </c>
      <c r="H23" s="421">
        <f>H10*0.85</f>
        <v>0</v>
      </c>
      <c r="I23" s="421">
        <f>I10*0.85</f>
        <v>0</v>
      </c>
    </row>
    <row r="24" spans="1:9" ht="13" thickBot="1">
      <c r="A24" s="418">
        <v>18</v>
      </c>
      <c r="B24" s="437" t="s">
        <v>328</v>
      </c>
      <c r="E24" s="430">
        <f>MIN(E22,E23)</f>
        <v>0</v>
      </c>
      <c r="F24" s="430">
        <f>MIN(F22,F23)</f>
        <v>0</v>
      </c>
      <c r="H24" s="430">
        <f>MIN(H22,H23)</f>
        <v>0</v>
      </c>
      <c r="I24" s="430">
        <f>MIN(I22,I23)</f>
        <v>0</v>
      </c>
    </row>
    <row r="25" spans="1:9" ht="13.5" thickBot="1">
      <c r="B25" s="438" t="s">
        <v>329</v>
      </c>
      <c r="C25" s="290"/>
      <c r="D25" s="290"/>
      <c r="E25" s="439">
        <f>IF($C3=3,F24,E24)</f>
        <v>0</v>
      </c>
      <c r="H25" s="439">
        <f>IF($C3=3,I24,H24)</f>
        <v>0</v>
      </c>
    </row>
    <row r="26" spans="1:9" ht="15.5">
      <c r="B26" s="639" t="s">
        <v>450</v>
      </c>
    </row>
    <row r="27" spans="1:9">
      <c r="B27" s="127" t="s">
        <v>399</v>
      </c>
      <c r="C27" s="472">
        <f>IF('Input &amp; Results'!H20&gt;0,'Input &amp; Results'!H47/'Input &amp; Results'!H20,0)</f>
        <v>0</v>
      </c>
      <c r="G27">
        <f ca="1">MONTH(TODAY())-1</f>
        <v>10</v>
      </c>
    </row>
    <row r="28" spans="1:9">
      <c r="B28" s="392" t="s">
        <v>400</v>
      </c>
      <c r="C28" s="472">
        <f>VLOOKUP(Calculations!U7,Calculations!$H$24:$J$30,3)</f>
        <v>0.24</v>
      </c>
      <c r="E28" s="480">
        <f>C28*E25</f>
        <v>0</v>
      </c>
    </row>
    <row r="29" spans="1:9">
      <c r="B29" s="392" t="s">
        <v>387</v>
      </c>
      <c r="C29" s="472">
        <f>IF(H25=0,0,VLOOKUP(1,B46:C50,2))</f>
        <v>0</v>
      </c>
      <c r="E29" s="148" t="e">
        <f>E28/E10</f>
        <v>#DIV/0!</v>
      </c>
    </row>
    <row r="30" spans="1:9">
      <c r="B30" s="392" t="s">
        <v>392</v>
      </c>
      <c r="C30" s="333" t="b">
        <f>IF('Input &amp; Results'!H20&gt;0,C31+'Input &amp; Results'!H47*F32)</f>
        <v>0</v>
      </c>
      <c r="G30" s="622">
        <f>VLOOKUP(H45,H46:I57,2)</f>
        <v>12</v>
      </c>
      <c r="H30" s="518" t="s">
        <v>410</v>
      </c>
      <c r="I30" s="1034">
        <f>H45</f>
        <v>44562</v>
      </c>
    </row>
    <row r="31" spans="1:9">
      <c r="B31" s="392" t="s">
        <v>388</v>
      </c>
      <c r="C31" s="333">
        <f>'Input &amp; Results'!H46</f>
        <v>0</v>
      </c>
      <c r="E31" s="392" t="s">
        <v>394</v>
      </c>
      <c r="F31" s="622">
        <f>I31</f>
        <v>9</v>
      </c>
      <c r="G31" s="519">
        <f>VLOOKUP(I31,E46:F57,2)</f>
        <v>44834</v>
      </c>
      <c r="H31" s="517" t="s">
        <v>409</v>
      </c>
      <c r="I31" s="622">
        <f>MONTH('Inputs-Outputs'!B3)-1</f>
        <v>9</v>
      </c>
    </row>
    <row r="32" spans="1:9">
      <c r="B32" s="392" t="s">
        <v>389</v>
      </c>
      <c r="C32" s="333">
        <f>C30-C31</f>
        <v>0</v>
      </c>
      <c r="D32" s="512">
        <f>D29*'Input &amp; Results'!$H$20*$F32</f>
        <v>0</v>
      </c>
      <c r="E32" s="392" t="s">
        <v>397</v>
      </c>
      <c r="F32" s="622">
        <f>12-F31</f>
        <v>3</v>
      </c>
      <c r="I32" s="622"/>
    </row>
    <row r="33" spans="2:10">
      <c r="B33" s="392" t="s">
        <v>393</v>
      </c>
      <c r="C33" s="333">
        <f>C31+C32</f>
        <v>0</v>
      </c>
      <c r="I33" s="622"/>
    </row>
    <row r="34" spans="2:10" ht="15.5">
      <c r="B34" s="639" t="s">
        <v>448</v>
      </c>
      <c r="C34" s="333"/>
      <c r="E34" s="392"/>
      <c r="I34" s="622"/>
    </row>
    <row r="35" spans="2:10">
      <c r="B35" s="127" t="s">
        <v>399</v>
      </c>
      <c r="C35" s="472">
        <f>IF('Input &amp; Results'!H28&gt;0,'Input &amp; Results'!H55/'Input &amp; Results'!H28,0)</f>
        <v>0</v>
      </c>
      <c r="I35" s="622"/>
    </row>
    <row r="36" spans="2:10">
      <c r="B36" s="392" t="s">
        <v>400</v>
      </c>
      <c r="C36" s="472">
        <f>VLOOKUP(Calculations!U16,Calculations!$H$24:$J$30,3)</f>
        <v>0.1</v>
      </c>
      <c r="E36" s="480">
        <f>C36*E33</f>
        <v>0</v>
      </c>
      <c r="I36" s="622"/>
    </row>
    <row r="37" spans="2:10">
      <c r="B37" s="392" t="s">
        <v>387</v>
      </c>
      <c r="C37" s="472">
        <f>IF(H33=0,0,VLOOKUP(1,B54:C58,2))</f>
        <v>0</v>
      </c>
      <c r="E37" s="148">
        <f>E36/E18</f>
        <v>0</v>
      </c>
      <c r="I37" s="622"/>
    </row>
    <row r="38" spans="2:10">
      <c r="B38" s="392" t="s">
        <v>392</v>
      </c>
      <c r="C38" s="333" t="b">
        <f>IF('Input &amp; Results'!H30&gt;0,C39+'Input &amp; Results'!Q47*F40)</f>
        <v>0</v>
      </c>
      <c r="G38" s="622">
        <f>VLOOKUP(H44,H46:I57,2)</f>
        <v>12</v>
      </c>
      <c r="H38" s="518" t="s">
        <v>410</v>
      </c>
      <c r="I38" s="1032">
        <f>H44</f>
        <v>44562</v>
      </c>
    </row>
    <row r="39" spans="2:10">
      <c r="B39" s="392" t="s">
        <v>388</v>
      </c>
      <c r="C39" s="333">
        <f>'Input &amp; Results'!Q46</f>
        <v>0</v>
      </c>
      <c r="E39" s="392" t="s">
        <v>394</v>
      </c>
      <c r="F39" s="622">
        <f>I39</f>
        <v>9</v>
      </c>
      <c r="G39" s="519">
        <f>VLOOKUP(I31,E46:F57,2)</f>
        <v>44834</v>
      </c>
      <c r="H39" s="517" t="s">
        <v>409</v>
      </c>
      <c r="I39" s="622">
        <f>MONTH('Inputs-Outputs'!B3)-1</f>
        <v>9</v>
      </c>
    </row>
    <row r="40" spans="2:10">
      <c r="B40" s="392" t="s">
        <v>389</v>
      </c>
      <c r="C40" s="333">
        <f>C38-C39</f>
        <v>0</v>
      </c>
      <c r="D40" s="512">
        <f>D37*'Input &amp; Results'!$H$30*$F40</f>
        <v>0</v>
      </c>
      <c r="E40" s="392" t="s">
        <v>397</v>
      </c>
      <c r="F40" s="622">
        <f>12-F39</f>
        <v>3</v>
      </c>
      <c r="I40" s="622"/>
    </row>
    <row r="41" spans="2:10">
      <c r="B41" s="392" t="s">
        <v>393</v>
      </c>
      <c r="C41" s="333">
        <f>C39+C40</f>
        <v>0</v>
      </c>
      <c r="I41" s="622"/>
    </row>
    <row r="42" spans="2:10">
      <c r="B42" s="392"/>
      <c r="C42" s="333"/>
      <c r="E42" s="392"/>
      <c r="H42" s="1033">
        <f>Parameters!B2</f>
        <v>44562</v>
      </c>
      <c r="I42" s="622"/>
    </row>
    <row r="43" spans="2:10">
      <c r="I43" s="1147" t="s">
        <v>391</v>
      </c>
      <c r="J43" s="1147" t="s">
        <v>396</v>
      </c>
    </row>
    <row r="44" spans="2:10">
      <c r="G44" s="392" t="s">
        <v>448</v>
      </c>
      <c r="H44" s="1032">
        <f>'Input &amp; Results'!$F$30</f>
        <v>44562</v>
      </c>
      <c r="I44" s="1147"/>
      <c r="J44" s="1147"/>
    </row>
    <row r="45" spans="2:10">
      <c r="G45" s="392" t="s">
        <v>450</v>
      </c>
      <c r="H45" s="1034">
        <f>'Input &amp; Results'!$F$20</f>
        <v>44562</v>
      </c>
      <c r="I45" s="1147"/>
      <c r="J45" s="1147"/>
    </row>
    <row r="46" spans="2:10">
      <c r="B46">
        <f>IF(Calculations!U7=0,1,IF(C46&lt;C$28,0,IF(C46=C$28,1,0)))</f>
        <v>0</v>
      </c>
      <c r="C46" s="472">
        <v>7.0000000000000007E-2</v>
      </c>
      <c r="E46" s="517">
        <v>1</v>
      </c>
      <c r="F46" s="1035">
        <f>H47-1</f>
        <v>44592</v>
      </c>
      <c r="G46">
        <v>1</v>
      </c>
      <c r="H46" s="1035">
        <f>H42</f>
        <v>44562</v>
      </c>
      <c r="I46">
        <f>13-G46</f>
        <v>12</v>
      </c>
      <c r="J46">
        <v>1</v>
      </c>
    </row>
    <row r="47" spans="2:10">
      <c r="B47">
        <f>IF(Calculations!U7=0,2,IF(C47&lt;C$28,0,IF(C47=C$28,1,2)))</f>
        <v>0</v>
      </c>
      <c r="C47" s="472">
        <v>0.1</v>
      </c>
      <c r="E47" s="517">
        <v>2</v>
      </c>
      <c r="F47" s="1035">
        <f t="shared" ref="F47:F56" si="0">H48-1</f>
        <v>44620</v>
      </c>
      <c r="G47">
        <v>2</v>
      </c>
      <c r="H47" s="1035">
        <f>H46+31</f>
        <v>44593</v>
      </c>
      <c r="I47">
        <f t="shared" ref="I47:I57" si="1">13-G47</f>
        <v>11</v>
      </c>
      <c r="J47">
        <v>3</v>
      </c>
    </row>
    <row r="48" spans="2:10">
      <c r="B48">
        <f>IF(C48&lt;C$28,0,IF(C48=C$28,1,2))</f>
        <v>0</v>
      </c>
      <c r="C48" s="472">
        <v>0.12</v>
      </c>
      <c r="E48" s="517">
        <v>3</v>
      </c>
      <c r="F48" s="1035">
        <f t="shared" si="0"/>
        <v>44651</v>
      </c>
      <c r="G48">
        <v>3</v>
      </c>
      <c r="H48" s="1035">
        <f>H47+28</f>
        <v>44621</v>
      </c>
      <c r="I48">
        <f t="shared" si="1"/>
        <v>10</v>
      </c>
      <c r="J48">
        <v>5</v>
      </c>
    </row>
    <row r="49" spans="2:10">
      <c r="B49">
        <f>IF(C49&lt;C$28,0,IF(C49=C$28,1,2))</f>
        <v>0</v>
      </c>
      <c r="C49" s="472">
        <v>0.22</v>
      </c>
      <c r="E49" s="517">
        <v>4</v>
      </c>
      <c r="F49" s="1035">
        <f t="shared" si="0"/>
        <v>44681</v>
      </c>
      <c r="G49">
        <v>4</v>
      </c>
      <c r="H49" s="1035">
        <f>H48+31</f>
        <v>44652</v>
      </c>
      <c r="I49">
        <f t="shared" si="1"/>
        <v>9</v>
      </c>
      <c r="J49">
        <v>7</v>
      </c>
    </row>
    <row r="50" spans="2:10">
      <c r="B50">
        <v>1</v>
      </c>
      <c r="C50" s="472">
        <v>0.22</v>
      </c>
      <c r="E50" s="517">
        <v>5</v>
      </c>
      <c r="F50" s="1035">
        <f t="shared" si="0"/>
        <v>44712</v>
      </c>
      <c r="G50">
        <v>5</v>
      </c>
      <c r="H50" s="1035">
        <f>H49+30</f>
        <v>44682</v>
      </c>
      <c r="I50">
        <f t="shared" si="1"/>
        <v>8</v>
      </c>
      <c r="J50">
        <v>9</v>
      </c>
    </row>
    <row r="51" spans="2:10">
      <c r="E51" s="517">
        <v>6</v>
      </c>
      <c r="F51" s="1035">
        <f t="shared" si="0"/>
        <v>44742</v>
      </c>
      <c r="G51">
        <v>6</v>
      </c>
      <c r="H51" s="1035">
        <f>H50+31</f>
        <v>44713</v>
      </c>
      <c r="I51">
        <f t="shared" si="1"/>
        <v>7</v>
      </c>
      <c r="J51">
        <v>11</v>
      </c>
    </row>
    <row r="52" spans="2:10">
      <c r="E52" s="517">
        <v>7</v>
      </c>
      <c r="F52" s="1035">
        <f t="shared" si="0"/>
        <v>44773</v>
      </c>
      <c r="G52">
        <v>7</v>
      </c>
      <c r="H52" s="1035">
        <f>H51+30</f>
        <v>44743</v>
      </c>
      <c r="I52">
        <f t="shared" si="1"/>
        <v>6</v>
      </c>
      <c r="J52">
        <v>13</v>
      </c>
    </row>
    <row r="53" spans="2:10">
      <c r="E53" s="517">
        <v>8</v>
      </c>
      <c r="F53" s="1035">
        <f t="shared" si="0"/>
        <v>44804</v>
      </c>
      <c r="G53">
        <v>8</v>
      </c>
      <c r="H53" s="1035">
        <f>H52+31</f>
        <v>44774</v>
      </c>
      <c r="I53">
        <f t="shared" si="1"/>
        <v>5</v>
      </c>
      <c r="J53">
        <v>15</v>
      </c>
    </row>
    <row r="54" spans="2:10">
      <c r="E54" s="517">
        <v>9</v>
      </c>
      <c r="F54" s="1035">
        <f t="shared" si="0"/>
        <v>44834</v>
      </c>
      <c r="G54">
        <v>9</v>
      </c>
      <c r="H54" s="1035">
        <f>H53+31</f>
        <v>44805</v>
      </c>
      <c r="I54">
        <f t="shared" si="1"/>
        <v>4</v>
      </c>
      <c r="J54">
        <v>17</v>
      </c>
    </row>
    <row r="55" spans="2:10">
      <c r="E55" s="517">
        <v>10</v>
      </c>
      <c r="F55" s="1035">
        <f t="shared" si="0"/>
        <v>44865</v>
      </c>
      <c r="G55">
        <v>10</v>
      </c>
      <c r="H55" s="1035">
        <f>H54+30</f>
        <v>44835</v>
      </c>
      <c r="I55">
        <f t="shared" si="1"/>
        <v>3</v>
      </c>
      <c r="J55">
        <v>19</v>
      </c>
    </row>
    <row r="56" spans="2:10">
      <c r="E56" s="517">
        <v>11</v>
      </c>
      <c r="F56" s="1035">
        <f t="shared" si="0"/>
        <v>44895</v>
      </c>
      <c r="G56">
        <v>11</v>
      </c>
      <c r="H56" s="1035">
        <f>H55+31</f>
        <v>44866</v>
      </c>
      <c r="I56">
        <f t="shared" si="1"/>
        <v>2</v>
      </c>
      <c r="J56">
        <v>21</v>
      </c>
    </row>
    <row r="57" spans="2:10">
      <c r="E57" s="517">
        <v>12</v>
      </c>
      <c r="F57" s="1035">
        <f>H57+30</f>
        <v>44926</v>
      </c>
      <c r="G57">
        <v>12</v>
      </c>
      <c r="H57" s="1035">
        <f>H56+30</f>
        <v>44896</v>
      </c>
      <c r="I57">
        <f t="shared" si="1"/>
        <v>1</v>
      </c>
      <c r="J57">
        <v>23</v>
      </c>
    </row>
  </sheetData>
  <mergeCells count="4">
    <mergeCell ref="I43:I45"/>
    <mergeCell ref="J43:J45"/>
    <mergeCell ref="E7:F7"/>
    <mergeCell ref="H7:I7"/>
  </mergeCell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44388-9722-4C23-A8AF-EAD7B1F0C920}">
  <sheetPr codeName="Sheet6"/>
  <dimension ref="A2:F32"/>
  <sheetViews>
    <sheetView workbookViewId="0">
      <selection activeCell="C14" sqref="C14"/>
    </sheetView>
  </sheetViews>
  <sheetFormatPr defaultRowHeight="12.5"/>
  <cols>
    <col min="1" max="1" width="3.54296875" customWidth="1"/>
    <col min="2" max="2" width="54.54296875" customWidth="1"/>
    <col min="3" max="3" width="10.1796875" customWidth="1"/>
    <col min="4" max="4" width="2.1796875" customWidth="1"/>
    <col min="5" max="5" width="4.54296875" customWidth="1"/>
    <col min="6" max="6" width="48" customWidth="1"/>
    <col min="8" max="8" width="11" customWidth="1"/>
    <col min="9" max="9" width="12.26953125" customWidth="1"/>
  </cols>
  <sheetData>
    <row r="2" spans="1:6" ht="13">
      <c r="B2" s="290" t="s">
        <v>505</v>
      </c>
    </row>
    <row r="3" spans="1:6" ht="13">
      <c r="B3" s="290"/>
    </row>
    <row r="4" spans="1:6">
      <c r="A4" s="373" t="s">
        <v>194</v>
      </c>
      <c r="B4" s="373" t="s">
        <v>89</v>
      </c>
      <c r="C4">
        <f>Calculations!P5</f>
        <v>1</v>
      </c>
    </row>
    <row r="5" spans="1:6">
      <c r="A5" s="373" t="s">
        <v>177</v>
      </c>
      <c r="B5" s="373" t="s">
        <v>506</v>
      </c>
      <c r="C5" s="333">
        <f>'Input &amp; Results'!H19+'Input &amp; Results'!H29</f>
        <v>3000</v>
      </c>
      <c r="D5" s="333"/>
      <c r="E5" s="373" t="s">
        <v>524</v>
      </c>
    </row>
    <row r="6" spans="1:6">
      <c r="A6" s="373" t="s">
        <v>190</v>
      </c>
      <c r="B6" s="373" t="s">
        <v>529</v>
      </c>
      <c r="C6" s="333">
        <f>Deductions!C3</f>
        <v>100</v>
      </c>
      <c r="D6" s="333"/>
      <c r="E6" s="373" t="s">
        <v>542</v>
      </c>
    </row>
    <row r="7" spans="1:6">
      <c r="A7" s="373" t="s">
        <v>517</v>
      </c>
      <c r="B7" s="373" t="s">
        <v>530</v>
      </c>
      <c r="C7" s="333">
        <f>Deductions!C4</f>
        <v>211.94324999999998</v>
      </c>
      <c r="D7" s="333"/>
      <c r="E7" s="373" t="s">
        <v>543</v>
      </c>
    </row>
    <row r="8" spans="1:6">
      <c r="A8" s="373" t="s">
        <v>518</v>
      </c>
      <c r="B8" s="373" t="s">
        <v>531</v>
      </c>
      <c r="C8" s="333">
        <f>Deductions!C5</f>
        <v>0</v>
      </c>
      <c r="D8" s="333"/>
      <c r="E8" s="373" t="s">
        <v>542</v>
      </c>
    </row>
    <row r="9" spans="1:6">
      <c r="A9" s="373" t="s">
        <v>519</v>
      </c>
      <c r="B9" s="373" t="s">
        <v>528</v>
      </c>
      <c r="C9" s="333">
        <f>MAX(C5-C6-C7-C8,0)</f>
        <v>2688.0567500000002</v>
      </c>
      <c r="D9" s="333"/>
      <c r="E9" s="680" t="s">
        <v>544</v>
      </c>
    </row>
    <row r="10" spans="1:6">
      <c r="A10" s="373" t="s">
        <v>520</v>
      </c>
      <c r="B10" s="373" t="s">
        <v>507</v>
      </c>
      <c r="C10" s="333">
        <f>MAX(Calculations!U4-Calculations!AA3,0)</f>
        <v>131888.05674999999</v>
      </c>
      <c r="D10" s="333"/>
      <c r="E10" s="676" t="s">
        <v>525</v>
      </c>
    </row>
    <row r="11" spans="1:6">
      <c r="A11" s="373" t="s">
        <v>521</v>
      </c>
      <c r="B11" s="373" t="s">
        <v>508</v>
      </c>
      <c r="C11" s="333">
        <f>MIN(C9:C10)</f>
        <v>2688.0567500000002</v>
      </c>
      <c r="D11" s="333"/>
      <c r="E11" s="373" t="s">
        <v>536</v>
      </c>
    </row>
    <row r="12" spans="1:6">
      <c r="A12" s="373" t="s">
        <v>522</v>
      </c>
      <c r="B12" s="373" t="s">
        <v>509</v>
      </c>
      <c r="C12" s="333">
        <f>C11*E12</f>
        <v>537.61135000000002</v>
      </c>
      <c r="D12" s="333"/>
      <c r="E12" s="472">
        <v>0.2</v>
      </c>
      <c r="F12" s="373" t="s">
        <v>537</v>
      </c>
    </row>
    <row r="14" spans="1:6">
      <c r="A14" s="373" t="s">
        <v>523</v>
      </c>
      <c r="B14" s="373" t="s">
        <v>510</v>
      </c>
      <c r="C14" s="333">
        <f>Calculations!H28</f>
        <v>170050</v>
      </c>
      <c r="D14" s="333"/>
      <c r="E14" s="373" t="s">
        <v>526</v>
      </c>
    </row>
    <row r="15" spans="1:6">
      <c r="A15" s="373" t="s">
        <v>270</v>
      </c>
      <c r="B15" s="373" t="s">
        <v>511</v>
      </c>
      <c r="C15" s="333">
        <f>IF(C4=2,100000,50000)</f>
        <v>50000</v>
      </c>
      <c r="D15" s="333"/>
      <c r="E15" s="373" t="s">
        <v>527</v>
      </c>
    </row>
    <row r="16" spans="1:6">
      <c r="A16" s="373" t="s">
        <v>246</v>
      </c>
      <c r="B16" s="373" t="s">
        <v>512</v>
      </c>
      <c r="C16" s="333">
        <f>C14+C15</f>
        <v>220050</v>
      </c>
      <c r="D16" s="333"/>
      <c r="E16" s="373" t="s">
        <v>538</v>
      </c>
    </row>
    <row r="17" spans="1:5">
      <c r="C17" s="333"/>
      <c r="D17" s="333"/>
    </row>
    <row r="18" spans="1:5">
      <c r="A18" s="373" t="s">
        <v>244</v>
      </c>
      <c r="B18" s="373" t="s">
        <v>514</v>
      </c>
      <c r="C18" s="677">
        <f>MIN(MAX(0,C10-C14)/C15,1)</f>
        <v>0</v>
      </c>
      <c r="D18" s="677"/>
      <c r="E18" s="373" t="s">
        <v>539</v>
      </c>
    </row>
    <row r="19" spans="1:5">
      <c r="A19" s="373" t="s">
        <v>532</v>
      </c>
      <c r="B19" s="373" t="s">
        <v>513</v>
      </c>
      <c r="C19" s="333">
        <f>C18*C12</f>
        <v>0</v>
      </c>
      <c r="D19" s="333"/>
      <c r="E19" s="373" t="s">
        <v>540</v>
      </c>
    </row>
    <row r="20" spans="1:5">
      <c r="C20" s="333"/>
      <c r="D20" s="333"/>
    </row>
    <row r="21" spans="1:5">
      <c r="A21" s="373" t="s">
        <v>534</v>
      </c>
      <c r="B21" s="373" t="s">
        <v>515</v>
      </c>
      <c r="C21" s="333">
        <f>MAX(C12-C19,0)</f>
        <v>537.61135000000002</v>
      </c>
      <c r="D21" s="333"/>
      <c r="E21" s="680" t="s">
        <v>545</v>
      </c>
    </row>
    <row r="22" spans="1:5">
      <c r="C22" s="333"/>
      <c r="D22" s="333"/>
    </row>
    <row r="23" spans="1:5">
      <c r="A23" s="373" t="s">
        <v>533</v>
      </c>
      <c r="B23" s="373" t="s">
        <v>516</v>
      </c>
      <c r="C23" s="678">
        <f>C10-C21</f>
        <v>131350.4454</v>
      </c>
      <c r="D23" s="679"/>
      <c r="E23" s="373" t="s">
        <v>541</v>
      </c>
    </row>
    <row r="31" spans="1:5">
      <c r="B31" s="728"/>
    </row>
    <row r="32" spans="1:5">
      <c r="B32" s="72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18232-0E62-4E60-9210-3AC312ED150F}">
  <sheetPr codeName="Sheet7">
    <tabColor rgb="FFFFC000"/>
  </sheetPr>
  <dimension ref="A1:E22"/>
  <sheetViews>
    <sheetView workbookViewId="0">
      <selection activeCell="E14" sqref="E14"/>
    </sheetView>
  </sheetViews>
  <sheetFormatPr defaultRowHeight="12.5"/>
  <cols>
    <col min="1" max="1" width="3.81640625" customWidth="1"/>
    <col min="2" max="2" width="84.26953125" customWidth="1"/>
    <col min="3" max="4" width="9.7265625" customWidth="1"/>
    <col min="5" max="5" width="11.26953125" customWidth="1"/>
    <col min="6" max="6" width="2.1796875" customWidth="1"/>
  </cols>
  <sheetData>
    <row r="1" spans="1:5" ht="13">
      <c r="B1" s="290" t="s">
        <v>331</v>
      </c>
    </row>
    <row r="2" spans="1:5" ht="25">
      <c r="C2" s="599" t="s">
        <v>450</v>
      </c>
      <c r="D2" s="598" t="s">
        <v>448</v>
      </c>
      <c r="E2" s="448" t="s">
        <v>346</v>
      </c>
    </row>
    <row r="3" spans="1:5" ht="25">
      <c r="A3" s="418">
        <v>1</v>
      </c>
      <c r="B3" s="422" t="s">
        <v>335</v>
      </c>
      <c r="C3" s="441">
        <f>'Input &amp; Results'!H19</f>
        <v>3000</v>
      </c>
      <c r="D3" s="441">
        <f>'Input &amp; Results'!H29</f>
        <v>0</v>
      </c>
      <c r="E3" s="980">
        <f>Parameters!CN2</f>
        <v>400</v>
      </c>
    </row>
    <row r="4" spans="1:5">
      <c r="A4">
        <v>2</v>
      </c>
      <c r="B4" s="373" t="s">
        <v>332</v>
      </c>
      <c r="C4" s="291">
        <f>IF(C3*$E4&lt;$E3,0,C3*$E4)</f>
        <v>2770.5</v>
      </c>
      <c r="D4" s="291">
        <f>IF(D3*$E4&lt;$E3,0,D3*$E4)</f>
        <v>0</v>
      </c>
      <c r="E4" s="999">
        <f>Parameters!CM2</f>
        <v>0.92349999999999999</v>
      </c>
    </row>
    <row r="5" spans="1:5">
      <c r="A5">
        <v>3</v>
      </c>
      <c r="B5" s="391" t="s">
        <v>408</v>
      </c>
      <c r="C5" s="291">
        <f>SUM('Input &amp; Results'!H13:H17)+SUM('Input &amp; Results'!O31:O32)</f>
        <v>140000</v>
      </c>
      <c r="D5" s="291">
        <f>SUM('Input &amp; Results'!H23:H27)+SUM('Input &amp; Results'!O38:O39)</f>
        <v>0</v>
      </c>
    </row>
    <row r="6" spans="1:5">
      <c r="A6">
        <v>4</v>
      </c>
      <c r="B6" s="391" t="s">
        <v>347</v>
      </c>
      <c r="C6" s="440">
        <f>$E6</f>
        <v>147000</v>
      </c>
      <c r="D6" s="440">
        <f>$E6</f>
        <v>147000</v>
      </c>
      <c r="E6" s="980">
        <f>Parameters!CP2</f>
        <v>147000</v>
      </c>
    </row>
    <row r="7" spans="1:5">
      <c r="A7">
        <v>5</v>
      </c>
      <c r="B7" s="469" t="s">
        <v>386</v>
      </c>
      <c r="C7" s="291">
        <f>MAX(C6-C5,0)</f>
        <v>7000</v>
      </c>
      <c r="D7" s="291">
        <f>MAX(D6-D5,0)</f>
        <v>147000</v>
      </c>
    </row>
    <row r="8" spans="1:5">
      <c r="A8">
        <v>6</v>
      </c>
      <c r="B8" s="391" t="s">
        <v>334</v>
      </c>
      <c r="C8" s="291">
        <f>MIN(C4,C7)</f>
        <v>2770.5</v>
      </c>
      <c r="D8" s="291">
        <f>MIN(D4,D7)</f>
        <v>0</v>
      </c>
    </row>
    <row r="9" spans="1:5">
      <c r="A9">
        <v>7</v>
      </c>
      <c r="B9" s="391" t="s">
        <v>336</v>
      </c>
      <c r="C9" s="291">
        <f>C8*$E9</f>
        <v>343.54199999999997</v>
      </c>
      <c r="D9" s="291">
        <f>D8*$E9</f>
        <v>0</v>
      </c>
      <c r="E9" s="1046">
        <f>Parameters!CQ2</f>
        <v>0.124</v>
      </c>
    </row>
    <row r="10" spans="1:5" ht="13" thickBot="1">
      <c r="A10">
        <v>8</v>
      </c>
      <c r="B10" s="391" t="s">
        <v>333</v>
      </c>
      <c r="C10" s="291">
        <f>C4*$E10</f>
        <v>80.344500000000011</v>
      </c>
      <c r="D10" s="291">
        <f>D4*$E10</f>
        <v>0</v>
      </c>
      <c r="E10" s="1046">
        <f>Parameters!CO2</f>
        <v>2.9000000000000001E-2</v>
      </c>
    </row>
    <row r="11" spans="1:5" ht="13.5" thickBot="1">
      <c r="A11">
        <v>9</v>
      </c>
      <c r="B11" s="442" t="s">
        <v>337</v>
      </c>
      <c r="C11" s="439">
        <f>C9+C10</f>
        <v>423.88649999999996</v>
      </c>
      <c r="D11" s="439">
        <f>D9+D10</f>
        <v>0</v>
      </c>
    </row>
    <row r="12" spans="1:5">
      <c r="B12" s="391" t="s">
        <v>338</v>
      </c>
      <c r="C12" s="291"/>
      <c r="D12" s="291"/>
    </row>
    <row r="13" spans="1:5" ht="13" thickBot="1">
      <c r="C13" s="291"/>
      <c r="D13" s="291"/>
    </row>
    <row r="14" spans="1:5" ht="13.5" thickBot="1">
      <c r="A14">
        <v>10</v>
      </c>
      <c r="B14" s="373" t="s">
        <v>339</v>
      </c>
      <c r="C14" s="439">
        <f>(C11+D11)/2</f>
        <v>211.94324999999998</v>
      </c>
    </row>
    <row r="15" spans="1:5">
      <c r="B15" s="391" t="s">
        <v>341</v>
      </c>
      <c r="D15" s="291"/>
    </row>
    <row r="16" spans="1:5">
      <c r="B16" s="127"/>
      <c r="C16" s="127"/>
      <c r="D16" s="127"/>
      <c r="E16" s="127"/>
    </row>
    <row r="17" spans="2:5">
      <c r="B17" s="127"/>
      <c r="C17" s="127"/>
      <c r="D17" s="127"/>
      <c r="E17" s="127"/>
    </row>
    <row r="18" spans="2:5">
      <c r="B18" s="127"/>
      <c r="C18" s="127"/>
      <c r="D18" s="127"/>
      <c r="E18" s="127"/>
    </row>
    <row r="19" spans="2:5">
      <c r="B19" s="127"/>
      <c r="C19" s="127"/>
      <c r="D19" s="127"/>
      <c r="E19" s="127"/>
    </row>
    <row r="20" spans="2:5">
      <c r="B20" s="127"/>
      <c r="C20" s="127"/>
      <c r="D20" s="127"/>
      <c r="E20" s="127"/>
    </row>
    <row r="21" spans="2:5">
      <c r="B21" s="127"/>
      <c r="C21" s="127"/>
      <c r="D21" s="127"/>
      <c r="E21" s="127"/>
    </row>
    <row r="22" spans="2:5">
      <c r="B22" s="127"/>
      <c r="C22" s="127"/>
      <c r="D22" s="127"/>
      <c r="E22" s="127"/>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D0146-67AB-445F-BC52-54062B0C9020}">
  <sheetPr codeName="Sheet8">
    <tabColor rgb="FFFFC000"/>
  </sheetPr>
  <dimension ref="B2:L51"/>
  <sheetViews>
    <sheetView topLeftCell="C7" workbookViewId="0">
      <selection activeCell="E13" sqref="E13"/>
    </sheetView>
  </sheetViews>
  <sheetFormatPr defaultRowHeight="12.5"/>
  <cols>
    <col min="1" max="1" width="2.1796875" customWidth="1"/>
    <col min="2" max="2" width="3.1796875" customWidth="1"/>
    <col min="3" max="3" width="78.81640625" style="417" customWidth="1"/>
    <col min="4" max="4" width="5.26953125" customWidth="1"/>
    <col min="5" max="5" width="11.26953125" customWidth="1"/>
    <col min="6" max="6" width="10" customWidth="1"/>
    <col min="8" max="8" width="25.26953125" bestFit="1" customWidth="1"/>
    <col min="10" max="10" width="10.453125" customWidth="1"/>
    <col min="11" max="11" width="11" customWidth="1"/>
  </cols>
  <sheetData>
    <row r="2" spans="2:10" ht="15.5">
      <c r="B2" s="450" t="s">
        <v>418</v>
      </c>
    </row>
    <row r="4" spans="2:10" ht="13">
      <c r="B4" s="290" t="s">
        <v>411</v>
      </c>
    </row>
    <row r="5" spans="2:10" ht="44.25" customHeight="1">
      <c r="C5" s="1149" t="s">
        <v>412</v>
      </c>
      <c r="D5" s="1150"/>
      <c r="E5" s="1150"/>
      <c r="F5" s="1150"/>
      <c r="G5" s="1150"/>
      <c r="H5" s="1150"/>
      <c r="I5" s="1150"/>
      <c r="J5" s="1151"/>
    </row>
    <row r="6" spans="2:10">
      <c r="C6" s="422"/>
      <c r="D6" s="636">
        <f>IF(Calculations!P3=1,1,0)</f>
        <v>0</v>
      </c>
      <c r="E6" s="394" t="s">
        <v>48</v>
      </c>
      <c r="F6" s="395"/>
      <c r="G6" s="637"/>
    </row>
    <row r="7" spans="2:10">
      <c r="D7" s="534">
        <f>IF(OR(Calculations!P5=2,Calculations!P5=5),0,1)</f>
        <v>1</v>
      </c>
      <c r="E7" s="455" t="s">
        <v>440</v>
      </c>
      <c r="F7" s="535"/>
      <c r="G7" s="529"/>
    </row>
    <row r="8" spans="2:10">
      <c r="C8" s="422"/>
    </row>
    <row r="9" spans="2:10" ht="13">
      <c r="C9" s="536" t="s">
        <v>439</v>
      </c>
      <c r="D9" s="527">
        <f>IF(AND(D6=1,D7=1),1,0)</f>
        <v>0</v>
      </c>
    </row>
    <row r="10" spans="2:10">
      <c r="C10" s="422"/>
    </row>
    <row r="11" spans="2:10" ht="13">
      <c r="C11" s="526" t="s">
        <v>474</v>
      </c>
    </row>
    <row r="12" spans="2:10" ht="13">
      <c r="B12" s="525">
        <v>1</v>
      </c>
      <c r="C12" s="437" t="s">
        <v>413</v>
      </c>
      <c r="E12" s="333">
        <f>Calculations!U3-Calculations!U2</f>
        <v>2500</v>
      </c>
    </row>
    <row r="13" spans="2:10" ht="37.5">
      <c r="B13" s="525">
        <v>2</v>
      </c>
      <c r="C13" s="437" t="s">
        <v>475</v>
      </c>
      <c r="E13" s="512">
        <f>2*Calculations!AC4</f>
        <v>2300</v>
      </c>
      <c r="F13" t="s">
        <v>494</v>
      </c>
      <c r="H13" s="537" t="s">
        <v>504</v>
      </c>
    </row>
    <row r="14" spans="2:10" ht="37.5">
      <c r="B14" s="525">
        <v>3</v>
      </c>
      <c r="C14" s="437" t="s">
        <v>441</v>
      </c>
      <c r="E14" s="333">
        <f>IF(OR(D9=0,E12-E13&lt;=0),0,E12-E13)</f>
        <v>0</v>
      </c>
      <c r="H14" s="668" t="s">
        <v>493</v>
      </c>
    </row>
    <row r="15" spans="2:10" ht="19.5" customHeight="1">
      <c r="B15" s="525">
        <v>4</v>
      </c>
      <c r="C15" s="437" t="s">
        <v>415</v>
      </c>
      <c r="E15" s="333">
        <f>Calculations!U7</f>
        <v>131350.4454</v>
      </c>
    </row>
    <row r="16" spans="2:10" ht="26">
      <c r="B16" s="525">
        <v>5</v>
      </c>
      <c r="C16" s="673" t="s">
        <v>502</v>
      </c>
      <c r="E16" s="333">
        <f>MIN(E14:E15)</f>
        <v>0</v>
      </c>
      <c r="H16" s="675" t="s">
        <v>503</v>
      </c>
    </row>
    <row r="17" spans="2:12" ht="13">
      <c r="B17" s="525"/>
      <c r="C17" s="419"/>
      <c r="E17" s="333"/>
    </row>
    <row r="18" spans="2:12" ht="16.5" customHeight="1">
      <c r="B18" s="525">
        <v>6</v>
      </c>
      <c r="C18" s="437" t="s">
        <v>414</v>
      </c>
      <c r="E18" s="333">
        <f>IF(E16=0,0,E15-E16)</f>
        <v>0</v>
      </c>
    </row>
    <row r="19" spans="2:12" ht="19.5" customHeight="1">
      <c r="B19" s="525">
        <v>7</v>
      </c>
      <c r="C19" s="437" t="s">
        <v>416</v>
      </c>
      <c r="D19" s="417"/>
      <c r="E19" s="333"/>
      <c r="F19" s="417"/>
      <c r="G19" s="417"/>
      <c r="H19" s="417"/>
      <c r="I19" s="417"/>
      <c r="J19" s="417"/>
      <c r="K19" s="417"/>
      <c r="L19" s="417"/>
    </row>
    <row r="20" spans="2:12">
      <c r="E20" s="333"/>
    </row>
    <row r="21" spans="2:12" ht="13.5" thickBot="1">
      <c r="C21" s="526" t="s">
        <v>435</v>
      </c>
      <c r="E21" s="333"/>
      <c r="F21" s="528" t="s">
        <v>492</v>
      </c>
      <c r="I21" s="671" t="s">
        <v>499</v>
      </c>
      <c r="J21" s="672"/>
      <c r="K21" s="672"/>
    </row>
    <row r="22" spans="2:12">
      <c r="C22" s="373" t="s">
        <v>473</v>
      </c>
      <c r="D22">
        <v>1</v>
      </c>
      <c r="E22" s="333">
        <f>IF(E14=0,0,E18+F22)</f>
        <v>0</v>
      </c>
      <c r="F22" s="512">
        <v>2600</v>
      </c>
      <c r="G22" t="s">
        <v>494</v>
      </c>
      <c r="I22" s="669" t="s">
        <v>498</v>
      </c>
      <c r="J22" s="670" t="s">
        <v>500</v>
      </c>
      <c r="K22" s="670" t="s">
        <v>501</v>
      </c>
    </row>
    <row r="23" spans="2:12" ht="13.5" thickBot="1">
      <c r="C23" s="373" t="s">
        <v>419</v>
      </c>
      <c r="D23">
        <v>2</v>
      </c>
      <c r="E23" s="333">
        <f>MIN(E15,E22)</f>
        <v>0</v>
      </c>
      <c r="G23" s="290" t="s">
        <v>465</v>
      </c>
      <c r="I23" s="392" t="s">
        <v>436</v>
      </c>
      <c r="J23" s="392" t="s">
        <v>437</v>
      </c>
      <c r="K23" s="392" t="s">
        <v>438</v>
      </c>
    </row>
    <row r="24" spans="2:12" ht="13" thickBot="1">
      <c r="C24" s="373" t="s">
        <v>466</v>
      </c>
      <c r="D24">
        <v>3</v>
      </c>
      <c r="E24" s="333">
        <f>MIN(E23,F24)</f>
        <v>0</v>
      </c>
      <c r="F24" s="333">
        <f>VLOOKUP(Calculations!P$5,$G$24:$K$28,3)</f>
        <v>10275</v>
      </c>
      <c r="G24" s="125">
        <v>1</v>
      </c>
      <c r="H24" s="533" t="s">
        <v>197</v>
      </c>
      <c r="I24" s="663">
        <f>Calculations!B25</f>
        <v>10275</v>
      </c>
      <c r="J24" s="663">
        <f>Calculations!B26</f>
        <v>41775</v>
      </c>
      <c r="K24" s="664">
        <f>Calculations!B30</f>
        <v>539900</v>
      </c>
    </row>
    <row r="25" spans="2:12" ht="13" thickBot="1">
      <c r="C25" s="373" t="s">
        <v>420</v>
      </c>
      <c r="D25">
        <v>4</v>
      </c>
      <c r="E25" s="531">
        <f>E24*F25</f>
        <v>0</v>
      </c>
      <c r="F25" s="530">
        <v>0.1</v>
      </c>
      <c r="G25" s="57">
        <v>2</v>
      </c>
      <c r="H25" s="205" t="s">
        <v>55</v>
      </c>
      <c r="I25" s="659">
        <v>0</v>
      </c>
      <c r="J25" s="659">
        <v>0</v>
      </c>
      <c r="K25" s="660">
        <v>0</v>
      </c>
    </row>
    <row r="26" spans="2:12">
      <c r="C26" s="373" t="s">
        <v>467</v>
      </c>
      <c r="D26">
        <v>5</v>
      </c>
      <c r="E26" s="333">
        <f>MIN(E$23,F26)</f>
        <v>0</v>
      </c>
      <c r="F26" s="333">
        <f>VLOOKUP(Calculations!P$5,$G$24:$J$28,4)</f>
        <v>41775</v>
      </c>
      <c r="G26" s="57">
        <v>3</v>
      </c>
      <c r="H26" s="205" t="s">
        <v>11</v>
      </c>
      <c r="I26" s="665">
        <f>Calculations!D25</f>
        <v>10275</v>
      </c>
      <c r="J26" s="665">
        <f>Calculations!D26</f>
        <v>41775</v>
      </c>
      <c r="K26" s="666">
        <f>Calculations!D30</f>
        <v>323925</v>
      </c>
    </row>
    <row r="27" spans="2:12" ht="13" thickBot="1">
      <c r="C27" s="373" t="s">
        <v>421</v>
      </c>
      <c r="D27">
        <v>6</v>
      </c>
      <c r="E27" s="333">
        <f>MAX(E26-E24,0)</f>
        <v>0</v>
      </c>
      <c r="G27" s="57">
        <v>4</v>
      </c>
      <c r="H27" s="205" t="s">
        <v>199</v>
      </c>
      <c r="I27" s="665">
        <f>Calculations!E25</f>
        <v>14650</v>
      </c>
      <c r="J27" s="665">
        <f>Calculations!E26</f>
        <v>55900</v>
      </c>
      <c r="K27" s="666">
        <f>Calculations!E30</f>
        <v>539900</v>
      </c>
    </row>
    <row r="28" spans="2:12" ht="13" thickBot="1">
      <c r="C28" s="373" t="s">
        <v>422</v>
      </c>
      <c r="D28">
        <v>7</v>
      </c>
      <c r="E28" s="531">
        <f>E27*F28</f>
        <v>0</v>
      </c>
      <c r="F28" s="530">
        <v>0.12</v>
      </c>
      <c r="G28" s="58">
        <v>5</v>
      </c>
      <c r="H28" s="208" t="s">
        <v>205</v>
      </c>
      <c r="I28" s="661">
        <v>0</v>
      </c>
      <c r="J28" s="661">
        <v>0</v>
      </c>
      <c r="K28" s="662">
        <v>0</v>
      </c>
    </row>
    <row r="29" spans="2:12">
      <c r="C29" s="373" t="s">
        <v>472</v>
      </c>
      <c r="D29">
        <v>8</v>
      </c>
      <c r="E29" s="333">
        <f>MIN(E$23,F29)</f>
        <v>0</v>
      </c>
      <c r="F29" s="667">
        <f>Calculations!B27</f>
        <v>89075</v>
      </c>
      <c r="G29" t="s">
        <v>495</v>
      </c>
    </row>
    <row r="30" spans="2:12" ht="13" thickBot="1">
      <c r="C30" s="373" t="s">
        <v>423</v>
      </c>
      <c r="D30">
        <v>9</v>
      </c>
      <c r="E30" s="333">
        <f>MAX(E29-E26,0)</f>
        <v>0</v>
      </c>
      <c r="J30">
        <v>0.1</v>
      </c>
    </row>
    <row r="31" spans="2:12" ht="13" thickBot="1">
      <c r="C31" s="373" t="s">
        <v>424</v>
      </c>
      <c r="D31">
        <v>10</v>
      </c>
      <c r="E31" s="531">
        <f>E30*F31</f>
        <v>0</v>
      </c>
      <c r="F31" s="530">
        <v>0.22</v>
      </c>
    </row>
    <row r="32" spans="2:12">
      <c r="C32" s="373" t="s">
        <v>471</v>
      </c>
      <c r="D32">
        <v>11</v>
      </c>
      <c r="E32" s="333">
        <f>IF(E18&gt;0,E18+F32,0)</f>
        <v>0</v>
      </c>
      <c r="F32" s="674">
        <v>9450</v>
      </c>
      <c r="G32" t="s">
        <v>494</v>
      </c>
    </row>
    <row r="33" spans="3:7">
      <c r="C33" s="373" t="s">
        <v>425</v>
      </c>
      <c r="D33">
        <v>12</v>
      </c>
      <c r="E33" s="333">
        <f>MIN(E15,E32)</f>
        <v>0</v>
      </c>
    </row>
    <row r="34" spans="3:7">
      <c r="C34" s="373" t="s">
        <v>468</v>
      </c>
      <c r="D34">
        <v>13</v>
      </c>
      <c r="E34" s="333">
        <f>MIN(E33,F34)</f>
        <v>0</v>
      </c>
      <c r="F34" s="667">
        <f>Calculations!B28</f>
        <v>170050</v>
      </c>
      <c r="G34" t="s">
        <v>496</v>
      </c>
    </row>
    <row r="35" spans="3:7" ht="13" thickBot="1">
      <c r="C35" s="373" t="s">
        <v>426</v>
      </c>
      <c r="D35">
        <v>14</v>
      </c>
      <c r="E35" s="333">
        <f>MAX(E34-E29,0)</f>
        <v>0</v>
      </c>
    </row>
    <row r="36" spans="3:7" ht="13" thickBot="1">
      <c r="C36" s="373" t="s">
        <v>427</v>
      </c>
      <c r="D36">
        <v>15</v>
      </c>
      <c r="E36" s="531">
        <f>E35*F36</f>
        <v>0</v>
      </c>
      <c r="F36" s="530">
        <v>0.24</v>
      </c>
    </row>
    <row r="37" spans="3:7">
      <c r="C37" s="373" t="s">
        <v>469</v>
      </c>
      <c r="D37">
        <v>16</v>
      </c>
      <c r="E37" s="333">
        <f>MIN(E33,F37)</f>
        <v>0</v>
      </c>
      <c r="F37" s="667">
        <f>Calculations!B29</f>
        <v>215950</v>
      </c>
      <c r="G37" t="s">
        <v>497</v>
      </c>
    </row>
    <row r="38" spans="3:7" ht="13" thickBot="1">
      <c r="C38" s="373" t="s">
        <v>428</v>
      </c>
      <c r="D38">
        <v>17</v>
      </c>
      <c r="E38" s="333">
        <f>MAX(E37-E34,0)</f>
        <v>0</v>
      </c>
    </row>
    <row r="39" spans="3:7" ht="13" thickBot="1">
      <c r="C39" s="373" t="s">
        <v>429</v>
      </c>
      <c r="D39">
        <v>18</v>
      </c>
      <c r="E39" s="531">
        <f>E38*F39</f>
        <v>0</v>
      </c>
      <c r="F39" s="530">
        <v>0.32</v>
      </c>
    </row>
    <row r="40" spans="3:7">
      <c r="C40" s="373" t="s">
        <v>470</v>
      </c>
      <c r="D40">
        <v>19</v>
      </c>
      <c r="E40" s="333">
        <f>IF(E18&lt;=0,0,E18+F40)</f>
        <v>0</v>
      </c>
      <c r="F40" s="674">
        <v>12950</v>
      </c>
      <c r="G40" t="s">
        <v>494</v>
      </c>
    </row>
    <row r="41" spans="3:7">
      <c r="C41" s="373" t="s">
        <v>430</v>
      </c>
      <c r="D41">
        <v>20</v>
      </c>
      <c r="E41" s="333">
        <f>MIN(E15,E40)</f>
        <v>0</v>
      </c>
    </row>
    <row r="42" spans="3:7">
      <c r="C42" t="s">
        <v>464</v>
      </c>
      <c r="D42">
        <v>21</v>
      </c>
      <c r="E42" s="333">
        <f>MIN(E41,F42)</f>
        <v>0</v>
      </c>
      <c r="F42" s="333">
        <f>VLOOKUP(Calculations!P$5,$G$24:$K$28,5)</f>
        <v>539900</v>
      </c>
    </row>
    <row r="43" spans="3:7" ht="13" thickBot="1">
      <c r="C43" s="373" t="s">
        <v>431</v>
      </c>
      <c r="D43">
        <v>22</v>
      </c>
      <c r="E43" s="333">
        <f>MAX(E42-E37,0)</f>
        <v>0</v>
      </c>
    </row>
    <row r="44" spans="3:7" ht="13" thickBot="1">
      <c r="C44" s="373" t="s">
        <v>432</v>
      </c>
      <c r="D44">
        <v>23</v>
      </c>
      <c r="E44" s="531">
        <f>E43*F44</f>
        <v>0</v>
      </c>
      <c r="F44" s="530">
        <v>0.35</v>
      </c>
    </row>
    <row r="45" spans="3:7" ht="13" thickBot="1">
      <c r="C45" s="373" t="s">
        <v>433</v>
      </c>
      <c r="D45">
        <v>24</v>
      </c>
      <c r="E45" s="333">
        <f>IF(E14=0,0,MAX(E15-E42,0))</f>
        <v>0</v>
      </c>
    </row>
    <row r="46" spans="3:7" ht="13" thickBot="1">
      <c r="C46" s="373" t="s">
        <v>434</v>
      </c>
      <c r="D46">
        <v>25</v>
      </c>
      <c r="E46" s="531">
        <f>E45*F46</f>
        <v>0</v>
      </c>
      <c r="F46" s="530">
        <v>0.37</v>
      </c>
    </row>
    <row r="47" spans="3:7" ht="38" thickBot="1">
      <c r="C47" s="422" t="s">
        <v>442</v>
      </c>
      <c r="D47">
        <v>26</v>
      </c>
      <c r="E47" s="532">
        <f>E25+E28+E31+E36+E39+E44+E46</f>
        <v>0</v>
      </c>
    </row>
    <row r="48" spans="3:7">
      <c r="E48" s="333"/>
    </row>
    <row r="51" ht="48.75" customHeight="1"/>
  </sheetData>
  <mergeCells count="1">
    <mergeCell ref="C5:J5"/>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F215-2996-4EDD-904D-F9B02779CE49}">
  <sheetPr codeName="Sheet9"/>
  <dimension ref="A2:L73"/>
  <sheetViews>
    <sheetView workbookViewId="0">
      <selection activeCell="B15" sqref="B15"/>
    </sheetView>
  </sheetViews>
  <sheetFormatPr defaultColWidth="9.1796875" defaultRowHeight="14.5"/>
  <cols>
    <col min="1" max="1" width="14.81640625" style="643" customWidth="1"/>
    <col min="2" max="2" width="12.7265625" style="643" customWidth="1"/>
    <col min="3" max="3" width="17" style="643" customWidth="1"/>
    <col min="4" max="4" width="12.1796875" style="643" customWidth="1"/>
    <col min="5" max="5" width="17" style="643" customWidth="1"/>
    <col min="6" max="6" width="12.1796875" style="643" customWidth="1"/>
    <col min="7" max="7" width="17" style="643" customWidth="1"/>
    <col min="8" max="8" width="12.1796875" style="643" customWidth="1"/>
    <col min="9" max="9" width="26.81640625" style="643" customWidth="1"/>
    <col min="10" max="10" width="9.1796875" style="643"/>
    <col min="11" max="11" width="12.81640625" style="643" bestFit="1" customWidth="1"/>
    <col min="12" max="16384" width="9.1796875" style="643"/>
  </cols>
  <sheetData>
    <row r="2" spans="1:12">
      <c r="B2" s="649" t="s">
        <v>456</v>
      </c>
      <c r="D2" s="649" t="s">
        <v>459</v>
      </c>
      <c r="F2" s="649" t="s">
        <v>460</v>
      </c>
      <c r="H2" s="649" t="s">
        <v>461</v>
      </c>
    </row>
    <row r="3" spans="1:12">
      <c r="A3" s="643" t="s">
        <v>482</v>
      </c>
      <c r="B3" s="643">
        <f>Calculations!AM87</f>
        <v>2</v>
      </c>
      <c r="D3" s="643">
        <f>Calculations!AM88</f>
        <v>4</v>
      </c>
      <c r="F3" s="643">
        <f>Calculations!AM89</f>
        <v>1</v>
      </c>
      <c r="H3" s="643">
        <f>Calculations!AM90</f>
        <v>1</v>
      </c>
      <c r="L3" s="648" t="s">
        <v>479</v>
      </c>
    </row>
    <row r="4" spans="1:12">
      <c r="B4" s="648" t="str">
        <f>VLOOKUP(B3,$J$4:$L$7,2)</f>
        <v>Biweekly</v>
      </c>
      <c r="D4" s="648" t="str">
        <f>VLOOKUP(D3,$J$4:$L$7,2)</f>
        <v>Monthly</v>
      </c>
      <c r="F4" s="648" t="str">
        <f>VLOOKUP(F3,$J$4:$L$7,2)</f>
        <v>Weekly</v>
      </c>
      <c r="H4" s="648" t="str">
        <f>VLOOKUP(H3,$J$4:$L$7,2)</f>
        <v>Weekly</v>
      </c>
      <c r="J4" s="643">
        <v>1</v>
      </c>
      <c r="K4" s="644" t="s">
        <v>161</v>
      </c>
      <c r="L4" s="643">
        <v>7</v>
      </c>
    </row>
    <row r="5" spans="1:12">
      <c r="A5" s="650" t="s">
        <v>479</v>
      </c>
      <c r="B5" s="643">
        <f>VLOOKUP(B3,$J$4:$L$7,3)</f>
        <v>14</v>
      </c>
      <c r="D5" s="643">
        <f>VLOOKUP(D3,$J$4:$L$7,3)</f>
        <v>30.416666666666668</v>
      </c>
      <c r="F5" s="643">
        <f>VLOOKUP(F3,$J$4:$L$7,3)</f>
        <v>7</v>
      </c>
      <c r="H5" s="643">
        <f>VLOOKUP(H3,$J$4:$L$7,3)</f>
        <v>7</v>
      </c>
      <c r="J5" s="643">
        <v>2</v>
      </c>
      <c r="K5" s="644" t="s">
        <v>162</v>
      </c>
      <c r="L5" s="643">
        <v>14</v>
      </c>
    </row>
    <row r="6" spans="1:12">
      <c r="A6" s="643" t="s">
        <v>483</v>
      </c>
      <c r="B6" s="651">
        <f>_SD1</f>
        <v>44197</v>
      </c>
      <c r="D6" s="651">
        <f>_SD2</f>
        <v>44197</v>
      </c>
      <c r="F6" s="651">
        <f>_SD3</f>
        <v>0</v>
      </c>
      <c r="H6" s="651">
        <f>_SD4</f>
        <v>0</v>
      </c>
      <c r="J6" s="643">
        <v>3</v>
      </c>
      <c r="K6" s="644" t="s">
        <v>87</v>
      </c>
      <c r="L6" s="643">
        <f>365/24</f>
        <v>15.208333333333334</v>
      </c>
    </row>
    <row r="7" spans="1:12">
      <c r="A7" s="643" t="s">
        <v>484</v>
      </c>
      <c r="B7" s="651" t="str">
        <f>IF(TODAY&lt;B6+B5,B6,_PPE1)</f>
        <v>10/13/2021</v>
      </c>
      <c r="D7" s="651" t="str">
        <f>IF(TODAY&lt;D6+D5,D6,_PPE2)</f>
        <v>10/13/2021</v>
      </c>
      <c r="F7" s="651">
        <f>IF(TODAY&lt;F6+F5,F6,_PPE3)</f>
        <v>0</v>
      </c>
      <c r="H7" s="651">
        <f>IF(TODAY&lt;H6+H5,H6,_PPE4)</f>
        <v>0</v>
      </c>
      <c r="J7" s="643">
        <v>4</v>
      </c>
      <c r="K7" s="644" t="s">
        <v>88</v>
      </c>
      <c r="L7" s="643">
        <f>365/12</f>
        <v>30.416666666666668</v>
      </c>
    </row>
    <row r="8" spans="1:12">
      <c r="A8" s="643" t="s">
        <v>485</v>
      </c>
      <c r="B8" s="651">
        <f>_ED1</f>
        <v>44561</v>
      </c>
      <c r="D8" s="651">
        <f>_ED2</f>
        <v>44561</v>
      </c>
      <c r="F8" s="651">
        <f>_ED3</f>
        <v>0</v>
      </c>
      <c r="H8" s="651">
        <f>_ED4</f>
        <v>0</v>
      </c>
    </row>
    <row r="9" spans="1:12" ht="15" customHeight="1">
      <c r="I9" s="652" t="s">
        <v>481</v>
      </c>
    </row>
    <row r="10" spans="1:12">
      <c r="A10" s="648" t="s">
        <v>486</v>
      </c>
      <c r="B10" s="648" t="s">
        <v>480</v>
      </c>
      <c r="C10" s="648" t="s">
        <v>486</v>
      </c>
      <c r="D10" s="648" t="s">
        <v>480</v>
      </c>
      <c r="E10" s="648" t="s">
        <v>486</v>
      </c>
      <c r="F10" s="648" t="s">
        <v>480</v>
      </c>
      <c r="G10" s="648" t="s">
        <v>486</v>
      </c>
      <c r="H10" s="648" t="s">
        <v>480</v>
      </c>
      <c r="I10" s="646"/>
    </row>
    <row r="11" spans="1:12">
      <c r="A11" s="643">
        <v>1</v>
      </c>
      <c r="B11" s="651">
        <f>IF(B7+B$5&lt;B$8,B7+B$5,"")</f>
        <v>44496</v>
      </c>
      <c r="C11" s="643">
        <v>1</v>
      </c>
      <c r="D11" s="651">
        <f>IF(D7+D$5&lt;D$8,D7+D$5,"")</f>
        <v>44512.416666666664</v>
      </c>
      <c r="E11" s="643">
        <v>1</v>
      </c>
      <c r="F11" s="651" t="str">
        <f>IF(F7+F$5&lt;F$8,F7+F$5,"")</f>
        <v/>
      </c>
      <c r="G11" s="643">
        <v>1</v>
      </c>
      <c r="H11" s="651" t="str">
        <f>IF(H7+H$5&lt;H$8,H7+H$5,"")</f>
        <v/>
      </c>
      <c r="I11" s="646"/>
    </row>
    <row r="12" spans="1:12">
      <c r="A12" s="643">
        <v>2</v>
      </c>
      <c r="B12" s="651">
        <f t="shared" ref="B12:D62" si="0">IF(B11="","",IF(B11+B$5&gt;=B$8,"",B11+B$5))</f>
        <v>44510</v>
      </c>
      <c r="C12" s="643">
        <v>2</v>
      </c>
      <c r="D12" s="651">
        <f t="shared" si="0"/>
        <v>44542.833333333328</v>
      </c>
      <c r="E12" s="643">
        <v>2</v>
      </c>
      <c r="F12" s="651" t="str">
        <f t="shared" ref="F12:F62" si="1">IF(F11="","",IF(F11+F$5&gt;=F$8,"",F11+F$5))</f>
        <v/>
      </c>
      <c r="G12" s="643">
        <v>2</v>
      </c>
      <c r="H12" s="651" t="str">
        <f t="shared" ref="H12:H62" si="2">IF(H11="","",IF(H11+H$5&gt;=H$8,"",H11+H$5))</f>
        <v/>
      </c>
      <c r="I12" s="646"/>
    </row>
    <row r="13" spans="1:12">
      <c r="A13" s="643">
        <v>3</v>
      </c>
      <c r="B13" s="651">
        <f t="shared" si="0"/>
        <v>44524</v>
      </c>
      <c r="C13" s="643">
        <v>3</v>
      </c>
      <c r="D13" s="651" t="str">
        <f t="shared" si="0"/>
        <v/>
      </c>
      <c r="E13" s="643">
        <v>3</v>
      </c>
      <c r="F13" s="651" t="str">
        <f t="shared" si="1"/>
        <v/>
      </c>
      <c r="G13" s="643">
        <v>3</v>
      </c>
      <c r="H13" s="651" t="str">
        <f t="shared" si="2"/>
        <v/>
      </c>
      <c r="I13" s="646"/>
    </row>
    <row r="14" spans="1:12">
      <c r="A14" s="643">
        <v>4</v>
      </c>
      <c r="B14" s="651">
        <f t="shared" si="0"/>
        <v>44538</v>
      </c>
      <c r="C14" s="643">
        <v>4</v>
      </c>
      <c r="D14" s="651" t="str">
        <f t="shared" si="0"/>
        <v/>
      </c>
      <c r="E14" s="643">
        <v>4</v>
      </c>
      <c r="F14" s="651" t="str">
        <f t="shared" si="1"/>
        <v/>
      </c>
      <c r="G14" s="643">
        <v>4</v>
      </c>
      <c r="H14" s="651" t="str">
        <f t="shared" si="2"/>
        <v/>
      </c>
      <c r="I14" s="646"/>
    </row>
    <row r="15" spans="1:12">
      <c r="A15" s="643">
        <v>5</v>
      </c>
      <c r="B15" s="651">
        <f t="shared" si="0"/>
        <v>44552</v>
      </c>
      <c r="C15" s="643">
        <v>5</v>
      </c>
      <c r="D15" s="651" t="str">
        <f t="shared" si="0"/>
        <v/>
      </c>
      <c r="E15" s="643">
        <v>5</v>
      </c>
      <c r="F15" s="651" t="str">
        <f t="shared" si="1"/>
        <v/>
      </c>
      <c r="G15" s="643">
        <v>5</v>
      </c>
      <c r="H15" s="651" t="str">
        <f t="shared" si="2"/>
        <v/>
      </c>
      <c r="I15" s="646"/>
    </row>
    <row r="16" spans="1:12">
      <c r="A16" s="643">
        <v>6</v>
      </c>
      <c r="B16" s="651" t="str">
        <f t="shared" si="0"/>
        <v/>
      </c>
      <c r="C16" s="643">
        <v>6</v>
      </c>
      <c r="D16" s="651" t="str">
        <f t="shared" si="0"/>
        <v/>
      </c>
      <c r="E16" s="643">
        <v>6</v>
      </c>
      <c r="F16" s="651" t="str">
        <f t="shared" si="1"/>
        <v/>
      </c>
      <c r="G16" s="643">
        <v>6</v>
      </c>
      <c r="H16" s="651" t="str">
        <f t="shared" si="2"/>
        <v/>
      </c>
    </row>
    <row r="17" spans="1:8">
      <c r="A17" s="643">
        <v>7</v>
      </c>
      <c r="B17" s="651" t="str">
        <f t="shared" si="0"/>
        <v/>
      </c>
      <c r="C17" s="643">
        <v>7</v>
      </c>
      <c r="D17" s="651" t="str">
        <f t="shared" si="0"/>
        <v/>
      </c>
      <c r="E17" s="643">
        <v>7</v>
      </c>
      <c r="F17" s="651" t="str">
        <f t="shared" si="1"/>
        <v/>
      </c>
      <c r="G17" s="643">
        <v>7</v>
      </c>
      <c r="H17" s="651" t="str">
        <f t="shared" si="2"/>
        <v/>
      </c>
    </row>
    <row r="18" spans="1:8">
      <c r="A18" s="643">
        <v>8</v>
      </c>
      <c r="B18" s="651" t="str">
        <f t="shared" si="0"/>
        <v/>
      </c>
      <c r="C18" s="643">
        <v>8</v>
      </c>
      <c r="D18" s="651" t="str">
        <f t="shared" si="0"/>
        <v/>
      </c>
      <c r="E18" s="643">
        <v>8</v>
      </c>
      <c r="F18" s="651" t="str">
        <f t="shared" si="1"/>
        <v/>
      </c>
      <c r="G18" s="643">
        <v>8</v>
      </c>
      <c r="H18" s="651" t="str">
        <f t="shared" si="2"/>
        <v/>
      </c>
    </row>
    <row r="19" spans="1:8">
      <c r="A19" s="643">
        <v>9</v>
      </c>
      <c r="B19" s="651" t="str">
        <f t="shared" si="0"/>
        <v/>
      </c>
      <c r="C19" s="643">
        <v>9</v>
      </c>
      <c r="D19" s="651" t="str">
        <f t="shared" si="0"/>
        <v/>
      </c>
      <c r="E19" s="643">
        <v>9</v>
      </c>
      <c r="F19" s="651" t="str">
        <f t="shared" si="1"/>
        <v/>
      </c>
      <c r="G19" s="643">
        <v>9</v>
      </c>
      <c r="H19" s="651" t="str">
        <f t="shared" si="2"/>
        <v/>
      </c>
    </row>
    <row r="20" spans="1:8">
      <c r="A20" s="643">
        <v>10</v>
      </c>
      <c r="B20" s="651" t="str">
        <f t="shared" si="0"/>
        <v/>
      </c>
      <c r="C20" s="643">
        <v>10</v>
      </c>
      <c r="D20" s="651" t="str">
        <f t="shared" si="0"/>
        <v/>
      </c>
      <c r="E20" s="643">
        <v>10</v>
      </c>
      <c r="F20" s="651" t="str">
        <f t="shared" si="1"/>
        <v/>
      </c>
      <c r="G20" s="643">
        <v>10</v>
      </c>
      <c r="H20" s="651" t="str">
        <f t="shared" si="2"/>
        <v/>
      </c>
    </row>
    <row r="21" spans="1:8">
      <c r="A21" s="643">
        <v>11</v>
      </c>
      <c r="B21" s="651" t="str">
        <f t="shared" si="0"/>
        <v/>
      </c>
      <c r="C21" s="643">
        <v>11</v>
      </c>
      <c r="D21" s="651" t="str">
        <f t="shared" si="0"/>
        <v/>
      </c>
      <c r="E21" s="643">
        <v>11</v>
      </c>
      <c r="F21" s="651" t="str">
        <f t="shared" si="1"/>
        <v/>
      </c>
      <c r="G21" s="643">
        <v>11</v>
      </c>
      <c r="H21" s="651" t="str">
        <f t="shared" si="2"/>
        <v/>
      </c>
    </row>
    <row r="22" spans="1:8">
      <c r="A22" s="643">
        <v>12</v>
      </c>
      <c r="B22" s="651" t="str">
        <f t="shared" si="0"/>
        <v/>
      </c>
      <c r="C22" s="643">
        <v>12</v>
      </c>
      <c r="D22" s="651" t="str">
        <f t="shared" si="0"/>
        <v/>
      </c>
      <c r="E22" s="643">
        <v>12</v>
      </c>
      <c r="F22" s="651" t="str">
        <f t="shared" si="1"/>
        <v/>
      </c>
      <c r="G22" s="643">
        <v>12</v>
      </c>
      <c r="H22" s="651" t="str">
        <f t="shared" si="2"/>
        <v/>
      </c>
    </row>
    <row r="23" spans="1:8">
      <c r="A23" s="643">
        <v>13</v>
      </c>
      <c r="B23" s="651" t="str">
        <f t="shared" si="0"/>
        <v/>
      </c>
      <c r="C23" s="643">
        <v>13</v>
      </c>
      <c r="D23" s="651" t="str">
        <f t="shared" si="0"/>
        <v/>
      </c>
      <c r="E23" s="643">
        <v>13</v>
      </c>
      <c r="F23" s="651" t="str">
        <f t="shared" si="1"/>
        <v/>
      </c>
      <c r="G23" s="643">
        <v>13</v>
      </c>
      <c r="H23" s="651" t="str">
        <f t="shared" si="2"/>
        <v/>
      </c>
    </row>
    <row r="24" spans="1:8">
      <c r="A24" s="643">
        <v>14</v>
      </c>
      <c r="B24" s="651" t="str">
        <f t="shared" si="0"/>
        <v/>
      </c>
      <c r="C24" s="643">
        <v>14</v>
      </c>
      <c r="D24" s="651" t="str">
        <f t="shared" si="0"/>
        <v/>
      </c>
      <c r="E24" s="643">
        <v>14</v>
      </c>
      <c r="F24" s="651" t="str">
        <f t="shared" si="1"/>
        <v/>
      </c>
      <c r="G24" s="643">
        <v>14</v>
      </c>
      <c r="H24" s="651" t="str">
        <f t="shared" si="2"/>
        <v/>
      </c>
    </row>
    <row r="25" spans="1:8">
      <c r="A25" s="643">
        <v>15</v>
      </c>
      <c r="B25" s="651" t="str">
        <f t="shared" si="0"/>
        <v/>
      </c>
      <c r="C25" s="643">
        <v>15</v>
      </c>
      <c r="D25" s="651" t="str">
        <f t="shared" si="0"/>
        <v/>
      </c>
      <c r="E25" s="643">
        <v>15</v>
      </c>
      <c r="F25" s="651" t="str">
        <f t="shared" si="1"/>
        <v/>
      </c>
      <c r="G25" s="643">
        <v>15</v>
      </c>
      <c r="H25" s="651" t="str">
        <f t="shared" si="2"/>
        <v/>
      </c>
    </row>
    <row r="26" spans="1:8">
      <c r="A26" s="643">
        <v>16</v>
      </c>
      <c r="B26" s="651" t="str">
        <f t="shared" si="0"/>
        <v/>
      </c>
      <c r="C26" s="643">
        <v>16</v>
      </c>
      <c r="D26" s="651" t="str">
        <f t="shared" si="0"/>
        <v/>
      </c>
      <c r="E26" s="643">
        <v>16</v>
      </c>
      <c r="F26" s="651" t="str">
        <f t="shared" si="1"/>
        <v/>
      </c>
      <c r="G26" s="643">
        <v>16</v>
      </c>
      <c r="H26" s="651" t="str">
        <f t="shared" si="2"/>
        <v/>
      </c>
    </row>
    <row r="27" spans="1:8">
      <c r="A27" s="643">
        <v>17</v>
      </c>
      <c r="B27" s="651" t="str">
        <f t="shared" si="0"/>
        <v/>
      </c>
      <c r="C27" s="643">
        <v>17</v>
      </c>
      <c r="D27" s="651" t="str">
        <f t="shared" si="0"/>
        <v/>
      </c>
      <c r="E27" s="643">
        <v>17</v>
      </c>
      <c r="F27" s="651" t="str">
        <f t="shared" si="1"/>
        <v/>
      </c>
      <c r="G27" s="643">
        <v>17</v>
      </c>
      <c r="H27" s="651" t="str">
        <f t="shared" si="2"/>
        <v/>
      </c>
    </row>
    <row r="28" spans="1:8">
      <c r="A28" s="643">
        <v>18</v>
      </c>
      <c r="B28" s="651" t="str">
        <f t="shared" si="0"/>
        <v/>
      </c>
      <c r="C28" s="643">
        <v>18</v>
      </c>
      <c r="D28" s="651" t="str">
        <f t="shared" si="0"/>
        <v/>
      </c>
      <c r="E28" s="643">
        <v>18</v>
      </c>
      <c r="F28" s="651" t="str">
        <f t="shared" si="1"/>
        <v/>
      </c>
      <c r="G28" s="643">
        <v>18</v>
      </c>
      <c r="H28" s="651" t="str">
        <f t="shared" si="2"/>
        <v/>
      </c>
    </row>
    <row r="29" spans="1:8">
      <c r="A29" s="643">
        <v>19</v>
      </c>
      <c r="B29" s="651" t="str">
        <f t="shared" si="0"/>
        <v/>
      </c>
      <c r="C29" s="643">
        <v>19</v>
      </c>
      <c r="D29" s="651" t="str">
        <f t="shared" si="0"/>
        <v/>
      </c>
      <c r="E29" s="643">
        <v>19</v>
      </c>
      <c r="F29" s="651" t="str">
        <f t="shared" si="1"/>
        <v/>
      </c>
      <c r="G29" s="643">
        <v>19</v>
      </c>
      <c r="H29" s="651" t="str">
        <f t="shared" si="2"/>
        <v/>
      </c>
    </row>
    <row r="30" spans="1:8">
      <c r="A30" s="643">
        <v>20</v>
      </c>
      <c r="B30" s="651" t="str">
        <f t="shared" si="0"/>
        <v/>
      </c>
      <c r="C30" s="643">
        <v>20</v>
      </c>
      <c r="D30" s="651" t="str">
        <f t="shared" si="0"/>
        <v/>
      </c>
      <c r="E30" s="643">
        <v>20</v>
      </c>
      <c r="F30" s="651" t="str">
        <f t="shared" si="1"/>
        <v/>
      </c>
      <c r="G30" s="643">
        <v>20</v>
      </c>
      <c r="H30" s="651" t="str">
        <f t="shared" si="2"/>
        <v/>
      </c>
    </row>
    <row r="31" spans="1:8">
      <c r="A31" s="647">
        <v>21</v>
      </c>
      <c r="B31" s="651" t="str">
        <f t="shared" si="0"/>
        <v/>
      </c>
      <c r="C31" s="647">
        <v>21</v>
      </c>
      <c r="D31" s="651" t="str">
        <f t="shared" si="0"/>
        <v/>
      </c>
      <c r="E31" s="647">
        <v>21</v>
      </c>
      <c r="F31" s="651" t="str">
        <f t="shared" si="1"/>
        <v/>
      </c>
      <c r="G31" s="647">
        <v>21</v>
      </c>
      <c r="H31" s="651" t="str">
        <f t="shared" si="2"/>
        <v/>
      </c>
    </row>
    <row r="32" spans="1:8">
      <c r="A32" s="647">
        <v>22</v>
      </c>
      <c r="B32" s="651" t="str">
        <f t="shared" si="0"/>
        <v/>
      </c>
      <c r="C32" s="647">
        <v>22</v>
      </c>
      <c r="D32" s="651" t="str">
        <f t="shared" si="0"/>
        <v/>
      </c>
      <c r="E32" s="647">
        <v>22</v>
      </c>
      <c r="F32" s="651" t="str">
        <f t="shared" si="1"/>
        <v/>
      </c>
      <c r="G32" s="647">
        <v>22</v>
      </c>
      <c r="H32" s="651" t="str">
        <f t="shared" si="2"/>
        <v/>
      </c>
    </row>
    <row r="33" spans="1:8">
      <c r="A33" s="647">
        <v>23</v>
      </c>
      <c r="B33" s="651" t="str">
        <f t="shared" si="0"/>
        <v/>
      </c>
      <c r="C33" s="647">
        <v>23</v>
      </c>
      <c r="D33" s="651" t="str">
        <f t="shared" si="0"/>
        <v/>
      </c>
      <c r="E33" s="647">
        <v>23</v>
      </c>
      <c r="F33" s="651" t="str">
        <f t="shared" si="1"/>
        <v/>
      </c>
      <c r="G33" s="647">
        <v>23</v>
      </c>
      <c r="H33" s="651" t="str">
        <f t="shared" si="2"/>
        <v/>
      </c>
    </row>
    <row r="34" spans="1:8">
      <c r="A34" s="647">
        <v>24</v>
      </c>
      <c r="B34" s="651" t="str">
        <f t="shared" si="0"/>
        <v/>
      </c>
      <c r="C34" s="647">
        <v>24</v>
      </c>
      <c r="D34" s="651" t="str">
        <f t="shared" si="0"/>
        <v/>
      </c>
      <c r="E34" s="647">
        <v>24</v>
      </c>
      <c r="F34" s="651" t="str">
        <f t="shared" si="1"/>
        <v/>
      </c>
      <c r="G34" s="647">
        <v>24</v>
      </c>
      <c r="H34" s="651" t="str">
        <f t="shared" si="2"/>
        <v/>
      </c>
    </row>
    <row r="35" spans="1:8">
      <c r="A35" s="647">
        <v>25</v>
      </c>
      <c r="B35" s="651" t="str">
        <f t="shared" si="0"/>
        <v/>
      </c>
      <c r="C35" s="647">
        <v>25</v>
      </c>
      <c r="D35" s="651" t="str">
        <f t="shared" si="0"/>
        <v/>
      </c>
      <c r="E35" s="647">
        <v>25</v>
      </c>
      <c r="F35" s="651" t="str">
        <f t="shared" si="1"/>
        <v/>
      </c>
      <c r="G35" s="647">
        <v>25</v>
      </c>
      <c r="H35" s="651" t="str">
        <f t="shared" si="2"/>
        <v/>
      </c>
    </row>
    <row r="36" spans="1:8">
      <c r="A36" s="647">
        <v>26</v>
      </c>
      <c r="B36" s="651" t="str">
        <f t="shared" si="0"/>
        <v/>
      </c>
      <c r="C36" s="647">
        <v>26</v>
      </c>
      <c r="D36" s="651" t="str">
        <f t="shared" si="0"/>
        <v/>
      </c>
      <c r="E36" s="647">
        <v>26</v>
      </c>
      <c r="F36" s="651" t="str">
        <f t="shared" si="1"/>
        <v/>
      </c>
      <c r="G36" s="647">
        <v>26</v>
      </c>
      <c r="H36" s="651" t="str">
        <f t="shared" si="2"/>
        <v/>
      </c>
    </row>
    <row r="37" spans="1:8">
      <c r="A37" s="647">
        <v>27</v>
      </c>
      <c r="B37" s="651" t="str">
        <f t="shared" si="0"/>
        <v/>
      </c>
      <c r="C37" s="647">
        <v>27</v>
      </c>
      <c r="D37" s="651" t="str">
        <f t="shared" si="0"/>
        <v/>
      </c>
      <c r="E37" s="647">
        <v>27</v>
      </c>
      <c r="F37" s="651" t="str">
        <f t="shared" si="1"/>
        <v/>
      </c>
      <c r="G37" s="647">
        <v>27</v>
      </c>
      <c r="H37" s="651" t="str">
        <f t="shared" si="2"/>
        <v/>
      </c>
    </row>
    <row r="38" spans="1:8">
      <c r="A38" s="647">
        <v>28</v>
      </c>
      <c r="B38" s="651" t="str">
        <f t="shared" si="0"/>
        <v/>
      </c>
      <c r="C38" s="647">
        <v>28</v>
      </c>
      <c r="D38" s="651" t="str">
        <f t="shared" si="0"/>
        <v/>
      </c>
      <c r="E38" s="647">
        <v>28</v>
      </c>
      <c r="F38" s="651" t="str">
        <f t="shared" si="1"/>
        <v/>
      </c>
      <c r="G38" s="647">
        <v>28</v>
      </c>
      <c r="H38" s="651" t="str">
        <f t="shared" si="2"/>
        <v/>
      </c>
    </row>
    <row r="39" spans="1:8">
      <c r="A39" s="647">
        <v>29</v>
      </c>
      <c r="B39" s="651" t="str">
        <f t="shared" si="0"/>
        <v/>
      </c>
      <c r="C39" s="647">
        <v>29</v>
      </c>
      <c r="D39" s="651" t="str">
        <f t="shared" si="0"/>
        <v/>
      </c>
      <c r="E39" s="647">
        <v>29</v>
      </c>
      <c r="F39" s="651" t="str">
        <f t="shared" si="1"/>
        <v/>
      </c>
      <c r="G39" s="647">
        <v>29</v>
      </c>
      <c r="H39" s="651" t="str">
        <f t="shared" si="2"/>
        <v/>
      </c>
    </row>
    <row r="40" spans="1:8">
      <c r="A40" s="647">
        <v>30</v>
      </c>
      <c r="B40" s="651" t="str">
        <f t="shared" si="0"/>
        <v/>
      </c>
      <c r="C40" s="647">
        <v>30</v>
      </c>
      <c r="D40" s="651" t="str">
        <f t="shared" si="0"/>
        <v/>
      </c>
      <c r="E40" s="647">
        <v>30</v>
      </c>
      <c r="F40" s="651" t="str">
        <f t="shared" si="1"/>
        <v/>
      </c>
      <c r="G40" s="647">
        <v>30</v>
      </c>
      <c r="H40" s="651" t="str">
        <f t="shared" si="2"/>
        <v/>
      </c>
    </row>
    <row r="41" spans="1:8">
      <c r="A41" s="647">
        <v>31</v>
      </c>
      <c r="B41" s="651" t="str">
        <f t="shared" si="0"/>
        <v/>
      </c>
      <c r="C41" s="647">
        <v>31</v>
      </c>
      <c r="D41" s="651" t="str">
        <f t="shared" si="0"/>
        <v/>
      </c>
      <c r="E41" s="647">
        <v>31</v>
      </c>
      <c r="F41" s="651" t="str">
        <f t="shared" si="1"/>
        <v/>
      </c>
      <c r="G41" s="647">
        <v>31</v>
      </c>
      <c r="H41" s="651" t="str">
        <f t="shared" si="2"/>
        <v/>
      </c>
    </row>
    <row r="42" spans="1:8">
      <c r="A42" s="647">
        <v>32</v>
      </c>
      <c r="B42" s="651" t="str">
        <f t="shared" si="0"/>
        <v/>
      </c>
      <c r="C42" s="647">
        <v>32</v>
      </c>
      <c r="D42" s="651" t="str">
        <f t="shared" si="0"/>
        <v/>
      </c>
      <c r="E42" s="647">
        <v>32</v>
      </c>
      <c r="F42" s="651" t="str">
        <f t="shared" si="1"/>
        <v/>
      </c>
      <c r="G42" s="647">
        <v>32</v>
      </c>
      <c r="H42" s="651" t="str">
        <f t="shared" si="2"/>
        <v/>
      </c>
    </row>
    <row r="43" spans="1:8">
      <c r="A43" s="647">
        <v>33</v>
      </c>
      <c r="B43" s="651" t="str">
        <f t="shared" si="0"/>
        <v/>
      </c>
      <c r="C43" s="647">
        <v>33</v>
      </c>
      <c r="D43" s="651" t="str">
        <f t="shared" si="0"/>
        <v/>
      </c>
      <c r="E43" s="647">
        <v>33</v>
      </c>
      <c r="F43" s="651" t="str">
        <f t="shared" si="1"/>
        <v/>
      </c>
      <c r="G43" s="647">
        <v>33</v>
      </c>
      <c r="H43" s="651" t="str">
        <f t="shared" si="2"/>
        <v/>
      </c>
    </row>
    <row r="44" spans="1:8">
      <c r="A44" s="647">
        <v>34</v>
      </c>
      <c r="B44" s="651" t="str">
        <f t="shared" si="0"/>
        <v/>
      </c>
      <c r="C44" s="647">
        <v>34</v>
      </c>
      <c r="D44" s="651" t="str">
        <f t="shared" si="0"/>
        <v/>
      </c>
      <c r="E44" s="647">
        <v>34</v>
      </c>
      <c r="F44" s="651" t="str">
        <f t="shared" si="1"/>
        <v/>
      </c>
      <c r="G44" s="647">
        <v>34</v>
      </c>
      <c r="H44" s="651" t="str">
        <f t="shared" si="2"/>
        <v/>
      </c>
    </row>
    <row r="45" spans="1:8">
      <c r="A45" s="647">
        <v>35</v>
      </c>
      <c r="B45" s="651" t="str">
        <f t="shared" si="0"/>
        <v/>
      </c>
      <c r="C45" s="647">
        <v>35</v>
      </c>
      <c r="D45" s="651" t="str">
        <f t="shared" si="0"/>
        <v/>
      </c>
      <c r="E45" s="647">
        <v>35</v>
      </c>
      <c r="F45" s="651" t="str">
        <f t="shared" si="1"/>
        <v/>
      </c>
      <c r="G45" s="647">
        <v>35</v>
      </c>
      <c r="H45" s="651" t="str">
        <f t="shared" si="2"/>
        <v/>
      </c>
    </row>
    <row r="46" spans="1:8">
      <c r="A46" s="647">
        <v>36</v>
      </c>
      <c r="B46" s="651" t="str">
        <f t="shared" si="0"/>
        <v/>
      </c>
      <c r="C46" s="647">
        <v>36</v>
      </c>
      <c r="D46" s="651" t="str">
        <f t="shared" si="0"/>
        <v/>
      </c>
      <c r="E46" s="647">
        <v>36</v>
      </c>
      <c r="F46" s="651" t="str">
        <f t="shared" si="1"/>
        <v/>
      </c>
      <c r="G46" s="647">
        <v>36</v>
      </c>
      <c r="H46" s="651" t="str">
        <f t="shared" si="2"/>
        <v/>
      </c>
    </row>
    <row r="47" spans="1:8">
      <c r="A47" s="647">
        <v>37</v>
      </c>
      <c r="B47" s="651" t="str">
        <f t="shared" si="0"/>
        <v/>
      </c>
      <c r="C47" s="647">
        <v>37</v>
      </c>
      <c r="D47" s="651" t="str">
        <f t="shared" si="0"/>
        <v/>
      </c>
      <c r="E47" s="647">
        <v>37</v>
      </c>
      <c r="F47" s="651" t="str">
        <f t="shared" si="1"/>
        <v/>
      </c>
      <c r="G47" s="647">
        <v>37</v>
      </c>
      <c r="H47" s="651" t="str">
        <f t="shared" si="2"/>
        <v/>
      </c>
    </row>
    <row r="48" spans="1:8">
      <c r="A48" s="647">
        <v>38</v>
      </c>
      <c r="B48" s="651" t="str">
        <f t="shared" si="0"/>
        <v/>
      </c>
      <c r="C48" s="647">
        <v>38</v>
      </c>
      <c r="D48" s="651" t="str">
        <f t="shared" si="0"/>
        <v/>
      </c>
      <c r="E48" s="647">
        <v>38</v>
      </c>
      <c r="F48" s="651" t="str">
        <f t="shared" si="1"/>
        <v/>
      </c>
      <c r="G48" s="647">
        <v>38</v>
      </c>
      <c r="H48" s="651" t="str">
        <f t="shared" si="2"/>
        <v/>
      </c>
    </row>
    <row r="49" spans="1:8">
      <c r="A49" s="647">
        <v>39</v>
      </c>
      <c r="B49" s="651" t="str">
        <f t="shared" si="0"/>
        <v/>
      </c>
      <c r="C49" s="647">
        <v>39</v>
      </c>
      <c r="D49" s="651" t="str">
        <f t="shared" si="0"/>
        <v/>
      </c>
      <c r="E49" s="647">
        <v>39</v>
      </c>
      <c r="F49" s="651" t="str">
        <f t="shared" si="1"/>
        <v/>
      </c>
      <c r="G49" s="647">
        <v>39</v>
      </c>
      <c r="H49" s="651" t="str">
        <f t="shared" si="2"/>
        <v/>
      </c>
    </row>
    <row r="50" spans="1:8">
      <c r="A50" s="647">
        <v>40</v>
      </c>
      <c r="B50" s="651" t="str">
        <f t="shared" si="0"/>
        <v/>
      </c>
      <c r="C50" s="647">
        <v>40</v>
      </c>
      <c r="D50" s="651" t="str">
        <f t="shared" si="0"/>
        <v/>
      </c>
      <c r="E50" s="647">
        <v>40</v>
      </c>
      <c r="F50" s="651" t="str">
        <f t="shared" si="1"/>
        <v/>
      </c>
      <c r="G50" s="647">
        <v>40</v>
      </c>
      <c r="H50" s="651" t="str">
        <f t="shared" si="2"/>
        <v/>
      </c>
    </row>
    <row r="51" spans="1:8">
      <c r="A51" s="647">
        <v>41</v>
      </c>
      <c r="B51" s="651" t="str">
        <f t="shared" si="0"/>
        <v/>
      </c>
      <c r="C51" s="647">
        <v>41</v>
      </c>
      <c r="D51" s="651" t="str">
        <f t="shared" si="0"/>
        <v/>
      </c>
      <c r="E51" s="647">
        <v>41</v>
      </c>
      <c r="F51" s="651" t="str">
        <f t="shared" si="1"/>
        <v/>
      </c>
      <c r="G51" s="647">
        <v>41</v>
      </c>
      <c r="H51" s="651" t="str">
        <f t="shared" si="2"/>
        <v/>
      </c>
    </row>
    <row r="52" spans="1:8">
      <c r="A52" s="647">
        <v>42</v>
      </c>
      <c r="B52" s="651" t="str">
        <f t="shared" si="0"/>
        <v/>
      </c>
      <c r="C52" s="647">
        <v>42</v>
      </c>
      <c r="D52" s="651" t="str">
        <f t="shared" si="0"/>
        <v/>
      </c>
      <c r="E52" s="647">
        <v>42</v>
      </c>
      <c r="F52" s="651" t="str">
        <f t="shared" si="1"/>
        <v/>
      </c>
      <c r="G52" s="647">
        <v>42</v>
      </c>
      <c r="H52" s="651" t="str">
        <f t="shared" si="2"/>
        <v/>
      </c>
    </row>
    <row r="53" spans="1:8">
      <c r="A53" s="647">
        <v>43</v>
      </c>
      <c r="B53" s="651" t="str">
        <f t="shared" si="0"/>
        <v/>
      </c>
      <c r="C53" s="647">
        <v>43</v>
      </c>
      <c r="D53" s="651" t="str">
        <f t="shared" si="0"/>
        <v/>
      </c>
      <c r="E53" s="647">
        <v>43</v>
      </c>
      <c r="F53" s="651" t="str">
        <f t="shared" si="1"/>
        <v/>
      </c>
      <c r="G53" s="647">
        <v>43</v>
      </c>
      <c r="H53" s="651" t="str">
        <f t="shared" si="2"/>
        <v/>
      </c>
    </row>
    <row r="54" spans="1:8">
      <c r="A54" s="647">
        <v>44</v>
      </c>
      <c r="B54" s="651" t="str">
        <f t="shared" si="0"/>
        <v/>
      </c>
      <c r="C54" s="647">
        <v>44</v>
      </c>
      <c r="D54" s="651" t="str">
        <f t="shared" si="0"/>
        <v/>
      </c>
      <c r="E54" s="647">
        <v>44</v>
      </c>
      <c r="F54" s="651" t="str">
        <f t="shared" si="1"/>
        <v/>
      </c>
      <c r="G54" s="647">
        <v>44</v>
      </c>
      <c r="H54" s="651" t="str">
        <f t="shared" si="2"/>
        <v/>
      </c>
    </row>
    <row r="55" spans="1:8">
      <c r="A55" s="647">
        <v>45</v>
      </c>
      <c r="B55" s="651" t="str">
        <f t="shared" si="0"/>
        <v/>
      </c>
      <c r="C55" s="647">
        <v>45</v>
      </c>
      <c r="D55" s="651" t="str">
        <f t="shared" si="0"/>
        <v/>
      </c>
      <c r="E55" s="647">
        <v>45</v>
      </c>
      <c r="F55" s="651" t="str">
        <f t="shared" si="1"/>
        <v/>
      </c>
      <c r="G55" s="647">
        <v>45</v>
      </c>
      <c r="H55" s="651" t="str">
        <f t="shared" si="2"/>
        <v/>
      </c>
    </row>
    <row r="56" spans="1:8">
      <c r="A56" s="647">
        <v>46</v>
      </c>
      <c r="B56" s="651" t="str">
        <f t="shared" si="0"/>
        <v/>
      </c>
      <c r="C56" s="647">
        <v>46</v>
      </c>
      <c r="D56" s="651" t="str">
        <f t="shared" si="0"/>
        <v/>
      </c>
      <c r="E56" s="647">
        <v>46</v>
      </c>
      <c r="F56" s="651" t="str">
        <f t="shared" si="1"/>
        <v/>
      </c>
      <c r="G56" s="647">
        <v>46</v>
      </c>
      <c r="H56" s="651" t="str">
        <f t="shared" si="2"/>
        <v/>
      </c>
    </row>
    <row r="57" spans="1:8">
      <c r="A57" s="647">
        <v>47</v>
      </c>
      <c r="B57" s="651" t="str">
        <f t="shared" si="0"/>
        <v/>
      </c>
      <c r="C57" s="647">
        <v>47</v>
      </c>
      <c r="D57" s="651" t="str">
        <f t="shared" si="0"/>
        <v/>
      </c>
      <c r="E57" s="647">
        <v>47</v>
      </c>
      <c r="F57" s="651" t="str">
        <f t="shared" si="1"/>
        <v/>
      </c>
      <c r="G57" s="647">
        <v>47</v>
      </c>
      <c r="H57" s="651" t="str">
        <f t="shared" si="2"/>
        <v/>
      </c>
    </row>
    <row r="58" spans="1:8">
      <c r="A58" s="647">
        <v>48</v>
      </c>
      <c r="B58" s="651" t="str">
        <f t="shared" si="0"/>
        <v/>
      </c>
      <c r="C58" s="647">
        <v>48</v>
      </c>
      <c r="D58" s="651" t="str">
        <f t="shared" si="0"/>
        <v/>
      </c>
      <c r="E58" s="647">
        <v>48</v>
      </c>
      <c r="F58" s="651" t="str">
        <f t="shared" si="1"/>
        <v/>
      </c>
      <c r="G58" s="647">
        <v>48</v>
      </c>
      <c r="H58" s="651" t="str">
        <f t="shared" si="2"/>
        <v/>
      </c>
    </row>
    <row r="59" spans="1:8">
      <c r="A59" s="647">
        <v>49</v>
      </c>
      <c r="B59" s="651" t="str">
        <f t="shared" si="0"/>
        <v/>
      </c>
      <c r="C59" s="647">
        <v>49</v>
      </c>
      <c r="D59" s="651" t="str">
        <f t="shared" si="0"/>
        <v/>
      </c>
      <c r="E59" s="647">
        <v>49</v>
      </c>
      <c r="F59" s="651" t="str">
        <f t="shared" si="1"/>
        <v/>
      </c>
      <c r="G59" s="647">
        <v>49</v>
      </c>
      <c r="H59" s="651" t="str">
        <f t="shared" si="2"/>
        <v/>
      </c>
    </row>
    <row r="60" spans="1:8">
      <c r="A60" s="647">
        <v>50</v>
      </c>
      <c r="B60" s="651" t="str">
        <f t="shared" si="0"/>
        <v/>
      </c>
      <c r="C60" s="647">
        <v>50</v>
      </c>
      <c r="D60" s="651" t="str">
        <f t="shared" si="0"/>
        <v/>
      </c>
      <c r="E60" s="647">
        <v>50</v>
      </c>
      <c r="F60" s="651" t="str">
        <f t="shared" si="1"/>
        <v/>
      </c>
      <c r="G60" s="647">
        <v>50</v>
      </c>
      <c r="H60" s="651" t="str">
        <f t="shared" si="2"/>
        <v/>
      </c>
    </row>
    <row r="61" spans="1:8">
      <c r="A61" s="647">
        <v>51</v>
      </c>
      <c r="B61" s="651" t="str">
        <f t="shared" si="0"/>
        <v/>
      </c>
      <c r="C61" s="647">
        <v>51</v>
      </c>
      <c r="D61" s="651" t="str">
        <f t="shared" si="0"/>
        <v/>
      </c>
      <c r="E61" s="647">
        <v>51</v>
      </c>
      <c r="F61" s="651" t="str">
        <f t="shared" si="1"/>
        <v/>
      </c>
      <c r="G61" s="647">
        <v>51</v>
      </c>
      <c r="H61" s="651" t="str">
        <f t="shared" si="2"/>
        <v/>
      </c>
    </row>
    <row r="62" spans="1:8">
      <c r="A62" s="647">
        <v>52</v>
      </c>
      <c r="B62" s="651" t="str">
        <f t="shared" si="0"/>
        <v/>
      </c>
      <c r="C62" s="647">
        <v>52</v>
      </c>
      <c r="D62" s="651" t="str">
        <f t="shared" si="0"/>
        <v/>
      </c>
      <c r="E62" s="647">
        <v>52</v>
      </c>
      <c r="F62" s="651" t="str">
        <f t="shared" si="1"/>
        <v/>
      </c>
      <c r="G62" s="647">
        <v>52</v>
      </c>
      <c r="H62" s="651" t="str">
        <f t="shared" si="2"/>
        <v/>
      </c>
    </row>
    <row r="63" spans="1:8">
      <c r="A63" s="647"/>
      <c r="B63" s="651"/>
      <c r="C63" s="647"/>
      <c r="D63" s="645"/>
      <c r="E63" s="647"/>
      <c r="F63" s="645"/>
      <c r="G63" s="647"/>
      <c r="H63" s="645"/>
    </row>
    <row r="64" spans="1:8">
      <c r="A64" s="647"/>
      <c r="B64" s="651"/>
      <c r="C64" s="647"/>
      <c r="D64" s="645"/>
      <c r="E64" s="647"/>
      <c r="F64" s="645"/>
      <c r="G64" s="647"/>
      <c r="H64" s="645"/>
    </row>
    <row r="65" spans="1:8">
      <c r="A65" s="647"/>
      <c r="B65" s="651"/>
      <c r="C65" s="647"/>
      <c r="D65" s="645"/>
      <c r="E65" s="647"/>
      <c r="F65" s="645"/>
      <c r="G65" s="647"/>
      <c r="H65" s="645"/>
    </row>
    <row r="66" spans="1:8">
      <c r="A66" s="647"/>
      <c r="B66" s="651"/>
      <c r="C66" s="647"/>
      <c r="D66" s="645"/>
      <c r="E66" s="647"/>
      <c r="F66" s="645"/>
      <c r="G66" s="647"/>
      <c r="H66" s="645"/>
    </row>
    <row r="67" spans="1:8">
      <c r="A67" s="647"/>
      <c r="B67" s="651"/>
      <c r="C67" s="647"/>
      <c r="D67" s="645"/>
      <c r="E67" s="647"/>
      <c r="F67" s="645"/>
      <c r="G67" s="647"/>
      <c r="H67" s="645"/>
    </row>
    <row r="68" spans="1:8">
      <c r="A68" s="647"/>
      <c r="B68" s="651"/>
      <c r="C68" s="647"/>
      <c r="D68" s="645"/>
      <c r="E68" s="647"/>
      <c r="F68" s="645"/>
      <c r="G68" s="647"/>
      <c r="H68" s="645"/>
    </row>
    <row r="69" spans="1:8">
      <c r="A69" s="647"/>
      <c r="B69" s="651"/>
      <c r="C69" s="647"/>
      <c r="D69" s="645"/>
      <c r="E69" s="647"/>
      <c r="F69" s="645"/>
      <c r="G69" s="647"/>
      <c r="H69" s="645"/>
    </row>
    <row r="70" spans="1:8">
      <c r="A70" s="647"/>
      <c r="B70" s="651"/>
      <c r="C70" s="647"/>
      <c r="D70" s="645"/>
      <c r="E70" s="647"/>
      <c r="F70" s="645"/>
      <c r="G70" s="647"/>
      <c r="H70" s="645"/>
    </row>
    <row r="71" spans="1:8">
      <c r="A71" s="647"/>
      <c r="B71" s="651"/>
      <c r="C71" s="647"/>
      <c r="D71" s="645"/>
      <c r="E71" s="647"/>
      <c r="F71" s="645"/>
      <c r="G71" s="647"/>
      <c r="H71" s="645"/>
    </row>
    <row r="72" spans="1:8">
      <c r="A72" s="647"/>
      <c r="B72" s="651"/>
      <c r="C72" s="647"/>
      <c r="D72" s="645"/>
      <c r="E72" s="647"/>
      <c r="F72" s="645"/>
      <c r="G72" s="647"/>
      <c r="H72" s="645"/>
    </row>
    <row r="73" spans="1:8">
      <c r="B73" s="651" t="str">
        <f>IF(B57="","",IF(B57+B$5&gt;=B$8,"",B57+B$5))</f>
        <v/>
      </c>
      <c r="D73" s="645"/>
      <c r="F73" s="645"/>
      <c r="H73" s="645"/>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1AA53-9C15-4324-AE63-A7FBCF357AD9}">
  <sheetPr codeName="Sheet11"/>
  <dimension ref="A2:H26"/>
  <sheetViews>
    <sheetView workbookViewId="0">
      <selection activeCell="F17" sqref="F17"/>
    </sheetView>
  </sheetViews>
  <sheetFormatPr defaultRowHeight="12.5"/>
  <cols>
    <col min="1" max="1" width="4.81640625" customWidth="1"/>
    <col min="2" max="2" width="57" customWidth="1"/>
    <col min="3" max="3" width="10.1796875" bestFit="1" customWidth="1"/>
    <col min="4" max="4" width="6" customWidth="1"/>
    <col min="5" max="5" width="3.1796875" customWidth="1"/>
    <col min="6" max="6" width="21.54296875" customWidth="1"/>
    <col min="7" max="7" width="10.453125" customWidth="1"/>
    <col min="8" max="8" width="12.26953125" customWidth="1"/>
  </cols>
  <sheetData>
    <row r="2" spans="1:8" ht="15.5">
      <c r="A2" s="450" t="s">
        <v>359</v>
      </c>
      <c r="F2" s="450" t="s">
        <v>352</v>
      </c>
    </row>
    <row r="3" spans="1:8" ht="13">
      <c r="A3">
        <v>1</v>
      </c>
      <c r="B3" s="373" t="s">
        <v>348</v>
      </c>
      <c r="C3" s="291">
        <v>150000</v>
      </c>
      <c r="E3" s="458"/>
      <c r="F3" s="459" t="s">
        <v>89</v>
      </c>
      <c r="G3" s="460" t="s">
        <v>351</v>
      </c>
      <c r="H3" s="461" t="s">
        <v>357</v>
      </c>
    </row>
    <row r="4" spans="1:8">
      <c r="A4">
        <v>4</v>
      </c>
      <c r="B4" s="373" t="s">
        <v>349</v>
      </c>
      <c r="C4" s="449">
        <v>10000</v>
      </c>
      <c r="E4" s="451">
        <v>1</v>
      </c>
      <c r="F4" s="394" t="s">
        <v>197</v>
      </c>
      <c r="G4" s="452">
        <v>38600</v>
      </c>
      <c r="H4" s="453">
        <v>425800</v>
      </c>
    </row>
    <row r="5" spans="1:8">
      <c r="A5">
        <v>7</v>
      </c>
      <c r="B5" s="391" t="s">
        <v>362</v>
      </c>
      <c r="C5" s="291">
        <f>MAX(C3-C4,0)</f>
        <v>140000</v>
      </c>
      <c r="E5" s="451">
        <v>2</v>
      </c>
      <c r="F5" s="394" t="s">
        <v>354</v>
      </c>
      <c r="G5" s="452">
        <v>77200</v>
      </c>
      <c r="H5" s="453">
        <v>479000</v>
      </c>
    </row>
    <row r="6" spans="1:8">
      <c r="A6">
        <v>8</v>
      </c>
      <c r="B6" s="373" t="s">
        <v>356</v>
      </c>
      <c r="C6" s="291">
        <f>VLOOKUP(Calculations!P5,E4:G8,3)</f>
        <v>38600</v>
      </c>
      <c r="E6" s="451">
        <v>3</v>
      </c>
      <c r="F6" s="394" t="s">
        <v>353</v>
      </c>
      <c r="G6" s="452">
        <v>38600</v>
      </c>
      <c r="H6" s="453">
        <v>239500</v>
      </c>
    </row>
    <row r="7" spans="1:8">
      <c r="A7">
        <v>9</v>
      </c>
      <c r="B7" s="373" t="s">
        <v>360</v>
      </c>
      <c r="C7" s="291">
        <f>MIN(C3,C6)</f>
        <v>38600</v>
      </c>
      <c r="E7" s="451">
        <v>4</v>
      </c>
      <c r="F7" s="394" t="s">
        <v>350</v>
      </c>
      <c r="G7" s="452">
        <v>51700</v>
      </c>
      <c r="H7" s="453">
        <v>452400</v>
      </c>
    </row>
    <row r="8" spans="1:8">
      <c r="A8">
        <v>10</v>
      </c>
      <c r="B8" s="373" t="s">
        <v>361</v>
      </c>
      <c r="C8" s="291">
        <f>MIN(C5,C7)</f>
        <v>38600</v>
      </c>
      <c r="E8" s="454">
        <v>5</v>
      </c>
      <c r="F8" s="455" t="s">
        <v>355</v>
      </c>
      <c r="G8" s="456">
        <v>77200</v>
      </c>
      <c r="H8" s="457">
        <v>479000</v>
      </c>
    </row>
    <row r="9" spans="1:8">
      <c r="A9">
        <v>11</v>
      </c>
      <c r="B9" s="373" t="s">
        <v>363</v>
      </c>
      <c r="C9" s="291">
        <f>C7-C8</f>
        <v>0</v>
      </c>
    </row>
    <row r="10" spans="1:8">
      <c r="A10">
        <v>12</v>
      </c>
      <c r="B10" s="373" t="s">
        <v>364</v>
      </c>
      <c r="C10" s="291">
        <f>MIN(C3,C4)</f>
        <v>10000</v>
      </c>
    </row>
    <row r="11" spans="1:8">
      <c r="A11">
        <v>14</v>
      </c>
      <c r="B11" s="373" t="s">
        <v>376</v>
      </c>
      <c r="C11" s="291">
        <f>C10-C9</f>
        <v>10000</v>
      </c>
    </row>
    <row r="12" spans="1:8">
      <c r="A12">
        <v>15</v>
      </c>
      <c r="B12" s="373" t="s">
        <v>358</v>
      </c>
      <c r="C12" s="291">
        <f>VLOOKUP(Calculations!P5,E4:H8,4)</f>
        <v>425800</v>
      </c>
    </row>
    <row r="13" spans="1:8">
      <c r="A13">
        <v>16</v>
      </c>
      <c r="B13" s="373" t="s">
        <v>365</v>
      </c>
      <c r="C13" s="291">
        <f>MIN(C3,C12)</f>
        <v>150000</v>
      </c>
    </row>
    <row r="14" spans="1:8">
      <c r="A14">
        <v>17</v>
      </c>
      <c r="B14" s="373" t="s">
        <v>366</v>
      </c>
      <c r="C14" s="291">
        <f>C5+C9</f>
        <v>140000</v>
      </c>
    </row>
    <row r="15" spans="1:8">
      <c r="A15">
        <v>18</v>
      </c>
      <c r="B15" s="373" t="s">
        <v>367</v>
      </c>
      <c r="C15" s="291">
        <f>MAX(C13-C14,0)</f>
        <v>10000</v>
      </c>
    </row>
    <row r="16" spans="1:8">
      <c r="A16">
        <v>19</v>
      </c>
      <c r="B16" s="373" t="s">
        <v>368</v>
      </c>
      <c r="C16" s="291">
        <f>MIN(C11,C15)</f>
        <v>10000</v>
      </c>
    </row>
    <row r="17" spans="1:3">
      <c r="A17">
        <v>20</v>
      </c>
      <c r="B17" s="373" t="s">
        <v>369</v>
      </c>
      <c r="C17" s="462">
        <f>C16*0.15</f>
        <v>1500</v>
      </c>
    </row>
    <row r="18" spans="1:3">
      <c r="A18">
        <v>21</v>
      </c>
      <c r="B18" s="373" t="s">
        <v>370</v>
      </c>
      <c r="C18" s="291">
        <f>C9+C16</f>
        <v>10000</v>
      </c>
    </row>
    <row r="19" spans="1:3">
      <c r="A19">
        <v>22</v>
      </c>
      <c r="B19" s="373" t="s">
        <v>371</v>
      </c>
      <c r="C19" s="291">
        <f>C10-C18</f>
        <v>0</v>
      </c>
    </row>
    <row r="20" spans="1:3">
      <c r="A20">
        <v>23</v>
      </c>
      <c r="B20" s="373" t="s">
        <v>377</v>
      </c>
      <c r="C20" s="462">
        <f>C19*0.2</f>
        <v>0</v>
      </c>
    </row>
    <row r="21" spans="1:3">
      <c r="A21">
        <v>24</v>
      </c>
      <c r="B21" s="373" t="s">
        <v>372</v>
      </c>
      <c r="C21" s="462">
        <f>VLOOKUP(C5,Calculations!H24:J30,2)+VLOOKUP(C5,Calculations!H24:J30,3)*(C5-VLOOKUP(C5,Calculations!H24:J30,1))</f>
        <v>27435.5</v>
      </c>
    </row>
    <row r="22" spans="1:3">
      <c r="A22">
        <v>25</v>
      </c>
      <c r="B22" s="373" t="s">
        <v>373</v>
      </c>
      <c r="C22" s="291">
        <f>C17+C20+C21</f>
        <v>28935.5</v>
      </c>
    </row>
    <row r="23" spans="1:3">
      <c r="A23">
        <v>26</v>
      </c>
      <c r="B23" s="373" t="s">
        <v>374</v>
      </c>
      <c r="C23" s="291">
        <f>VLOOKUP(C3,Calculations!H24:J30,2)+VLOOKUP(C3,Calculations!H24:J30,3)*(C3-VLOOKUP(C3,Calculations!H24:J30,1))</f>
        <v>29835.5</v>
      </c>
    </row>
    <row r="24" spans="1:3">
      <c r="A24">
        <v>27</v>
      </c>
      <c r="B24" s="373" t="s">
        <v>375</v>
      </c>
      <c r="C24" s="291">
        <f>MIN(C22,C23)</f>
        <v>28935.5</v>
      </c>
    </row>
    <row r="25" spans="1:3">
      <c r="C25" s="291"/>
    </row>
    <row r="26" spans="1:3">
      <c r="B26" s="127" t="s">
        <v>378</v>
      </c>
      <c r="C26" s="291">
        <f>C23-C22</f>
        <v>900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35</vt:i4>
      </vt:variant>
    </vt:vector>
  </HeadingPairs>
  <TitlesOfParts>
    <vt:vector size="52" baseType="lpstr">
      <vt:lpstr>Inputs-Outputs</vt:lpstr>
      <vt:lpstr>Parameters</vt:lpstr>
      <vt:lpstr>Input &amp; Results</vt:lpstr>
      <vt:lpstr>Wages</vt:lpstr>
      <vt:lpstr>Deductions</vt:lpstr>
      <vt:lpstr>Calculations</vt:lpstr>
      <vt:lpstr>Est'd Pymts</vt:lpstr>
      <vt:lpstr>CTC</vt:lpstr>
      <vt:lpstr>FICA</vt:lpstr>
      <vt:lpstr>Ed'n Credits</vt:lpstr>
      <vt:lpstr>EITC</vt:lpstr>
      <vt:lpstr>S.S. Benefits Approx</vt:lpstr>
      <vt:lpstr>QBI</vt:lpstr>
      <vt:lpstr>S.E. Tax</vt:lpstr>
      <vt:lpstr>Kiddie Tax</vt:lpstr>
      <vt:lpstr>Pay Periods</vt:lpstr>
      <vt:lpstr>Qual. Dividends - Cap Gains</vt:lpstr>
      <vt:lpstr>_ED1</vt:lpstr>
      <vt:lpstr>_ED2</vt:lpstr>
      <vt:lpstr>_ED3</vt:lpstr>
      <vt:lpstr>_ED4</vt:lpstr>
      <vt:lpstr>_PPE1</vt:lpstr>
      <vt:lpstr>_PPE2</vt:lpstr>
      <vt:lpstr>_PPE3</vt:lpstr>
      <vt:lpstr>_PPE4</vt:lpstr>
      <vt:lpstr>_SD1</vt:lpstr>
      <vt:lpstr>_SD2</vt:lpstr>
      <vt:lpstr>_SD3</vt:lpstr>
      <vt:lpstr>_SD4</vt:lpstr>
      <vt:lpstr>_TC1</vt:lpstr>
      <vt:lpstr>_TC10</vt:lpstr>
      <vt:lpstr>_TC2</vt:lpstr>
      <vt:lpstr>_TC3</vt:lpstr>
      <vt:lpstr>_TC4</vt:lpstr>
      <vt:lpstr>_TC5</vt:lpstr>
      <vt:lpstr>_TC6</vt:lpstr>
      <vt:lpstr>_TC7</vt:lpstr>
      <vt:lpstr>_TC8</vt:lpstr>
      <vt:lpstr>_TC9</vt:lpstr>
      <vt:lpstr>_Test</vt:lpstr>
      <vt:lpstr>EOY</vt:lpstr>
      <vt:lpstr>Married_W</vt:lpstr>
      <vt:lpstr>MJ</vt:lpstr>
      <vt:lpstr>N</vt:lpstr>
      <vt:lpstr>S</vt:lpstr>
      <vt:lpstr>SDHH</vt:lpstr>
      <vt:lpstr>Parameters!SDMJ</vt:lpstr>
      <vt:lpstr>SDMJ</vt:lpstr>
      <vt:lpstr>Single</vt:lpstr>
      <vt:lpstr>Single_W</vt:lpstr>
      <vt:lpstr>TC0</vt:lpstr>
      <vt:lpstr>TODAY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Plumley</dc:creator>
  <cp:lastModifiedBy>Garza, Aldo A.</cp:lastModifiedBy>
  <cp:lastPrinted>2021-10-28T15:21:55Z</cp:lastPrinted>
  <dcterms:created xsi:type="dcterms:W3CDTF">1999-12-17T19:43:20Z</dcterms:created>
  <dcterms:modified xsi:type="dcterms:W3CDTF">2021-11-30T22:27:50Z</dcterms:modified>
</cp:coreProperties>
</file>